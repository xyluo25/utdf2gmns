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utdf2gmns\engine\sigma_x\"/>
    </mc:Choice>
  </mc:AlternateContent>
  <xr:revisionPtr revIDLastSave="0" documentId="13_ncr:1_{6CCD65EB-A31F-40DF-A205-171DD7764BE2}" xr6:coauthVersionLast="47" xr6:coauthVersionMax="47" xr10:uidLastSave="{00000000-0000-0000-0000-000000000000}"/>
  <bookViews>
    <workbookView xWindow="5772" yWindow="1944" windowWidth="30960" windowHeight="12120" tabRatio="851" firstSheet="1" activeTab="1"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0" i="22" s="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E24" i="1" s="1"/>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D7" i="9"/>
  <c r="I62" i="4"/>
  <c r="K37" i="4"/>
  <c r="K39" i="4"/>
  <c r="I19" i="9"/>
  <c r="J14" i="4" l="1"/>
  <c r="E25" i="1" s="1"/>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<sst xmlns="http://schemas.openxmlformats.org/spreadsheetml/2006/main" count="7285" uniqueCount="776">
  <si>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</si>
  <si>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</si>
  <si>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</si>
  <si>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</si>
  <si>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</si>
  <si>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</si>
  <si>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</si>
  <si>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</si>
  <si>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</si>
  <si>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</si>
  <si>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</si>
  <si>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</si>
  <si>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</si>
  <si>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</si>
  <si>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</si>
  <si>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</si>
  <si>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</si>
  <si>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</si>
  <si>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</si>
  <si>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</si>
  <si>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</si>
  <si>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</si>
  <si>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</si>
  <si>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</si>
  <si>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</si>
  <si>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</si>
  <si>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</si>
  <si>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</si>
  <si>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</si>
  <si>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</si>
  <si>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</si>
  <si>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</si>
  <si>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</si>
  <si>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</si>
  <si>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</si>
  <si>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</si>
  <si>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</si>
  <si>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</si>
  <si>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</si>
  <si>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</si>
  <si>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</si>
  <si>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</si>
  <si>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</si>
  <si>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</si>
  <si>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</si>
  <si>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</si>
  <si>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</si>
  <si>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</si>
  <si>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</si>
  <si>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</si>
  <si>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</si>
  <si>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</si>
  <si>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</si>
  <si>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</si>
  <si>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</si>
  <si>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</si>
  <si>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</si>
  <si>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</si>
  <si>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</si>
  <si>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</si>
  <si>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</si>
  <si>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</si>
  <si>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</si>
  <si>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</si>
  <si>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</si>
  <si>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</si>
  <si>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</si>
  <si>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</si>
  <si>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</si>
  <si>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</si>
  <si>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</si>
  <si>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</si>
  <si>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</si>
  <si>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</si>
  <si>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</si>
  <si>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</si>
  <si>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</si>
  <si>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</si>
  <si>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</si>
  <si>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</si>
  <si>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</si>
  <si>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</si>
  <si>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</si>
  <si>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</si>
  <si>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</si>
  <si>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</si>
  <si>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</si>
  <si>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</si>
  <si>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</si>
  <si>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</si>
  <si>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</si>
  <si>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</si>
  <si>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</si>
  <si>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</si>
  <si>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</si>
  <si>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</si>
  <si>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</si>
  <si>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</si>
  <si>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</si>
  <si>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</si>
  <si>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</si>
  <si>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</si>
  <si>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</si>
  <si>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</si>
  <si>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</si>
  <si>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</si>
  <si>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</si>
  <si>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</si>
  <si>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</si>
  <si>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</si>
  <si>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</si>
  <si>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</si>
  <si>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</si>
  <si>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</si>
  <si>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</si>
  <si>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</si>
  <si>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</si>
  <si>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</si>
  <si>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</si>
  <si>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</si>
  <si>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</si>
  <si>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</si>
  <si>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</si>
  <si>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</si>
  <si>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</si>
  <si>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</si>
  <si>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</si>
  <si>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</si>
  <si>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</si>
  <si>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</si>
  <si>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</si>
  <si>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</si>
  <si>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</si>
  <si>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</si>
  <si>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</si>
  <si>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</si>
  <si>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</si>
  <si>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</si>
  <si>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</si>
  <si>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</si>
  <si>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</si>
  <si>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</si>
  <si>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</si>
  <si>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</si>
  <si>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</si>
  <si>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</si>
  <si>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</si>
  <si>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</si>
  <si>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</si>
  <si>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</si>
  <si>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</si>
  <si>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</si>
  <si>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</si>
  <si>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</si>
  <si>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</si>
  <si>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</si>
  <si>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</si>
  <si>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</si>
  <si>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</si>
  <si>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</si>
  <si>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</si>
  <si>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</si>
  <si>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</si>
  <si>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</si>
  <si>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</si>
  <si>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</si>
  <si>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</si>
  <si>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</si>
  <si>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</si>
  <si>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</si>
  <si>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</si>
  <si>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</si>
  <si>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</si>
  <si>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</si>
  <si>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</si>
  <si>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</si>
  <si>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</si>
  <si>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</si>
  <si>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</si>
  <si>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</si>
  <si>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</si>
  <si>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</si>
  <si>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</si>
  <si>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</si>
  <si>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</si>
  <si>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</si>
  <si>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</si>
  <si>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</si>
  <si>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</si>
  <si>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</si>
  <si>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</si>
  <si>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</si>
  <si>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</si>
  <si>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</si>
  <si>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</si>
  <si>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</si>
  <si>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</si>
  <si>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</si>
  <si>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</si>
  <si>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</si>
  <si>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</si>
  <si>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</si>
  <si>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</si>
  <si>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</si>
  <si>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</si>
  <si>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</si>
  <si>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</si>
  <si>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</si>
  <si>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</si>
  <si>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</si>
  <si>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</si>
  <si>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</si>
  <si>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</si>
  <si>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</si>
  <si>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</si>
  <si>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</si>
  <si>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</si>
  <si>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</si>
  <si>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</si>
  <si>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</si>
  <si>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</si>
  <si>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</si>
  <si>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</si>
  <si>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</si>
  <si>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</si>
  <si>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</si>
  <si>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</si>
  <si>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</si>
  <si>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</si>
  <si>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</si>
  <si>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</si>
  <si>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</si>
  <si>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</si>
  <si>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</si>
  <si>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</si>
  <si>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</si>
  <si>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</si>
  <si>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</si>
  <si>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</si>
  <si>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</si>
  <si>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</si>
  <si>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</si>
  <si>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</si>
  <si>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</si>
  <si>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</si>
  <si>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</si>
  <si>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</si>
  <si>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</si>
  <si>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</si>
  <si>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</si>
  <si>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</si>
  <si>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</si>
  <si>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</si>
  <si>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</si>
  <si>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</si>
  <si>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</si>
  <si>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</si>
  <si>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</si>
  <si>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</si>
  <si>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</si>
  <si>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</si>
  <si>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</si>
  <si>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</si>
  <si>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</si>
  <si>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</si>
  <si>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</si>
  <si>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</si>
  <si>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</si>
  <si>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</si>
  <si>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</si>
  <si>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</si>
  <si>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</si>
  <si>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</si>
  <si>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</si>
  <si>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</si>
  <si>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</si>
  <si>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</si>
  <si>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</si>
  <si>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</si>
  <si>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</si>
  <si>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</si>
  <si>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</si>
  <si>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</si>
  <si>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</si>
  <si>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</si>
  <si>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</si>
  <si>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</si>
  <si>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</si>
  <si>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</si>
  <si>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</si>
  <si>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</si>
  <si>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</si>
  <si>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</si>
  <si>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</si>
  <si>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</si>
  <si>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</si>
  <si>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</si>
  <si>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</si>
  <si>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</si>
  <si>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</si>
  <si>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</si>
  <si>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</si>
  <si>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</si>
  <si>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</si>
  <si>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</si>
  <si>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</si>
  <si>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</si>
  <si>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</si>
  <si>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</si>
  <si>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</si>
  <si>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</si>
  <si>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</si>
  <si>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</si>
  <si>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</si>
  <si>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</si>
  <si>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</si>
  <si>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</si>
  <si>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</si>
  <si>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</si>
  <si>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</si>
  <si>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</si>
  <si>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</si>
  <si>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</si>
  <si>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</si>
  <si>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</si>
  <si>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</si>
  <si>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</si>
  <si>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</si>
  <si>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</si>
  <si>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</si>
  <si>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</si>
  <si>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</si>
  <si>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</si>
  <si>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</si>
  <si>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</si>
  <si>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</si>
  <si>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</si>
  <si>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</si>
  <si>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</si>
  <si>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</si>
  <si>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</si>
  <si>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</si>
  <si>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</si>
  <si>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</si>
  <si>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</si>
  <si>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</si>
  <si>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</si>
  <si>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</si>
  <si>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</si>
  <si>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</si>
  <si>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</si>
  <si>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</si>
  <si>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</si>
  <si>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</si>
  <si>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</si>
  <si>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</si>
  <si>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</si>
  <si>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</si>
  <si>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</si>
  <si>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</si>
  <si>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</si>
  <si>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</si>
  <si>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</si>
  <si>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</si>
  <si>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</si>
  <si>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</si>
  <si>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</si>
  <si>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</si>
  <si>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</si>
  <si>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</si>
  <si>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</si>
  <si>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</si>
  <si>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</si>
  <si>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</si>
  <si>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</si>
  <si>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</si>
  <si>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</si>
  <si>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</si>
  <si>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</si>
  <si>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</si>
  <si>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</si>
  <si>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</si>
  <si>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</si>
  <si>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</si>
  <si>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</si>
  <si>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</si>
  <si>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</si>
  <si>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</si>
  <si>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</si>
  <si>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</si>
  <si>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</si>
  <si>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</si>
  <si>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</si>
  <si>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</si>
  <si>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</si>
  <si>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</si>
  <si>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</si>
  <si>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</si>
  <si>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</si>
  <si>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</si>
  <si>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</si>
  <si>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</si>
  <si>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</si>
  <si>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</si>
  <si>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</si>
  <si>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</si>
  <si>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</si>
  <si>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</si>
  <si>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</si>
  <si>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</si>
  <si>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</si>
  <si>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</si>
  <si>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</si>
  <si>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</si>
  <si>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</si>
  <si>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</si>
  <si>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</si>
  <si>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</si>
  <si>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</si>
  <si>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</si>
  <si>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</si>
  <si>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</si>
  <si>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</si>
  <si>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</si>
  <si>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</si>
  <si>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</si>
  <si>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</si>
  <si>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</si>
  <si>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</si>
  <si>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</si>
  <si>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</si>
  <si>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</si>
  <si>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</si>
  <si>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</si>
  <si>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</si>
  <si>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</si>
  <si>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</si>
  <si>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</si>
  <si>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</si>
  <si>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</si>
  <si>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</si>
  <si>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</si>
  <si>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</si>
  <si>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</si>
  <si>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</si>
  <si>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</si>
  <si>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</si>
  <si>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</si>
  <si>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</si>
  <si>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</si>
  <si>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</si>
  <si>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</si>
  <si>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</si>
  <si>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</si>
  <si>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</si>
  <si>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</si>
  <si>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</si>
  <si>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</si>
  <si>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</si>
  <si>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</si>
  <si>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</si>
  <si>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</si>
  <si>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</si>
  <si>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</si>
  <si>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</si>
  <si>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</si>
  <si>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</si>
  <si>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</si>
  <si>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</si>
  <si>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</si>
  <si>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</si>
  <si>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</si>
  <si>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</si>
  <si>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</si>
  <si>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</si>
  <si>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</si>
  <si>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</si>
  <si>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</si>
  <si>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</si>
  <si>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</si>
  <si>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</si>
  <si>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</si>
  <si>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</si>
  <si>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</si>
  <si>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</si>
  <si>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</si>
  <si>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</si>
  <si>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</si>
  <si>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</si>
  <si>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</si>
  <si>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</si>
  <si>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</si>
  <si>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</si>
  <si>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</si>
  <si>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</si>
  <si>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</si>
  <si>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</si>
  <si>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</si>
  <si>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</si>
  <si>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</si>
  <si>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</si>
  <si>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</si>
  <si>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</si>
  <si>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</si>
  <si>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</si>
  <si>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</si>
  <si>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</si>
  <si>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</si>
  <si>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</si>
  <si>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</si>
  <si>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</si>
  <si>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</si>
  <si>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</si>
  <si>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</si>
  <si>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</si>
  <si>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</si>
  <si>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</si>
  <si>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</si>
  <si>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</si>
  <si>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</si>
  <si>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</si>
  <si>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</si>
  <si>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</si>
  <si>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</si>
  <si>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</si>
  <si>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</si>
  <si>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</si>
  <si>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</si>
  <si>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</si>
  <si>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</si>
  <si>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</si>
  <si>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</si>
  <si>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</si>
  <si>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</si>
  <si>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</si>
  <si>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</si>
  <si>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</si>
  <si>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</si>
  <si>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</si>
  <si>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</si>
  <si>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</si>
  <si>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</si>
  <si>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</si>
  <si>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</si>
  <si>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</si>
  <si>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</si>
  <si>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</si>
  <si>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</si>
  <si>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</si>
  <si>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</si>
  <si>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</si>
  <si>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</si>
  <si>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</si>
  <si>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</si>
  <si>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</si>
  <si>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</si>
  <si>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</si>
  <si>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</si>
  <si>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</si>
  <si>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</si>
  <si>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</si>
  <si>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</si>
  <si>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</si>
  <si>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</si>
  <si>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</si>
  <si>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</si>
  <si>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</si>
  <si>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</si>
  <si>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</si>
  <si>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</si>
  <si>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</si>
  <si>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</si>
  <si>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</si>
  <si>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</si>
  <si>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</si>
  <si>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</si>
  <si>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</si>
  <si>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</si>
  <si>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</si>
  <si>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</si>
  <si>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</si>
  <si>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</si>
  <si>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</si>
  <si>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</si>
  <si>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</si>
  <si>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</si>
  <si>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</si>
  <si>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</si>
  <si>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</si>
  <si>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</si>
  <si>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</si>
  <si>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</si>
  <si>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</si>
  <si>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</si>
  <si>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</si>
  <si>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</si>
  <si>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</si>
  <si>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</si>
  <si>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</si>
  <si>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</si>
  <si>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</si>
  <si>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</si>
  <si>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</si>
  <si>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</si>
  <si>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</si>
  <si>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</si>
  <si>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</si>
  <si>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</si>
  <si>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</si>
  <si>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</si>
  <si>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</si>
  <si>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</si>
  <si>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</si>
  <si>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</si>
  <si>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</si>
  <si>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</si>
  <si>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</si>
  <si>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</si>
  <si>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</si>
  <si>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</si>
  <si>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</si>
  <si>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</si>
  <si>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</si>
  <si>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</si>
  <si>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</si>
  <si>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</si>
  <si>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</si>
  <si>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</si>
  <si>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</si>
  <si>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</si>
  <si>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</si>
  <si>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</si>
  <si>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</si>
  <si>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</si>
  <si>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</si>
  <si>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</si>
  <si>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</si>
  <si>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</si>
  <si>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</si>
  <si>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</si>
  <si>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</si>
  <si>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</si>
  <si>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</si>
  <si>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</si>
  <si>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</si>
  <si>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</si>
  <si>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</si>
  <si>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</si>
  <si>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</si>
  <si>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</si>
  <si>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</si>
  <si>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</si>
  <si>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</si>
  <si>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</si>
  <si>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</si>
  <si>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</si>
  <si>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</si>
  <si>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</si>
  <si>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</si>
  <si>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</si>
  <si>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</si>
  <si>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</si>
  <si>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</si>
  <si>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</si>
  <si>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</si>
  <si>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</si>
  <si>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</si>
  <si>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</si>
  <si>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</si>
  <si>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</si>
  <si>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</si>
  <si>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</si>
  <si>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</si>
  <si>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</si>
  <si>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</si>
  <si>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</si>
  <si>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</si>
  <si>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</si>
  <si>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</si>
  <si>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</si>
  <si>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</si>
  <si>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</si>
  <si>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</si>
  <si>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</si>
  <si>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</si>
  <si>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</si>
  <si>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</si>
  <si>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</si>
  <si>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</si>
  <si>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</si>
  <si>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</si>
  <si>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</si>
  <si>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</si>
  <si>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</si>
  <si>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</si>
  <si>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</si>
  <si>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</si>
  <si>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</si>
  <si>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</si>
  <si>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</si>
  <si>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</si>
  <si>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</si>
  <si>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</si>
  <si>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</si>
  <si>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</si>
  <si>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</si>
  <si>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</si>
  <si>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</si>
  <si>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</si>
  <si>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</si>
  <si>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</si>
  <si>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</si>
  <si>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</si>
  <si>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</si>
  <si>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</si>
  <si>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</si>
  <si>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</si>
  <si>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</si>
  <si>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</si>
  <si>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</si>
  <si>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</si>
  <si>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</si>
  <si>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</si>
  <si>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</si>
  <si>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</si>
  <si>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</si>
  <si>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</si>
  <si>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</si>
  <si>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</si>
  <si>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</si>
  <si>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</si>
  <si>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</si>
  <si>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</si>
  <si>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</si>
  <si>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</si>
  <si>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</si>
  <si>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</si>
  <si>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</si>
  <si>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</si>
  <si>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</si>
  <si>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</si>
  <si>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</si>
  <si>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</si>
  <si>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</si>
  <si>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</si>
  <si>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</si>
  <si>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</si>
  <si>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</si>
  <si>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</si>
  <si>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</si>
  <si>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</si>
  <si>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</si>
  <si>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</si>
  <si>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</si>
  <si>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</si>
  <si>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</si>
  <si>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</si>
  <si>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</si>
  <si>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</si>
  <si>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</si>
  <si>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</si>
  <si>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</si>
  <si>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</si>
  <si>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</si>
  <si>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</si>
  <si>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</si>
  <si>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</si>
  <si>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</si>
  <si>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</si>
  <si>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</si>
  <si>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</si>
  <si>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</si>
  <si>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</si>
  <si>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</si>
  <si>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</si>
  <si>
    <t>Continued Dev: utdf2gmns developer;  COPYRIGHT @ utdf2gmns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</si>
</sst>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673554</xdr:colOff>
      <xdr:row>98</xdr:row>
      <xdr:rowOff>104231</xdr:rowOff>
    </xdr:from>
    <xdr:to>
      <xdr:col>19</xdr:col>
      <xdr:colOff>163285</xdr:colOff>
      <xdr:row>139</xdr:row>
      <xdr:rowOff>76200</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3">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3">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3">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3">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3">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3">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3">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3">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f>'Input sheet'!I26</f>
        <v>0</v>
      </c>
      <c r="J38" s="81">
        <f>'Input sheet'!I2</f>
        <v>0</v>
      </c>
      <c r="O38" s="81">
        <f>'Input sheet'!A13</f>
        <v>0</v>
      </c>
      <c r="T38" s="81">
        <f>'Input sheet'!R13</f>
        <v>0</v>
      </c>
    </row>
    <row r="39" spans="1:31" s="82" customFormat="1" x14ac:dyDescent="0.3">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0 &amp; 0</v>
      </c>
      <c r="C43" s="2" t="e">
        <f>Phasing!D30</f>
        <v>#N/A</v>
      </c>
      <c r="D43" s="2" t="e">
        <f>Phasing!E30</f>
        <v>#N/A</v>
      </c>
      <c r="E43" s="2" t="e">
        <f>Phasing!F30</f>
        <v>#N/A</v>
      </c>
      <c r="F43" s="2" t="e">
        <f>Phasing!G30</f>
        <v>#N/A</v>
      </c>
      <c r="G43" s="2" t="e">
        <f>Phasing!H30</f>
        <v>#N/A</v>
      </c>
      <c r="H43" s="2" t="e">
        <f>Phasing!I30</f>
        <v>#N/A</v>
      </c>
      <c r="I43" s="2" t="e">
        <f>Phasing!J30</f>
        <v>#N/A</v>
      </c>
      <c r="J43" s="2" t="e">
        <f>Phasing!K30</f>
        <v>#N/A</v>
      </c>
      <c r="O43" s="269" t="s">
        <v>203</v>
      </c>
      <c r="P43" s="269"/>
      <c r="Q43" s="269"/>
      <c r="R43" s="269"/>
      <c r="S43" s="269"/>
      <c r="T43" s="269"/>
      <c r="U43" s="269"/>
      <c r="V43" s="269"/>
    </row>
    <row r="44" spans="1:31" x14ac:dyDescent="0.3">
      <c r="A44" s="2" t="s">
        <v>255</v>
      </c>
      <c r="B44" t="str">
        <f>Phasing!C31</f>
        <v>0 &amp; 0</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0 &amp; 0</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0 &amp; 0</v>
      </c>
      <c r="C46" s="2">
        <f>Phasing!D33</f>
        <v>0</v>
      </c>
      <c r="D46" s="2">
        <f>Phasing!E33</f>
        <v>2.2999999999999998</v>
      </c>
      <c r="E46" s="2">
        <f>Phasing!F33</f>
        <v>0</v>
      </c>
      <c r="F46" s="2">
        <f>Phasing!G33</f>
        <v>2.2999999999999998</v>
      </c>
      <c r="G46" s="2">
        <f>Phasing!H33</f>
        <v>0</v>
      </c>
      <c r="H46" s="2">
        <f>Phasing!I33</f>
        <v>2.2999999999999998</v>
      </c>
      <c r="I46" s="2">
        <f>Phasing!J33</f>
        <v>0</v>
      </c>
      <c r="J46" s="2">
        <f>Phasing!K33</f>
        <v>2.2999999999999998</v>
      </c>
      <c r="X46" s="267"/>
      <c r="Y46" s="267"/>
      <c r="Z46" s="267"/>
      <c r="AA46" s="267"/>
      <c r="AB46" s="267"/>
      <c r="AC46" s="267"/>
      <c r="AD46" s="267"/>
      <c r="AE46" s="267"/>
    </row>
    <row r="47" spans="1:31" ht="15" customHeight="1" x14ac:dyDescent="0.3">
      <c r="A47" s="2" t="s">
        <v>258</v>
      </c>
      <c r="B47" t="str">
        <f>Phasing!C34</f>
        <v>0 &amp; 0</v>
      </c>
      <c r="C47" s="2" t="e">
        <f>Phasing!D34</f>
        <v>#N/A</v>
      </c>
      <c r="D47" s="2" t="e">
        <f>Phasing!E34</f>
        <v>#N/A</v>
      </c>
      <c r="E47" s="2" t="e">
        <f>Phasing!F34</f>
        <v>#N/A</v>
      </c>
      <c r="F47" s="2" t="e">
        <f>Phasing!G34</f>
        <v>#N/A</v>
      </c>
      <c r="G47" s="2" t="e">
        <f>Phasing!H34</f>
        <v>#N/A</v>
      </c>
      <c r="H47" s="2" t="e">
        <f>Phasing!I34</f>
        <v>#N/A</v>
      </c>
      <c r="I47" s="2" t="e">
        <f>Phasing!J34</f>
        <v>#N/A</v>
      </c>
      <c r="J47" s="2" t="e">
        <f>Phasing!K34</f>
        <v>#N/A</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0 &amp; 0</v>
      </c>
      <c r="C48" s="2" t="e">
        <f>Phasing!D35</f>
        <v>#N/A</v>
      </c>
      <c r="D48" s="2" t="e">
        <f>Phasing!E35</f>
        <v>#N/A</v>
      </c>
      <c r="E48" s="2" t="e">
        <f>Phasing!F35</f>
        <v>#N/A</v>
      </c>
      <c r="F48" s="2" t="e">
        <f>Phasing!G35</f>
        <v>#N/A</v>
      </c>
      <c r="G48" s="2" t="e">
        <f>Phasing!H35</f>
        <v>#N/A</v>
      </c>
      <c r="H48" s="2" t="e">
        <f>Phasing!I35</f>
        <v>#N/A</v>
      </c>
      <c r="I48" s="2" t="e">
        <f>Phasing!J35</f>
        <v>#N/A</v>
      </c>
      <c r="J48" s="2" t="e">
        <f>Phasing!K35</f>
        <v>#N/A</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0 &amp; 0</v>
      </c>
      <c r="C49" s="2">
        <f>Phasing!D36</f>
        <v>0</v>
      </c>
      <c r="D49" s="2">
        <f>Phasing!E36</f>
        <v>0.3</v>
      </c>
      <c r="E49" s="2">
        <f>Phasing!F36</f>
        <v>0</v>
      </c>
      <c r="F49" s="2">
        <f>Phasing!G36</f>
        <v>0.3</v>
      </c>
      <c r="G49" s="2">
        <f>Phasing!H36</f>
        <v>0</v>
      </c>
      <c r="H49" s="2">
        <f>Phasing!I36</f>
        <v>0.3</v>
      </c>
      <c r="I49" s="2">
        <f>Phasing!J36</f>
        <v>0</v>
      </c>
      <c r="J49" s="2">
        <f>Phasing!K36</f>
        <v>0.3</v>
      </c>
      <c r="O49" s="268"/>
      <c r="P49" s="268"/>
      <c r="Q49" s="268"/>
      <c r="R49" s="268"/>
      <c r="S49" s="268"/>
      <c r="T49" s="268"/>
      <c r="U49" s="268"/>
      <c r="V49" s="268"/>
    </row>
    <row r="50" spans="1:22" x14ac:dyDescent="0.3">
      <c r="A50" s="2" t="s">
        <v>261</v>
      </c>
      <c r="B50" t="str">
        <f>Phasing!C37</f>
        <v>0 &amp; 0</v>
      </c>
      <c r="C50" s="2">
        <f>Phasing!D37</f>
        <v>0</v>
      </c>
      <c r="D50" s="2">
        <f>Phasing!E37</f>
        <v>0</v>
      </c>
      <c r="E50" s="2">
        <f>Phasing!F37</f>
        <v>0</v>
      </c>
      <c r="F50" s="2">
        <f>Phasing!G37</f>
        <v>0</v>
      </c>
      <c r="G50" s="2">
        <f>Phasing!H37</f>
        <v>0</v>
      </c>
      <c r="H50" s="2">
        <f>Phasing!I37</f>
        <v>0</v>
      </c>
      <c r="I50" s="2">
        <f>Phasing!J37</f>
        <v>0</v>
      </c>
      <c r="J50" s="2">
        <f>Phasing!K37</f>
        <v>0</v>
      </c>
      <c r="O50" s="268"/>
      <c r="P50" s="268"/>
      <c r="Q50" s="268"/>
      <c r="R50" s="268"/>
      <c r="S50" s="268"/>
      <c r="T50" s="268"/>
      <c r="U50" s="268"/>
      <c r="V50" s="268"/>
    </row>
    <row r="51" spans="1:22" x14ac:dyDescent="0.3">
      <c r="A51" s="2" t="s">
        <v>262</v>
      </c>
      <c r="B51" t="str">
        <f>Phasing!C38</f>
        <v>0 &amp; 0</v>
      </c>
      <c r="C51" s="2">
        <f>Phasing!D38</f>
        <v>0</v>
      </c>
      <c r="D51" s="2">
        <f>Phasing!E38</f>
        <v>0</v>
      </c>
      <c r="E51" s="2">
        <f>Phasing!F38</f>
        <v>0</v>
      </c>
      <c r="F51" s="2">
        <f>Phasing!G38</f>
        <v>0</v>
      </c>
      <c r="G51" s="2">
        <f>Phasing!H38</f>
        <v>0</v>
      </c>
      <c r="H51" s="2">
        <f>Phasing!I38</f>
        <v>0</v>
      </c>
      <c r="I51" s="2">
        <f>Phasing!J38</f>
        <v>0</v>
      </c>
      <c r="J51" s="2">
        <f>Phasing!K38</f>
        <v>0</v>
      </c>
      <c r="O51" s="268"/>
      <c r="P51" s="268"/>
      <c r="Q51" s="268"/>
      <c r="R51" s="268"/>
      <c r="S51" s="268"/>
      <c r="T51" s="268"/>
      <c r="U51" s="268"/>
      <c r="V51" s="268"/>
    </row>
    <row r="52" spans="1:22" x14ac:dyDescent="0.3">
      <c r="A52" s="2" t="s">
        <v>263</v>
      </c>
      <c r="B52" t="str">
        <f>Phasing!C39</f>
        <v>0 &amp; 0</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0 &amp; 0</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0 &amp; 0</v>
      </c>
      <c r="C54" s="2">
        <f>Phasing!D41</f>
        <v>0</v>
      </c>
      <c r="D54" s="2">
        <f>Phasing!E41</f>
        <v>0</v>
      </c>
      <c r="E54" s="2">
        <f>Phasing!F41</f>
        <v>0</v>
      </c>
      <c r="F54" s="2">
        <f>Phasing!G41</f>
        <v>0</v>
      </c>
      <c r="G54" s="2">
        <f>Phasing!H41</f>
        <v>0</v>
      </c>
      <c r="H54" s="2">
        <f>Phasing!I41</f>
        <v>0</v>
      </c>
      <c r="I54" s="2">
        <f>Phasing!J41</f>
        <v>0</v>
      </c>
      <c r="J54" s="2">
        <f>Phasing!K41</f>
        <v>0</v>
      </c>
      <c r="O54" s="268"/>
      <c r="P54" s="268"/>
      <c r="Q54" s="268"/>
      <c r="R54" s="268"/>
      <c r="S54" s="268"/>
      <c r="T54" s="268"/>
      <c r="U54" s="268"/>
      <c r="V54" s="268"/>
    </row>
    <row r="55" spans="1:22" x14ac:dyDescent="0.3">
      <c r="A55" s="2" t="s">
        <v>266</v>
      </c>
      <c r="B55" t="str">
        <f>Phasing!C42</f>
        <v>0 &amp; 0</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0 &amp; 0</v>
      </c>
      <c r="C56" s="2">
        <f>Phasing!D43</f>
        <v>0</v>
      </c>
      <c r="D56" s="2">
        <f>Phasing!E43</f>
        <v>5</v>
      </c>
      <c r="E56" s="2">
        <f>Phasing!F43</f>
        <v>0</v>
      </c>
      <c r="F56" s="2">
        <f>Phasing!G43</f>
        <v>5</v>
      </c>
      <c r="G56" s="2">
        <f>Phasing!H43</f>
        <v>0</v>
      </c>
      <c r="H56" s="2">
        <f>Phasing!I43</f>
        <v>5</v>
      </c>
      <c r="I56" s="2">
        <f>Phasing!J43</f>
        <v>0</v>
      </c>
      <c r="J56" s="2">
        <f>Phasing!K43</f>
        <v>5</v>
      </c>
    </row>
    <row r="57" spans="1:22" x14ac:dyDescent="0.3">
      <c r="A57" s="2" t="s">
        <v>268</v>
      </c>
      <c r="B57" t="str">
        <f>Phasing!C44</f>
        <v>0 &amp; 0</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3">
      <c r="A58" s="2" t="s">
        <v>269</v>
      </c>
      <c r="B58" t="str">
        <f>Phasing!C45</f>
        <v>0 &amp; 0</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3">
      <c r="A59" s="2" t="s">
        <v>270</v>
      </c>
      <c r="B59" t="str">
        <f>Phasing!C46</f>
        <v>0 &amp; 0</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3">
      <c r="A60" s="2" t="s">
        <v>271</v>
      </c>
      <c r="B60" t="str">
        <f>Phasing!C47</f>
        <v>0 &amp; 0</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3">
      <c r="A61" s="2" t="s">
        <v>272</v>
      </c>
      <c r="B61" t="str">
        <f>Phasing!C48</f>
        <v>0 &amp; 0</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3">
      <c r="A62" s="2" t="s">
        <v>273</v>
      </c>
      <c r="B62" t="str">
        <f>Phasing!C49</f>
        <v>0 &amp; 0</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3">
      <c r="A63" s="2" t="s">
        <v>274</v>
      </c>
      <c r="B63" t="str">
        <f>Phasing!C50</f>
        <v>0 &amp; 0</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3">
      <c r="A64" s="2" t="s">
        <v>275</v>
      </c>
      <c r="B64" t="str">
        <f>Phasing!C51</f>
        <v>0 &amp; 0</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3">
      <c r="A65" s="2" t="s">
        <v>276</v>
      </c>
      <c r="B65" t="str">
        <f>Phasing!C52</f>
        <v>0 &amp; 0</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3">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3">
      <c r="A67" s="270" t="s">
        <v>73</v>
      </c>
      <c r="B67" s="270"/>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3">
      <c r="A68" s="270" t="s">
        <v>461</v>
      </c>
      <c r="B68" s="270"/>
      <c r="C68" s="2" t="str">
        <f>IF(AND(C70&gt;0,C70=H70),"X","")</f>
        <v>X</v>
      </c>
      <c r="D68" s="2"/>
      <c r="E68" s="2" t="str">
        <f>IF(AND(E70&gt;0,E70=J70),"X","")</f>
        <v>X</v>
      </c>
      <c r="F68" s="2"/>
      <c r="G68" s="2" t="str">
        <f>IF(AND(G70&gt;0,G70=D70),"X","")</f>
        <v>X</v>
      </c>
      <c r="H68" s="2"/>
      <c r="I68" s="2" t="str">
        <f>IF(AND(I70&gt;0,I70=F70),"X","")</f>
        <v>X</v>
      </c>
      <c r="J68" s="2"/>
    </row>
    <row r="69" spans="1:21" x14ac:dyDescent="0.3">
      <c r="A69" s="270" t="s">
        <v>459</v>
      </c>
      <c r="B69" s="270"/>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3">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3">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3">
      <c r="A72" s="271" t="s">
        <v>463</v>
      </c>
      <c r="B72" s="271"/>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3">
      <c r="A73" s="263" t="s">
        <v>464</v>
      </c>
      <c r="B73" s="263"/>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3">
      <c r="A74" s="264" t="s">
        <v>465</v>
      </c>
      <c r="B74" s="264"/>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3">
      <c r="A77" s="265"/>
      <c r="B77" s="265"/>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abSelected="1" topLeftCell="A12" zoomScaleNormal="100" workbookViewId="0">
      <selection activeCell="K31" sqref="K31"/>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1900</v>
      </c>
    </row>
    <row r="4" spans="1:26" ht="13.8" thickBot="1" x14ac:dyDescent="0.3">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40</v>
      </c>
      <c r="L4" s="190" t="s">
        <v>513</v>
      </c>
      <c r="U4" s="156" t="s">
        <v>234</v>
      </c>
      <c r="V4" s="190">
        <f>IFERROR(AVERAGE(UTDF_input!D49:F49,UTDF_input!H49:P49),0.92)</f>
        <v>0.92</v>
      </c>
    </row>
    <row r="5" spans="1:26" ht="14.4" thickBot="1" x14ac:dyDescent="0.35">
      <c r="A5" s="197"/>
      <c r="B5" s="197"/>
      <c r="C5" s="197"/>
      <c r="D5" s="197"/>
      <c r="E5" s="222"/>
      <c r="F5" s="191"/>
      <c r="L5" s="195" t="s">
        <v>473</v>
      </c>
      <c r="M5" s="214" t="s">
        <v>474</v>
      </c>
      <c r="N5" s="214" t="s">
        <v>475</v>
      </c>
      <c r="U5" s="192" t="s">
        <v>235</v>
      </c>
      <c r="V5" s="193">
        <f>B4</f>
        <v>7</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737</v>
      </c>
      <c r="V12" s="156"/>
      <c r="Y12" s="242" t="s">
        <v>82</v>
      </c>
      <c r="Z12" s="240">
        <v>1</v>
      </c>
    </row>
    <row r="13" spans="1:26" ht="13.8" thickBot="1" x14ac:dyDescent="0.3">
      <c r="A13" s="207">
        <f>IF(UTDF_input!E6="",UTDF_input!I6,UTDF_input!E6)</f>
        <v>0</v>
      </c>
      <c r="B13" s="209"/>
      <c r="D13" s="194">
        <f>IFERROR(INDEX(UTDF_input!A36:AC36,1,MATCH("EBT",UTDF_input!A26:AC26,0)),20)+IFERROR(INDEX(UTDF_input!A36:AC36,1,MATCH("SET",UTDF_input!A26:AC26,0)),20)</f>
        <v>40</v>
      </c>
      <c r="F13" s="203"/>
      <c r="G13" s="203"/>
      <c r="J13" s="213">
        <f>IF(I2=0,I26,I2)</f>
        <v>0</v>
      </c>
      <c r="M13" s="203"/>
      <c r="N13" s="203"/>
      <c r="P13" s="194">
        <f>IFERROR(INDEX(UTDF_input!A36:AC36,1,MATCH("WBT",UTDF_input!A26:AC26,0)),20)+IFERROR(INDEX(UTDF_input!A36:AC36,1,MATCH("NWT",UTDF_input!A26:AC26,0)),20)</f>
        <v>40</v>
      </c>
      <c r="R13" s="207">
        <f>IF(UTDF_input!F6="",UTDF_input!H6,UTDF_input!F6)</f>
        <v>0</v>
      </c>
      <c r="S13" s="209"/>
      <c r="U13" s="261" t="s">
        <v>733</v>
      </c>
      <c r="Y13" s="156" t="s">
        <v>83</v>
      </c>
      <c r="Z13" s="240">
        <v>2</v>
      </c>
    </row>
    <row r="14" spans="1:26" x14ac:dyDescent="0.25">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0_0</v>
      </c>
      <c r="K14" s="213">
        <f>IF(A13=0,R13,A13)</f>
        <v>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734</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735</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736</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8" thickBot="1" x14ac:dyDescent="0.3">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40</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f>IF(UTDF_input!C6="",UTDF_input!G6,UTDF_input!C6)</f>
        <v>0</v>
      </c>
      <c r="J26" s="208"/>
      <c r="K26" s="209"/>
      <c r="L26" s="190" t="s">
        <v>518</v>
      </c>
      <c r="M26" s="215">
        <v>0</v>
      </c>
      <c r="N26" s="190" t="s">
        <v>519</v>
      </c>
      <c r="O26" s="203"/>
      <c r="P26" s="203"/>
    </row>
    <row r="28" spans="1:24" x14ac:dyDescent="0.25">
      <c r="J28" s="190" t="str">
        <f>IF(AND(I2="",A13=""),"",I2&amp;" &amp; "&amp;A13)</f>
        <v>0 &amp; 0</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738</v>
      </c>
      <c r="B32" s="206"/>
      <c r="C32" s="206"/>
      <c r="D32" s="206"/>
      <c r="E32" s="42"/>
      <c r="F32" s="206"/>
      <c r="G32" s="206"/>
      <c r="H32" s="206"/>
    </row>
    <row r="33" spans="1:8" ht="14.4" x14ac:dyDescent="0.3">
      <c r="A33" s="206" t="s">
        <v>775</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3">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3">
      <c r="A8" s="139" t="s">
        <v>291</v>
      </c>
      <c r="B8" s="139"/>
      <c r="C8" s="123">
        <f>Phasing!P6</f>
        <v>40</v>
      </c>
      <c r="D8" s="123"/>
      <c r="E8" s="123">
        <f>Phasing!R6</f>
        <v>40</v>
      </c>
      <c r="F8" s="123"/>
      <c r="G8" s="123">
        <f>Phasing!T6</f>
        <v>40</v>
      </c>
      <c r="H8" s="123"/>
      <c r="I8" s="123">
        <f>Phasing!V6</f>
        <v>40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3">
      <c r="G9" s="280" t="s">
        <v>435</v>
      </c>
      <c r="H9" s="280"/>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3">
      <c r="A13" t="s">
        <v>81</v>
      </c>
      <c r="B13" s="2">
        <f>IF(E8&gt;45,1,0)</f>
        <v>0</v>
      </c>
      <c r="C13" s="2"/>
      <c r="D13" s="2">
        <f>IF(C8&gt;45,1,0)</f>
        <v>0</v>
      </c>
      <c r="E13" s="2"/>
      <c r="F13" s="2">
        <f>IF(I8&gt;45,1,0)</f>
        <v>0</v>
      </c>
      <c r="G13" s="2"/>
      <c r="H13" s="2">
        <f>IF(G8&gt;45,1,0)</f>
        <v>0</v>
      </c>
      <c r="I13" s="285"/>
      <c r="J13" s="6"/>
      <c r="K13" s="6"/>
      <c r="L13" s="5" t="s">
        <v>5</v>
      </c>
      <c r="M13" s="5">
        <f>Sheet1!F4+Sheet1!Y4+Sheet1!AB4</f>
        <v>0</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3">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0  4</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3">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3">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3">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1</v>
      </c>
      <c r="R52" s="2">
        <f t="shared" si="12"/>
        <v>6</v>
      </c>
      <c r="S52" s="2">
        <f t="shared" si="12"/>
        <v>1</v>
      </c>
      <c r="T52" s="2">
        <f t="shared" si="12"/>
        <v>2</v>
      </c>
    </row>
    <row r="53" spans="2:23" x14ac:dyDescent="0.3">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3">
      <c r="J54" s="28" t="s">
        <v>105</v>
      </c>
      <c r="K54" s="31">
        <f>Phasing!D47</f>
        <v>0</v>
      </c>
      <c r="L54" s="31" t="e">
        <f>Phasing!E47</f>
        <v>#N/A</v>
      </c>
      <c r="M54" s="31">
        <f>Phasing!F47</f>
        <v>0</v>
      </c>
      <c r="N54" s="31" t="e">
        <f>Phasing!G47</f>
        <v>#N/A</v>
      </c>
      <c r="Q54" s="2"/>
      <c r="R54" s="2"/>
      <c r="S54" s="2"/>
      <c r="T54" s="2"/>
    </row>
    <row r="55" spans="2:23" x14ac:dyDescent="0.3">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3">
      <c r="P56" t="s">
        <v>106</v>
      </c>
      <c r="Q56" s="2">
        <f>INDEX($P$49:$W$50,2,Q53)</f>
        <v>0</v>
      </c>
      <c r="R56" s="2" t="str">
        <f t="shared" si="13"/>
        <v>SBT</v>
      </c>
      <c r="S56" s="2">
        <f t="shared" si="13"/>
        <v>0</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3">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t="e">
        <f>L60</f>
        <v>#N/A</v>
      </c>
      <c r="M64" s="2">
        <f>N60</f>
        <v>0</v>
      </c>
      <c r="N64" s="2" t="e">
        <f>P60</f>
        <v>#N/A</v>
      </c>
      <c r="O64" s="2" t="e">
        <f>Q60</f>
        <v>#N/A</v>
      </c>
    </row>
    <row r="65" spans="9:23" x14ac:dyDescent="0.3">
      <c r="J65" t="s">
        <v>106</v>
      </c>
      <c r="K65" s="2">
        <v>0</v>
      </c>
      <c r="L65" s="2" t="e">
        <f>L61</f>
        <v>#N/A</v>
      </c>
      <c r="M65" s="2">
        <f>N61</f>
        <v>0</v>
      </c>
      <c r="N65" s="2" t="e">
        <f>P61</f>
        <v>#N/A</v>
      </c>
      <c r="O65" s="2" t="e">
        <f>Q61</f>
        <v>#N/A</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0</v>
      </c>
      <c r="AK11" t="s">
        <v>165</v>
      </c>
      <c r="AL11" s="2">
        <f>Sheet1!D4+Sheet1!W4+Sheet1!Z4</f>
        <v>0</v>
      </c>
      <c r="BB11" t="s">
        <v>165</v>
      </c>
      <c r="BC11" s="2">
        <f>Sheet1!I4+Sheet1!AC4+Sheet1!AF4</f>
        <v>0</v>
      </c>
    </row>
    <row r="12" spans="2:57" s="139" customFormat="1" x14ac:dyDescent="0.3">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3">
      <c r="B13" t="s">
        <v>170</v>
      </c>
      <c r="C13" s="2">
        <f>Sheet1!N5</f>
        <v>0</v>
      </c>
      <c r="T13" t="s">
        <v>170</v>
      </c>
      <c r="U13" s="2">
        <f>Sheet1!S5</f>
        <v>0</v>
      </c>
      <c r="AK13" t="s">
        <v>170</v>
      </c>
      <c r="AL13" s="2">
        <f>Sheet1!D5+Sheet1!W5+Sheet1!Z5</f>
        <v>0</v>
      </c>
      <c r="BB13" t="s">
        <v>170</v>
      </c>
      <c r="BC13" s="2">
        <f>Sheet1!I5+Sheet1!AC4+Sheet1!AF4</f>
        <v>0</v>
      </c>
    </row>
    <row r="14" spans="2:57" s="139" customFormat="1" x14ac:dyDescent="0.3">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0</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3">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3">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3">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t="e">
        <f>IF('Phase designation'!F22=2,MAX('Lane volumes'!AM48:AM50),1)</f>
        <v>#DIV/0!</v>
      </c>
      <c r="BB49" s="265"/>
      <c r="BC49" t="s">
        <v>190</v>
      </c>
      <c r="BD49">
        <f>IF(SUM(Sheet1!I5:K5)=1,EXP(-0.02*(BC35+10*BC34)*BC11*0.0444),0)</f>
        <v>0</v>
      </c>
      <c r="BE49" t="e">
        <f>IF('Phase designation'!H22=2,MAX('Lane volumes'!BD48:BD50),1)</f>
        <v>#DIV/0!</v>
      </c>
    </row>
    <row r="50" spans="2:57" hidden="1" x14ac:dyDescent="0.3">
      <c r="B50" s="265"/>
      <c r="C50" t="s">
        <v>191</v>
      </c>
      <c r="D50" t="e">
        <f>((C26-1)+EXP(-1*C11*0.0444))/C26</f>
        <v>#DIV/0!</v>
      </c>
      <c r="T50" s="265"/>
      <c r="U50" t="s">
        <v>191</v>
      </c>
      <c r="V50" t="e">
        <f>((U26-1)+EXP(-1*U11*0.0444))/U26</f>
        <v>#DIV/0!</v>
      </c>
      <c r="AK50" s="265"/>
      <c r="AL50" t="s">
        <v>191</v>
      </c>
      <c r="AM50" t="e">
        <f>((AL26-1)+EXP(-1*AL11*0.0444))/AL26</f>
        <v>#DIV/0!</v>
      </c>
      <c r="BB50" s="265"/>
      <c r="BC50" t="s">
        <v>191</v>
      </c>
      <c r="BD50" t="e">
        <f>((BC26-1)+EXP(-1*BC11*0.0444))/BC26</f>
        <v>#DIV/0!</v>
      </c>
    </row>
    <row r="51" spans="2:57" hidden="1" x14ac:dyDescent="0.3"/>
    <row r="52" spans="2:57" hidden="1" x14ac:dyDescent="0.3">
      <c r="B52" s="265" t="s">
        <v>194</v>
      </c>
      <c r="C52" t="s">
        <v>195</v>
      </c>
      <c r="D52">
        <f>IF(C12&lt;1220,1/(1+(C34*(235+0.435*C12)/(1400-C12))),0)</f>
        <v>1</v>
      </c>
      <c r="E52">
        <f>IF('Phase designation'!B22=3,MAX('Lane volumes'!D52:D53),1)</f>
        <v>1</v>
      </c>
      <c r="T52" s="265" t="s">
        <v>194</v>
      </c>
      <c r="U52" t="s">
        <v>195</v>
      </c>
      <c r="V52">
        <f>IF(U12&lt;1220,1/(1+(U34*(235+0.435*U12)/(1400-U12))),0)</f>
        <v>1</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1</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3"/>
    <row r="55" spans="2:57" hidden="1" x14ac:dyDescent="0.3"/>
    <row r="56" spans="2:57" hidden="1" x14ac:dyDescent="0.3">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3">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3">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3">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3">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3">
      <c r="B11" s="123" t="s">
        <v>327</v>
      </c>
      <c r="C11" s="124" t="e">
        <f>IF(C34=0,0,ROUND(C6*1530*C4*'Input sheet'!$W$7,0))</f>
        <v>#N/A</v>
      </c>
      <c r="D11" s="123" t="e">
        <f>IF(D34=0,0,ROUND(D6*1530*D4*'Input sheet'!$W$7,0))</f>
        <v>#N/A</v>
      </c>
      <c r="E11" s="260" t="e">
        <f>IF(E34=0,0,ROUND(E6*1530*E4*'Input sheet'!$W$7,0))</f>
        <v>#N/A</v>
      </c>
      <c r="F11" s="124" t="e">
        <f>IF(F34=0,0,ROUND(F6*1530*F4*'Input sheet'!$W$7,0))</f>
        <v>#N/A</v>
      </c>
      <c r="G11" s="123" t="e">
        <f>IF(G34=0,0,ROUND(G6*1530*G4*'Input sheet'!$W$7,0))</f>
        <v>#N/A</v>
      </c>
      <c r="H11" s="260" t="e">
        <f>IF(H34=0,0,ROUND(H6*1530*H4*'Input sheet'!$W$7,0))</f>
        <v>#N/A</v>
      </c>
      <c r="I11" s="124" t="e">
        <f>IF(I34=0,0,ROUND(I6*1530*I4*'Input sheet'!$W$7,0))</f>
        <v>#N/A</v>
      </c>
      <c r="J11" s="123" t="e">
        <f>IF(J34=0,0,ROUND(J6*1530*J4*'Input sheet'!$W$7,0))</f>
        <v>#N/A</v>
      </c>
      <c r="K11" s="260"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3">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3">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3">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3">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3">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Not opposed Not opposed</v>
      </c>
      <c r="AA19" s="270"/>
      <c r="AB19" s="270" t="str">
        <f>IF(OR(AND(AB18="Protected",AC18="Not opposed"),AND(AC18="Protected",AB18="Not opposed")),"Protected ProtectedA",AB18&amp;" "&amp;AC18)</f>
        <v>Not opposed Not opposed</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8</v>
      </c>
      <c r="AA20" s="270"/>
      <c r="AB20" s="270">
        <f>MATCH(AB19,AF3:AF11,0)</f>
        <v>8</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Permitted</v>
      </c>
      <c r="J21" s="123"/>
      <c r="K21" s="260"/>
      <c r="L21" s="123" t="str">
        <f>IF(AND(L18=0,L19=0),"",IF(AND(L18&gt;0,L19&gt;0),"Prot+perm",IF(AND(L18&gt;0,L19=0),"Protected","Permitted")))</f>
        <v>Permitted</v>
      </c>
      <c r="M21" s="123"/>
      <c r="N21" s="123"/>
      <c r="Q21" s="5"/>
      <c r="R21" s="15"/>
      <c r="S21" s="11"/>
      <c r="T21" s="11"/>
      <c r="U21" s="8"/>
      <c r="V21" s="8"/>
      <c r="W21" s="8"/>
      <c r="Y21" s="2" t="s">
        <v>372</v>
      </c>
      <c r="Z21" s="270">
        <f>INDEX(AD3:AD13,Z20)</f>
        <v>4</v>
      </c>
      <c r="AA21" s="270"/>
      <c r="AB21" s="270">
        <f>INDEX(AD3:AD11,AB20)</f>
        <v>4</v>
      </c>
      <c r="AC21" s="270"/>
      <c r="AI21" s="2" t="s">
        <v>364</v>
      </c>
      <c r="AJ21" s="2">
        <v>4</v>
      </c>
      <c r="AN21" s="2" t="s">
        <v>364</v>
      </c>
      <c r="AO21" s="162" t="s">
        <v>392</v>
      </c>
      <c r="AP21" s="162"/>
      <c r="AQ21" s="162"/>
      <c r="AS21" s="2" t="s">
        <v>364</v>
      </c>
      <c r="AT21" s="2">
        <f>MAX(J16,I16,M16,L16)</f>
        <v>0</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3">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3">
      <c r="B24" s="101" t="s">
        <v>417</v>
      </c>
      <c r="C24" s="176">
        <f>C23/(1-(O17/O11))</f>
        <v>16</v>
      </c>
      <c r="D24" s="294" t="s">
        <v>430</v>
      </c>
      <c r="E24" s="294"/>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3">
      <c r="B25" s="39" t="s">
        <v>418</v>
      </c>
      <c r="C25" s="39">
        <f>V27</f>
        <v>40</v>
      </c>
      <c r="D25" s="103" t="s">
        <v>563</v>
      </c>
      <c r="E25" s="103">
        <f>UTDF_input!C92</f>
        <v>0</v>
      </c>
      <c r="F25" s="102" t="s">
        <v>384</v>
      </c>
      <c r="G25" s="253">
        <f>UTDF_input!C90</f>
        <v>0</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3">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3">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79" t="s">
        <v>113</v>
      </c>
      <c r="S27" s="279"/>
      <c r="T27" s="279"/>
      <c r="U27" s="279"/>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3">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3">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3">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WBTHLT</v>
      </c>
      <c r="AS33" s="3">
        <f>AL16</f>
        <v>0</v>
      </c>
    </row>
    <row r="34" spans="2:59" x14ac:dyDescent="0.3">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3">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5" t="s">
        <v>382</v>
      </c>
      <c r="AQ35" s="3" t="str">
        <f>AJ32</f>
        <v>NBTHLT</v>
      </c>
      <c r="AR35" s="3" t="str">
        <f>AK32</f>
        <v>SBTHLT</v>
      </c>
      <c r="AS35" s="3">
        <f>AL32</f>
        <v>0</v>
      </c>
    </row>
    <row r="36" spans="2:59" x14ac:dyDescent="0.3">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3">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3">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3">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3">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3">
      <c r="B49" s="175" t="s">
        <v>412</v>
      </c>
      <c r="C49" s="237">
        <f>IF($C$25=0,"CHECK INPUT DATA!",IF(OR(SUM(C9:H9)=0,SUM(I9:N9)=0),0,ROUND(SUMPRODUCT(C9:N9,C44:N44)/O9,2)))</f>
        <v>0</v>
      </c>
      <c r="D49" s="237"/>
      <c r="E49"/>
      <c r="O49" s="84"/>
      <c r="Q49"/>
      <c r="R49" s="104">
        <v>0</v>
      </c>
      <c r="S49" s="104">
        <v>0.85</v>
      </c>
      <c r="T49" s="104" t="s">
        <v>420</v>
      </c>
      <c r="X49"/>
      <c r="AH49"/>
    </row>
    <row r="50" spans="2:50" x14ac:dyDescent="0.3">
      <c r="B50" s="85" t="s">
        <v>413</v>
      </c>
      <c r="C50" s="84" t="str">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3">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3">
      <c r="C56" s="270" t="s">
        <v>13</v>
      </c>
      <c r="D56" s="270"/>
      <c r="F56" s="270" t="s">
        <v>18</v>
      </c>
      <c r="G56" s="270"/>
      <c r="I56" s="270" t="s">
        <v>3</v>
      </c>
      <c r="J56" s="270"/>
      <c r="L56" s="270" t="s">
        <v>8</v>
      </c>
      <c r="M56" s="270"/>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3">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 hidden="1" thickBot="1" x14ac:dyDescent="0.35">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3">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 hidden="1" thickBot="1" x14ac:dyDescent="0.35">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3">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3">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3">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3">
      <c r="Q65" s="2">
        <f>C33</f>
        <v>4</v>
      </c>
      <c r="R65" s="2">
        <f>D33</f>
        <v>4</v>
      </c>
      <c r="S65" s="2">
        <f>F33</f>
        <v>8</v>
      </c>
      <c r="T65" s="2">
        <f>G33</f>
        <v>8</v>
      </c>
      <c r="U65" s="2">
        <f>I33</f>
        <v>2</v>
      </c>
      <c r="V65" s="2">
        <f>J33</f>
        <v>2</v>
      </c>
      <c r="W65" s="2">
        <f>L33</f>
        <v>6</v>
      </c>
      <c r="X65" s="2">
        <f>M33</f>
        <v>6</v>
      </c>
    </row>
    <row r="66" spans="2:24" hidden="1" x14ac:dyDescent="0.3">
      <c r="B66" s="2" t="s">
        <v>432</v>
      </c>
      <c r="C66" s="2">
        <f>C14</f>
        <v>1345</v>
      </c>
      <c r="D66" s="2">
        <f>D62</f>
        <v>1</v>
      </c>
      <c r="F66" s="2">
        <f>F14</f>
        <v>1345</v>
      </c>
      <c r="G66" s="2">
        <f>G62</f>
        <v>1</v>
      </c>
      <c r="I66" s="2">
        <f>I14</f>
        <v>1345</v>
      </c>
      <c r="J66" s="2">
        <f>J62</f>
        <v>1</v>
      </c>
      <c r="L66" s="2">
        <f>L14</f>
        <v>1345</v>
      </c>
      <c r="M66" s="2">
        <f>M62</f>
        <v>1</v>
      </c>
    </row>
    <row r="67" spans="2:24" hidden="1" x14ac:dyDescent="0.3">
      <c r="B67" s="2" t="s">
        <v>433</v>
      </c>
      <c r="C67" s="2" t="e">
        <f>C11</f>
        <v>#N/A</v>
      </c>
      <c r="D67" s="2">
        <f>D63</f>
        <v>0</v>
      </c>
      <c r="F67" s="2" t="e">
        <f>F11</f>
        <v>#N/A</v>
      </c>
      <c r="G67" s="2">
        <f>G63</f>
        <v>0</v>
      </c>
      <c r="I67" s="2" t="e">
        <f>I11</f>
        <v>#N/A</v>
      </c>
      <c r="J67" s="2">
        <f>J63</f>
        <v>0</v>
      </c>
      <c r="L67" s="2" t="e">
        <f>L11</f>
        <v>#N/A</v>
      </c>
      <c r="M67" s="2">
        <f>M63</f>
        <v>0</v>
      </c>
    </row>
    <row r="68" spans="2:24" hidden="1" x14ac:dyDescent="0.3">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3">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3">
      <c r="C70" s="2" t="s">
        <v>13</v>
      </c>
      <c r="F70" s="2" t="s">
        <v>18</v>
      </c>
      <c r="I70" s="2" t="s">
        <v>3</v>
      </c>
      <c r="L70" s="2" t="s">
        <v>8</v>
      </c>
    </row>
    <row r="71" spans="2:24" hidden="1" x14ac:dyDescent="0.3">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3">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3">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3">
      <c r="B74" s="2" t="s">
        <v>339</v>
      </c>
      <c r="C74" s="2">
        <v>2</v>
      </c>
      <c r="F74" s="2">
        <v>2</v>
      </c>
      <c r="I74" s="2">
        <v>2</v>
      </c>
      <c r="L74" s="2">
        <v>2</v>
      </c>
    </row>
    <row r="75" spans="2:24" hidden="1" x14ac:dyDescent="0.3">
      <c r="B75" s="2" t="s">
        <v>338</v>
      </c>
      <c r="C75" s="2">
        <f>Phasing!O27</f>
        <v>2.2999999999999998</v>
      </c>
      <c r="F75" s="2">
        <f>Phasing!Q27</f>
        <v>2.2999999999999998</v>
      </c>
      <c r="I75" s="2">
        <f>Phasing!S27</f>
        <v>2.2999999999999998</v>
      </c>
      <c r="L75" s="2">
        <f>Phasing!U27</f>
        <v>2.2999999999999998</v>
      </c>
    </row>
    <row r="76" spans="2:24" hidden="1" x14ac:dyDescent="0.3">
      <c r="B76" s="2" t="s">
        <v>335</v>
      </c>
      <c r="C76" s="2" t="e">
        <f>MIN(C71+C75,C77)</f>
        <v>#N/A</v>
      </c>
      <c r="F76" s="2" t="e">
        <f>MIN(F71+F75,F77)</f>
        <v>#N/A</v>
      </c>
      <c r="I76" s="2" t="e">
        <f>MIN(I71+I75,I77)</f>
        <v>#N/A</v>
      </c>
      <c r="L76" s="2" t="e">
        <f>MIN(L71+L75,L77)</f>
        <v>#N/A</v>
      </c>
    </row>
    <row r="77" spans="2:24" hidden="1" x14ac:dyDescent="0.3">
      <c r="B77" s="2" t="s">
        <v>336</v>
      </c>
      <c r="C77" s="2" t="e">
        <f>MAX(0,C72-C73+C75)</f>
        <v>#N/A</v>
      </c>
      <c r="F77" s="2" t="e">
        <f>MAX(0,F72-F73+F75)</f>
        <v>#N/A</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v>
      </c>
    </row>
    <row r="83" spans="2:21" x14ac:dyDescent="0.3">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3">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3"/>
    <row r="86" spans="2:21" hidden="1" x14ac:dyDescent="0.3">
      <c r="C86" s="2" t="e">
        <f>IF(C83&lt;Y44,1,0)</f>
        <v>#N/A</v>
      </c>
      <c r="D86" s="2" t="e">
        <f>IF(D83&lt;Z44,1,0)</f>
        <v>#N/A</v>
      </c>
      <c r="F86" s="2" t="e">
        <f>IF(E83&lt;AA44,1,0)</f>
        <v>#N/A</v>
      </c>
      <c r="G86" s="2" t="e">
        <f>IF(F83&lt;AB44,1,0)</f>
        <v>#N/A</v>
      </c>
    </row>
    <row r="87" spans="2:21" hidden="1" x14ac:dyDescent="0.3">
      <c r="C87" s="2" t="e">
        <f>IF(C84&lt;Y45,1,0)</f>
        <v>#N/A</v>
      </c>
      <c r="D87" s="2" t="e">
        <f>IF(D84&lt;Z45,1,0)</f>
        <v>#N/A</v>
      </c>
      <c r="F87" s="2" t="e">
        <f>IF(E84&lt;AA45,1,0)</f>
        <v>#N/A</v>
      </c>
      <c r="G87" s="2" t="e">
        <f>IF(F84&lt;AB45,1,0)</f>
        <v>#N/A</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3">
      <c r="B91" s="2" t="s">
        <v>342</v>
      </c>
      <c r="C91" s="2">
        <f>C3*$C$25/3600</f>
        <v>0</v>
      </c>
      <c r="F91" s="2">
        <f>F3*$C$25/3600</f>
        <v>0</v>
      </c>
      <c r="I91" s="2">
        <f>I3*$C$25/3600</f>
        <v>0</v>
      </c>
      <c r="L91" s="2">
        <f>L3*$C$25/3600</f>
        <v>0</v>
      </c>
    </row>
    <row r="92" spans="2:21" hidden="1" x14ac:dyDescent="0.3">
      <c r="B92" s="2" t="s">
        <v>341</v>
      </c>
      <c r="C92" s="2" t="e">
        <f>MAX(C90*EXP(-0.86*(C91^0.629)-C73),0)</f>
        <v>#N/A</v>
      </c>
      <c r="F92" s="2" t="e">
        <f>MAX(F90*EXP(-0.86*(F91^0.629)-F73),0)</f>
        <v>#N/A</v>
      </c>
      <c r="I92" s="2" t="e">
        <f>MAX(I90*EXP(-0.86*(I91^0.629)-I73),0)</f>
        <v>#N/A</v>
      </c>
      <c r="L92" s="2" t="e">
        <f>MAX(L90*EXP(-0.86*(L91^0.629)-L73),0)</f>
        <v>#N/A</v>
      </c>
    </row>
    <row r="93" spans="2:21" hidden="1" x14ac:dyDescent="0.3">
      <c r="B93" s="2" t="s">
        <v>343</v>
      </c>
      <c r="C93" s="2" t="e">
        <f>MAX(C90*EXP(-0.882*(C91^0.717)-C73),0)</f>
        <v>#N/A</v>
      </c>
      <c r="F93" s="2" t="e">
        <f>MAX(F90*EXP(-0.882*(F91^0.717)-F73),0)</f>
        <v>#N/A</v>
      </c>
      <c r="I93" s="2" t="e">
        <f>MAX(I90*EXP(-0.882*(I91^0.717)-I73),0)</f>
        <v>#N/A</v>
      </c>
      <c r="L93" s="2" t="e">
        <f>MAX(L90*EXP(-0.882*(L91^0.717)-L73),0)</f>
        <v>#N/A</v>
      </c>
    </row>
    <row r="94" spans="2:21" hidden="1" x14ac:dyDescent="0.3">
      <c r="B94" s="2" t="s">
        <v>340</v>
      </c>
      <c r="C94" s="2" t="e">
        <f>IF(SUM(C6:E6)=1,C92,C93)</f>
        <v>#N/A</v>
      </c>
      <c r="F94" s="2" t="e">
        <f>IF(SUM(F6:H6)=1,F92,F93)</f>
        <v>#N/A</v>
      </c>
      <c r="I94" s="2" t="e">
        <f>IF(SUM(I6:K6)=1,I92,I93)</f>
        <v>#N/A</v>
      </c>
      <c r="L94" s="2" t="e">
        <f>IF(SUM(L6:N6)=1,L92,L93)</f>
        <v>#N/A</v>
      </c>
    </row>
    <row r="95" spans="2:21" hidden="1" x14ac:dyDescent="0.3"/>
    <row r="96" spans="2:21" hidden="1" x14ac:dyDescent="0.3">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3">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3">
      <c r="B98" s="2" t="s">
        <v>345</v>
      </c>
      <c r="C98" s="2">
        <f>IF(C14=0,0,$S$2/C14)</f>
        <v>1.4126394052044611</v>
      </c>
      <c r="F98" s="2">
        <f>IF(F14=0,0,$S$2/F14)</f>
        <v>1.4126394052044611</v>
      </c>
      <c r="I98" s="2">
        <f>IF(I14=0,0,$S$2/I14)</f>
        <v>1.4126394052044611</v>
      </c>
      <c r="L98" s="2">
        <f>IF(L14=0,0,$S$2/L14)</f>
        <v>1.4126394052044611</v>
      </c>
    </row>
    <row r="99" spans="1:13" hidden="1" x14ac:dyDescent="0.3">
      <c r="B99" s="2" t="s">
        <v>346</v>
      </c>
      <c r="C99" s="2" t="e">
        <f>MAX(0,0.5*(C77-C76-C94))</f>
        <v>#N/A</v>
      </c>
      <c r="F99" s="2" t="e">
        <f>MAX(0,0.5*(F77-F76-F94))</f>
        <v>#N/A</v>
      </c>
      <c r="I99" s="2" t="e">
        <f>MAX(0,0.5*(I77-I76-I94))</f>
        <v>#N/A</v>
      </c>
      <c r="L99" s="2" t="e">
        <f>MAX(0,0.5*(L77-L76-L94))</f>
        <v>#N/A</v>
      </c>
    </row>
    <row r="100" spans="1:13" hidden="1" x14ac:dyDescent="0.3">
      <c r="B100" s="2" t="s">
        <v>348</v>
      </c>
      <c r="C100" s="2">
        <f>IF(SUM(F3:H3)=0,0,F3/SUM(F3:H3))</f>
        <v>0</v>
      </c>
      <c r="F100" s="2">
        <f>IF(SUM(C3:E3)=0,0,C3/SUM(C3:E3))</f>
        <v>0</v>
      </c>
      <c r="I100" s="2">
        <f>IF(SUM(L3:N3)=0,0,L3/SUM(L3:N3))</f>
        <v>0</v>
      </c>
      <c r="L100" s="2">
        <f>IF(SUM(I3:K3)=0,0,I3/SUM(I3:K3))</f>
        <v>0</v>
      </c>
    </row>
    <row r="101" spans="1:13" hidden="1" x14ac:dyDescent="0.3">
      <c r="B101" s="2" t="s">
        <v>347</v>
      </c>
      <c r="C101" s="2">
        <f>IF(C100=0,0,MAX(1,(1-(1-C100)^C99)/C100))</f>
        <v>0</v>
      </c>
      <c r="F101" s="2">
        <f>IF(F100=0,0,MAX(1,(1-(1-F100)^F99)/F100))</f>
        <v>0</v>
      </c>
      <c r="I101" s="2">
        <f>IF(I100=0,0,MAX(1,(1-(1-I100)^I99)/I100))</f>
        <v>0</v>
      </c>
      <c r="L101" s="2">
        <f>IF(L100=0,0,MAX(1,(1-(1-L100)^L99)/L100))</f>
        <v>0</v>
      </c>
    </row>
    <row r="102" spans="1:13" hidden="1" x14ac:dyDescent="0.3">
      <c r="B102" s="2" t="s">
        <v>351</v>
      </c>
      <c r="C102" s="2">
        <f>IF(SUM(C3:E3)=0,0,C3/SUM(C3:E3))</f>
        <v>0</v>
      </c>
      <c r="F102" s="2">
        <f>IF(SUM(F3:H3)=0,0,F3/SUM(F3:H3))</f>
        <v>0</v>
      </c>
      <c r="I102" s="2">
        <f>IF(SUM(I3:K3)=0,0,I3/SUM(I3:K3))</f>
        <v>0</v>
      </c>
      <c r="L102" s="2">
        <f>IF(SUM(L3:N3)=0,0,L3/SUM(L3:N3))</f>
        <v>0</v>
      </c>
    </row>
    <row r="103" spans="1:13" hidden="1" x14ac:dyDescent="0.3">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3">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t="e">
        <f>D37-Phasing!P19</f>
        <v>#N/A</v>
      </c>
      <c r="G107" s="2" t="e">
        <f>G37-Phasing!R19</f>
        <v>#N/A</v>
      </c>
      <c r="J107" s="2" t="e">
        <f>J37-Phasing!T19</f>
        <v>#N/A</v>
      </c>
      <c r="M107" s="24" t="e">
        <f>M37-Phasing!V19</f>
        <v>#N/A</v>
      </c>
    </row>
    <row r="108" spans="1:13" hidden="1" x14ac:dyDescent="0.3">
      <c r="A108" s="283"/>
      <c r="B108" s="2" t="s">
        <v>471</v>
      </c>
      <c r="D108" s="2" t="e">
        <f>D107+4</f>
        <v>#N/A</v>
      </c>
      <c r="G108" s="2" t="e">
        <f>G107+4</f>
        <v>#N/A</v>
      </c>
      <c r="J108" s="2" t="e">
        <f>J107+4</f>
        <v>#N/A</v>
      </c>
      <c r="M108" s="24" t="e">
        <f>M107+4</f>
        <v>#N/A</v>
      </c>
    </row>
    <row r="109" spans="1:13" hidden="1" x14ac:dyDescent="0.3">
      <c r="A109" s="283"/>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3">
      <c r="A112" s="283"/>
      <c r="B112" s="2" t="s">
        <v>477</v>
      </c>
      <c r="D112" s="178" t="e">
        <f>D111+G111+J111+M111</f>
        <v>#N/A</v>
      </c>
      <c r="E112" s="178"/>
      <c r="F112" s="178"/>
      <c r="G112" s="178"/>
      <c r="H112" s="178"/>
      <c r="I112" s="178"/>
      <c r="J112" s="178"/>
      <c r="K112" s="178"/>
      <c r="L112" s="178"/>
      <c r="M112" s="217"/>
    </row>
    <row r="113" spans="1:58" hidden="1" x14ac:dyDescent="0.3">
      <c r="A113" s="283"/>
      <c r="B113" s="2" t="s">
        <v>486</v>
      </c>
      <c r="D113" s="165">
        <f>Phasing!P3</f>
        <v>0</v>
      </c>
      <c r="E113" s="165"/>
      <c r="F113" s="165"/>
      <c r="G113" s="165">
        <f>Phasing!R3</f>
        <v>0</v>
      </c>
      <c r="H113" s="165"/>
      <c r="I113" s="165"/>
      <c r="J113" s="165">
        <f>Phasing!T3</f>
        <v>0</v>
      </c>
      <c r="K113" s="165"/>
      <c r="L113" s="165"/>
      <c r="M113" s="219">
        <f>Phasing!V3</f>
        <v>0</v>
      </c>
    </row>
    <row r="114" spans="1:58" hidden="1" x14ac:dyDescent="0.3">
      <c r="A114" s="297"/>
      <c r="B114" s="159" t="s">
        <v>487</v>
      </c>
      <c r="C114" s="159"/>
      <c r="D114" s="220">
        <f>MAX(D113:M113)</f>
        <v>0</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3">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3">
      <c r="A119" s="283"/>
      <c r="B119" s="2" t="s">
        <v>483</v>
      </c>
      <c r="D119" s="165" t="e">
        <f>D38</f>
        <v>#N/A</v>
      </c>
      <c r="E119" s="165"/>
      <c r="F119" s="165"/>
      <c r="G119" s="165" t="e">
        <f>G38</f>
        <v>#N/A</v>
      </c>
      <c r="H119" s="165"/>
      <c r="I119" s="165"/>
      <c r="J119" s="165" t="e">
        <f>J38</f>
        <v>#N/A</v>
      </c>
      <c r="K119" s="165"/>
      <c r="L119" s="165"/>
      <c r="M119" s="219" t="e">
        <f>M38</f>
        <v>#N/A</v>
      </c>
    </row>
    <row r="120" spans="1:58" hidden="1" x14ac:dyDescent="0.3">
      <c r="A120" s="283"/>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3">
      <c r="A121" s="297"/>
      <c r="B121" s="159" t="s">
        <v>484</v>
      </c>
      <c r="C121" s="159"/>
      <c r="D121" s="218" t="e">
        <f>(D118*D120+G118*G120+J118*J120+M118*M120)/3600</f>
        <v>#N/A</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3">
      <c r="A126" s="283"/>
      <c r="B126" s="2" t="s">
        <v>54</v>
      </c>
      <c r="D126" s="178" t="e">
        <f>D111*'Input sheet'!$B$2</f>
        <v>#N/A</v>
      </c>
      <c r="G126" s="178" t="e">
        <f>G111*'Input sheet'!$B$2</f>
        <v>#N/A</v>
      </c>
      <c r="J126" s="178" t="e">
        <f>J111*'Input sheet'!$B$2</f>
        <v>#N/A</v>
      </c>
      <c r="M126" s="178" t="e">
        <f>M111*'Input sheet'!$B$2</f>
        <v>#N/A</v>
      </c>
      <c r="BF126" s="217" t="e">
        <f>SUM(C126:N126)</f>
        <v>#N/A</v>
      </c>
    </row>
    <row r="127" spans="1:58" hidden="1" x14ac:dyDescent="0.3">
      <c r="A127" s="283"/>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0</v>
      </c>
      <c r="D132" s="2">
        <f>Phasing!R3</f>
        <v>0</v>
      </c>
      <c r="E132" s="2">
        <f>Phasing!T3</f>
        <v>0</v>
      </c>
      <c r="F132" s="2">
        <f>Phasing!V3</f>
        <v>0</v>
      </c>
      <c r="G132" s="24"/>
      <c r="BI132" s="2">
        <v>8</v>
      </c>
      <c r="BJ132" s="2" t="s">
        <v>508</v>
      </c>
      <c r="BK132" s="2">
        <v>300</v>
      </c>
    </row>
    <row r="133" spans="1:63" hidden="1" x14ac:dyDescent="0.3">
      <c r="B133" s="157" t="s">
        <v>42</v>
      </c>
      <c r="C133" s="2">
        <f>'Input sheet'!D13</f>
        <v>40</v>
      </c>
      <c r="D133" s="2">
        <f>'Input sheet'!P13</f>
        <v>40</v>
      </c>
      <c r="E133" s="2">
        <f>'Input sheet'!J24</f>
        <v>40</v>
      </c>
      <c r="F133" s="2">
        <f>'Input sheet'!J4</f>
        <v>40</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t="e">
        <f>D38</f>
        <v>#N/A</v>
      </c>
      <c r="E144" s="165"/>
      <c r="F144" s="165"/>
      <c r="G144" s="165" t="e">
        <f>G38</f>
        <v>#N/A</v>
      </c>
      <c r="H144" s="165"/>
      <c r="I144" s="165"/>
      <c r="J144" s="165" t="e">
        <f>J38</f>
        <v>#N/A</v>
      </c>
      <c r="K144" s="165"/>
      <c r="L144" s="165"/>
      <c r="M144" s="219" t="e">
        <f>M38</f>
        <v>#N/A</v>
      </c>
    </row>
    <row r="145" spans="1:64" hidden="1" x14ac:dyDescent="0.3">
      <c r="A145" s="289"/>
      <c r="B145" s="2" t="s">
        <v>523</v>
      </c>
      <c r="D145" s="187">
        <f>D44</f>
        <v>0</v>
      </c>
      <c r="E145" s="187"/>
      <c r="F145" s="187"/>
      <c r="G145" s="187">
        <f>G44</f>
        <v>0</v>
      </c>
      <c r="H145" s="187"/>
      <c r="I145" s="187"/>
      <c r="J145" s="187">
        <f>J44</f>
        <v>0</v>
      </c>
      <c r="K145" s="187"/>
      <c r="L145" s="187"/>
      <c r="M145" s="216">
        <f>M44</f>
        <v>0</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3">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3">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3">
      <c r="B154" s="2" t="s">
        <v>581</v>
      </c>
    </row>
    <row r="155" spans="1:64" x14ac:dyDescent="0.3">
      <c r="B155" s="104" t="s">
        <v>582</v>
      </c>
      <c r="C155" s="2" t="str">
        <f>IF(C150=0,"",Sheet1!$B$2)</f>
        <v>0 &amp; 0</v>
      </c>
      <c r="D155" s="2" t="str">
        <f>IF(D150=0,"",Sheet1!$B$2)</f>
        <v>0 &amp; 0</v>
      </c>
      <c r="E155" s="2" t="str">
        <f>IF(E150=0,"",Sheet1!$B$2)</f>
        <v>0 &amp; 0</v>
      </c>
      <c r="F155" s="2" t="str">
        <f>IF(F150=0,"",Sheet1!$B$2)</f>
        <v>0 &amp; 0</v>
      </c>
      <c r="G155" s="2" t="str">
        <f>IF(G150=0,"",Sheet1!$B$2)</f>
        <v>0 &amp; 0</v>
      </c>
      <c r="H155" s="2" t="str">
        <f>IF(H150=0,"",Sheet1!$B$2)</f>
        <v>0 &amp; 0</v>
      </c>
      <c r="I155" s="2" t="str">
        <f>IF(I150=0,"",Sheet1!$B$2)</f>
        <v>0 &amp; 0</v>
      </c>
      <c r="J155" s="2" t="str">
        <f>IF(J150=0,"",Sheet1!$B$2)</f>
        <v>0 &amp; 0</v>
      </c>
      <c r="K155" s="2" t="str">
        <f>IF(K150=0,"",Sheet1!$B$2)</f>
        <v>0 &amp; 0</v>
      </c>
      <c r="L155" s="2" t="str">
        <f>IF(L150=0,"",Sheet1!$B$2)</f>
        <v>0 &amp; 0</v>
      </c>
      <c r="M155" s="2" t="str">
        <f>IF(M150=0,"",Sheet1!$B$2)</f>
        <v>0 &amp; 0</v>
      </c>
      <c r="N155" s="2" t="str">
        <f>IF(N150=0,"",Sheet1!$B$2)</f>
        <v>0 &amp; 0</v>
      </c>
    </row>
    <row r="156" spans="1:64" x14ac:dyDescent="0.3">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3">
      <c r="B157" s="104" t="s">
        <v>584</v>
      </c>
    </row>
    <row r="158" spans="1:64" x14ac:dyDescent="0.3">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3">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3">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40</v>
      </c>
      <c r="R4" s="2">
        <f>MAX(Sheet1!S11:U11)</f>
        <v>40</v>
      </c>
      <c r="T4" s="2">
        <f>MAX(Sheet1!C11:F11,Sheet1!W11:AB11)</f>
        <v>40</v>
      </c>
      <c r="V4" s="2">
        <f>MAX(Sheet1!I11:K11,Sheet1!AC11:AH11)</f>
        <v>40</v>
      </c>
    </row>
    <row r="5" spans="2:22" x14ac:dyDescent="0.3">
      <c r="B5" s="2" t="s">
        <v>42</v>
      </c>
      <c r="E5" s="2">
        <f>IF(E4="",0,INDEX($O$6:$V$6,1,E6))</f>
        <v>40</v>
      </c>
      <c r="G5" s="2">
        <f>IF(G4="",0,INDEX($O$6:$V$6,1,G6))</f>
        <v>40</v>
      </c>
      <c r="I5" s="2">
        <f>IF(I4="",0,INDEX($O$6:$V$6,1,I6))</f>
        <v>40</v>
      </c>
      <c r="K5" s="2">
        <f>IF(K4="",0,INDEX($O$6:$V$6,1,K6))</f>
        <v>40</v>
      </c>
      <c r="N5" s="147" t="s">
        <v>124</v>
      </c>
    </row>
    <row r="6" spans="2:22" x14ac:dyDescent="0.3">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40</v>
      </c>
      <c r="R6" s="2">
        <f>IF(R4&lt;25,25,ROUNDDOWN(R4/5,0)*5)</f>
        <v>40</v>
      </c>
      <c r="T6" s="2">
        <f>IF(T4&lt;25,25,ROUNDDOWN(T4/5,0)*5)</f>
        <v>40</v>
      </c>
      <c r="V6" s="2">
        <f>IF(V4&lt;25,25,ROUNDDOWN(V4/5,0)*5)</f>
        <v>40</v>
      </c>
    </row>
    <row r="7" spans="2:22" x14ac:dyDescent="0.3">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7</v>
      </c>
      <c r="R7" s="2">
        <f>IF(R6=0,0,MATCH(R6,'Y-AllRed'!$A:$A))</f>
        <v>7</v>
      </c>
      <c r="T7" s="2">
        <f>IF(T6=0,0,MATCH(T6,'Y-AllRed'!$A:$A))</f>
        <v>7</v>
      </c>
      <c r="V7" s="2">
        <f>IF(V6=0,0,MATCH(V6,'Y-AllRed'!$A:$A))</f>
        <v>7</v>
      </c>
    </row>
    <row r="8" spans="2:22" x14ac:dyDescent="0.3">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3">
      <c r="B9" s="2" t="s">
        <v>264</v>
      </c>
      <c r="E9" s="2">
        <f>IF(E6=0,0,INDEX($O$22:$V$22,1,E6))</f>
        <v>5</v>
      </c>
      <c r="G9" s="2">
        <f>IF(G6=0,0,INDEX($O$22:$V$22,1,G6))</f>
        <v>5</v>
      </c>
      <c r="I9" s="2">
        <f>IF(I6=0,0,INDEX($O$22:$V$22,1,I6))</f>
        <v>5</v>
      </c>
      <c r="K9" s="2">
        <f>IF(K6=0,0,INDEX($O$22:$V$22,1,K6))</f>
        <v>5</v>
      </c>
      <c r="P9" s="2">
        <f>P7</f>
        <v>7</v>
      </c>
      <c r="R9" s="2">
        <f>R7</f>
        <v>7</v>
      </c>
      <c r="T9" s="2">
        <f>T7</f>
        <v>7</v>
      </c>
      <c r="V9" s="2">
        <f>V7</f>
        <v>7</v>
      </c>
    </row>
    <row r="10" spans="2:22" x14ac:dyDescent="0.3">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3">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3">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3">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3">
      <c r="B16" s="2" t="s">
        <v>287</v>
      </c>
      <c r="D16" s="2">
        <f>IF(D4="",0,INDEX($O$28:$V$28,D6))</f>
        <v>0</v>
      </c>
      <c r="E16" s="2">
        <f t="shared" ref="E16:K16" si="7">IF(E4="",0,INDEX($O$28:$V$28,E6))</f>
        <v>0.3</v>
      </c>
      <c r="F16" s="2">
        <f t="shared" si="7"/>
        <v>0</v>
      </c>
      <c r="G16" s="2">
        <f t="shared" si="7"/>
        <v>0.3</v>
      </c>
      <c r="H16" s="2">
        <f t="shared" si="7"/>
        <v>0</v>
      </c>
      <c r="I16" s="2">
        <f t="shared" si="7"/>
        <v>0.3</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f>IF(D4="",0,INDEX($O$27:$V$27,D6))</f>
        <v>0</v>
      </c>
      <c r="E17" s="2">
        <f t="shared" ref="E17:K17" si="8">IF(E4="",0,INDEX($O$27:$V$27,E6))</f>
        <v>2.2999999999999998</v>
      </c>
      <c r="F17" s="2">
        <f t="shared" si="8"/>
        <v>0</v>
      </c>
      <c r="G17" s="2">
        <f t="shared" si="8"/>
        <v>2.2999999999999998</v>
      </c>
      <c r="H17" s="2">
        <f t="shared" si="8"/>
        <v>0</v>
      </c>
      <c r="I17" s="2">
        <f t="shared" si="8"/>
        <v>2.2999999999999998</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3">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3">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3">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3">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3">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3.5</v>
      </c>
      <c r="V23" s="2">
        <f>IF(V6&lt;=25,3,3.5)</f>
        <v>3.5</v>
      </c>
    </row>
    <row r="24" spans="1:32" x14ac:dyDescent="0.3">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70</v>
      </c>
      <c r="R24" s="2">
        <f>VLOOKUP(R6,DetZone!$G$4:$H$10,2,FALSE)</f>
        <v>70</v>
      </c>
      <c r="T24" s="2">
        <f>VLOOKUP(T6,DetZone!$G$4:$H$10,2,FALSE)</f>
        <v>70</v>
      </c>
      <c r="V24" s="2">
        <f>VLOOKUP(V6,DetZone!$G$4:$H$10,2,FALSE)</f>
        <v>70</v>
      </c>
    </row>
    <row r="25" spans="1:32" x14ac:dyDescent="0.3">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4</v>
      </c>
      <c r="R25" s="2">
        <f>MATCH(R24,DetZone!$B$18:$B$22,0)</f>
        <v>4</v>
      </c>
      <c r="T25" s="2">
        <f>MATCH(T24,DetZone!$B$18:$B$22,0)</f>
        <v>4</v>
      </c>
      <c r="V25" s="2">
        <f>MATCH(V24,DetZone!$B$18:$B$22,0)</f>
        <v>4</v>
      </c>
    </row>
    <row r="26" spans="1:32" x14ac:dyDescent="0.3">
      <c r="G26" s="34" t="s">
        <v>298</v>
      </c>
      <c r="K26" s="34" t="s">
        <v>299</v>
      </c>
      <c r="L26" s="39" t="s">
        <v>297</v>
      </c>
      <c r="N26" s="2" t="s">
        <v>312</v>
      </c>
      <c r="P26" s="2">
        <f>MATCH(P6,DetZone!$C$17:$I$17,0)</f>
        <v>4</v>
      </c>
      <c r="R26" s="2">
        <f>MATCH(R6,DetZone!$C$17:$I$17,0)</f>
        <v>4</v>
      </c>
      <c r="T26" s="2">
        <f>MATCH(T6,DetZone!$C$17:$I$17,0)</f>
        <v>4</v>
      </c>
      <c r="V26" s="2">
        <f>MATCH(V6,DetZone!$C$17:$I$17,0)</f>
        <v>4</v>
      </c>
    </row>
    <row r="27" spans="1:32" x14ac:dyDescent="0.3">
      <c r="G27" s="34">
        <f>MAX(D43+E43,H43+I43)</f>
        <v>5</v>
      </c>
      <c r="K27" s="34">
        <f>MAX(F43+G43,J43+K43)</f>
        <v>5</v>
      </c>
      <c r="L27" s="39">
        <f>G27+K27</f>
        <v>10</v>
      </c>
      <c r="N27" s="56" t="s">
        <v>257</v>
      </c>
      <c r="O27" s="56">
        <f>P27</f>
        <v>2.2999999999999998</v>
      </c>
      <c r="P27" s="56">
        <f>INDEX(DetZone!$C$18:$I$22,Phasing!P25,Phasing!P26)</f>
        <v>2.2999999999999998</v>
      </c>
      <c r="Q27" s="56">
        <f>R27</f>
        <v>2.2999999999999998</v>
      </c>
      <c r="R27" s="56">
        <f>INDEX(DetZone!$C$18:$I$22,Phasing!R25,Phasing!R26)</f>
        <v>2.2999999999999998</v>
      </c>
      <c r="S27" s="56">
        <f>T27</f>
        <v>2.2999999999999998</v>
      </c>
      <c r="T27" s="56">
        <f>INDEX(DetZone!$C$18:$I$22,Phasing!T25,Phasing!T26)</f>
        <v>2.2999999999999998</v>
      </c>
      <c r="U27" s="56">
        <f>V27</f>
        <v>2.2999999999999998</v>
      </c>
      <c r="V27" s="56">
        <f>INDEX(DetZone!$C$18:$I$22,Phasing!V25,Phasing!V26)</f>
        <v>2.2999999999999998</v>
      </c>
    </row>
    <row r="28" spans="1:32" x14ac:dyDescent="0.3">
      <c r="A28" s="281" t="s">
        <v>204</v>
      </c>
      <c r="B28" s="281"/>
      <c r="C28" s="281"/>
      <c r="N28" s="110" t="s">
        <v>314</v>
      </c>
      <c r="O28" s="110">
        <f>P28</f>
        <v>0.3</v>
      </c>
      <c r="P28" s="110">
        <f>INDEX(DetZone!$C$27:$I$31,Phasing!P25,Phasing!P26)</f>
        <v>0.3</v>
      </c>
      <c r="Q28" s="110">
        <f>R28</f>
        <v>0.3</v>
      </c>
      <c r="R28" s="110">
        <f>INDEX(DetZone!$C$27:$I$31,Phasing!R25,Phasing!R26)</f>
        <v>0.3</v>
      </c>
      <c r="S28" s="110">
        <f>T28</f>
        <v>0.3</v>
      </c>
      <c r="T28" s="110">
        <f>INDEX(DetZone!$C$27:$I$31,Phasing!T25,Phasing!T26)</f>
        <v>0.3</v>
      </c>
      <c r="U28" s="110">
        <f>V28</f>
        <v>0.3</v>
      </c>
      <c r="V28" s="110">
        <f>INDEX(DetZone!$C$27:$I$31,Phasing!V25,Phasing!V26)</f>
        <v>0.3</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0 &amp; 0</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3">
      <c r="B31" s="123" t="s">
        <v>255</v>
      </c>
      <c r="C31" s="123" t="str">
        <f>C30</f>
        <v>0 &amp; 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70" t="s">
        <v>456</v>
      </c>
      <c r="X31" s="270"/>
      <c r="Y31" s="270"/>
      <c r="Z31" s="270"/>
      <c r="AA31" s="270"/>
      <c r="AB31" s="270"/>
      <c r="AC31" s="270"/>
      <c r="AD31" s="270"/>
      <c r="AE31" s="270"/>
      <c r="AF31" s="270"/>
    </row>
    <row r="32" spans="1:32" x14ac:dyDescent="0.3">
      <c r="B32" s="2" t="s">
        <v>256</v>
      </c>
      <c r="C32" s="2" t="str">
        <f t="shared" ref="C32:C52" si="18">C31</f>
        <v>0 &amp; 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0 &amp; 0</v>
      </c>
      <c r="D33" s="123">
        <f>IF(D4="",0,D17)</f>
        <v>0</v>
      </c>
      <c r="E33" s="123">
        <f t="shared" ref="E33:K33" si="20">IF(E4="",0,E17)</f>
        <v>2.2999999999999998</v>
      </c>
      <c r="F33" s="123">
        <f t="shared" si="20"/>
        <v>0</v>
      </c>
      <c r="G33" s="123">
        <f t="shared" si="20"/>
        <v>2.2999999999999998</v>
      </c>
      <c r="H33" s="123">
        <f t="shared" si="20"/>
        <v>0</v>
      </c>
      <c r="I33" s="123">
        <f t="shared" si="20"/>
        <v>2.2999999999999998</v>
      </c>
      <c r="J33" s="123">
        <f t="shared" si="20"/>
        <v>0</v>
      </c>
      <c r="K33" s="123">
        <f t="shared" si="20"/>
        <v>2.2999999999999998</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3">
      <c r="B34" s="2" t="s">
        <v>258</v>
      </c>
      <c r="C34" s="2" t="str">
        <f t="shared" si="18"/>
        <v>0 &amp; 0</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3">
      <c r="B35" s="123" t="s">
        <v>259</v>
      </c>
      <c r="C35" s="123" t="str">
        <f t="shared" si="18"/>
        <v>0 &amp; 0</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3">
      <c r="B36" s="2" t="s">
        <v>260</v>
      </c>
      <c r="C36" s="2" t="str">
        <f t="shared" si="18"/>
        <v>0 &amp; 0</v>
      </c>
      <c r="D36" s="2">
        <f>IF(D4="",0,D16)</f>
        <v>0</v>
      </c>
      <c r="E36" s="2">
        <f t="shared" ref="E36:K36" si="25">IF(E4="",0,E16)</f>
        <v>0.3</v>
      </c>
      <c r="F36" s="2">
        <f t="shared" si="25"/>
        <v>0</v>
      </c>
      <c r="G36" s="2">
        <f t="shared" si="25"/>
        <v>0.3</v>
      </c>
      <c r="H36" s="2">
        <f t="shared" si="25"/>
        <v>0</v>
      </c>
      <c r="I36" s="2">
        <f t="shared" si="25"/>
        <v>0.3</v>
      </c>
      <c r="J36" s="2">
        <f t="shared" si="25"/>
        <v>0</v>
      </c>
      <c r="K36" s="2">
        <f t="shared" si="25"/>
        <v>0.3</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3">
      <c r="B37" s="123" t="s">
        <v>261</v>
      </c>
      <c r="C37" s="123" t="str">
        <f t="shared" si="18"/>
        <v>0 &amp; 0</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3">
      <c r="B38" s="2" t="s">
        <v>262</v>
      </c>
      <c r="C38" s="2" t="str">
        <f t="shared" si="18"/>
        <v>0 &amp; 0</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3">
      <c r="B39" s="123" t="s">
        <v>263</v>
      </c>
      <c r="C39" s="123" t="str">
        <f t="shared" si="18"/>
        <v>0 &amp; 0</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3">
      <c r="B40" s="2" t="s">
        <v>264</v>
      </c>
      <c r="C40" s="2" t="str">
        <f t="shared" si="18"/>
        <v>0 &amp; 0</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3">
      <c r="B41" s="123" t="s">
        <v>265</v>
      </c>
      <c r="C41" s="123" t="str">
        <f t="shared" si="18"/>
        <v>0 &amp; 0</v>
      </c>
      <c r="D41" s="123"/>
      <c r="E41" s="123">
        <f>E10</f>
        <v>0</v>
      </c>
      <c r="F41" s="123"/>
      <c r="G41" s="123">
        <f>G10</f>
        <v>0</v>
      </c>
      <c r="H41" s="123"/>
      <c r="I41" s="123">
        <f>I10</f>
        <v>0</v>
      </c>
      <c r="J41" s="123"/>
      <c r="K41" s="123">
        <f>K10</f>
        <v>0</v>
      </c>
    </row>
    <row r="42" spans="2:32" x14ac:dyDescent="0.3">
      <c r="B42" s="2" t="s">
        <v>266</v>
      </c>
      <c r="C42" s="2" t="str">
        <f t="shared" si="18"/>
        <v>0 &amp; 0</v>
      </c>
      <c r="E42" s="2">
        <f>IF(E40=0,0,1)</f>
        <v>1</v>
      </c>
      <c r="G42" s="2">
        <f>IF(G40=0,0,1)</f>
        <v>1</v>
      </c>
      <c r="I42" s="2">
        <f>IF(I40=0,0,1)</f>
        <v>1</v>
      </c>
      <c r="K42" s="2">
        <f>IF(K40=0,0,1)</f>
        <v>1</v>
      </c>
      <c r="AF42" s="187"/>
    </row>
    <row r="43" spans="2:32" x14ac:dyDescent="0.3">
      <c r="B43" s="123" t="s">
        <v>267</v>
      </c>
      <c r="C43" s="123" t="str">
        <f t="shared" si="18"/>
        <v>0 &amp; 0</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3">
      <c r="B44" s="2" t="s">
        <v>268</v>
      </c>
      <c r="C44" s="2" t="str">
        <f t="shared" si="18"/>
        <v>0 &amp; 0</v>
      </c>
      <c r="D44" s="2">
        <v>0</v>
      </c>
      <c r="E44" s="2" t="e">
        <f>IF(E3=0,0,1)</f>
        <v>#N/A</v>
      </c>
      <c r="F44" s="2">
        <v>0</v>
      </c>
      <c r="G44" s="2" t="e">
        <f>IF(G3=0,0,1)</f>
        <v>#N/A</v>
      </c>
      <c r="H44" s="2">
        <v>0</v>
      </c>
      <c r="I44" s="2" t="e">
        <f>IF(I3=0,0,1)</f>
        <v>#N/A</v>
      </c>
      <c r="J44" s="2">
        <v>0</v>
      </c>
      <c r="K44" s="2" t="e">
        <f>IF(K3=0,0,1)</f>
        <v>#N/A</v>
      </c>
      <c r="AF44" s="187"/>
    </row>
    <row r="45" spans="2:32" x14ac:dyDescent="0.3">
      <c r="B45" s="123" t="s">
        <v>269</v>
      </c>
      <c r="C45" s="123" t="str">
        <f t="shared" si="18"/>
        <v>0 &amp; 0</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3">
      <c r="B46" s="2" t="s">
        <v>270</v>
      </c>
      <c r="C46" s="2" t="str">
        <f t="shared" si="18"/>
        <v>0 &amp; 0</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3">
      <c r="B47" s="123" t="s">
        <v>271</v>
      </c>
      <c r="C47" s="123" t="str">
        <f t="shared" si="18"/>
        <v>0 &amp; 0</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3">
      <c r="B48" s="2" t="s">
        <v>272</v>
      </c>
      <c r="C48" s="2" t="str">
        <f t="shared" si="18"/>
        <v>0 &amp; 0</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3">
      <c r="B49" s="123" t="s">
        <v>273</v>
      </c>
      <c r="C49" s="123" t="str">
        <f t="shared" si="18"/>
        <v>0 &amp; 0</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3">
      <c r="B50" s="2" t="s">
        <v>274</v>
      </c>
      <c r="C50" s="2" t="str">
        <f t="shared" si="18"/>
        <v>0 &amp; 0</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3">
      <c r="B51" s="123" t="s">
        <v>275</v>
      </c>
      <c r="C51" s="123" t="str">
        <f t="shared" si="18"/>
        <v>0 &amp; 0</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3">
      <c r="B52" s="2" t="s">
        <v>276</v>
      </c>
      <c r="C52" s="2" t="str">
        <f t="shared" si="18"/>
        <v>0 &amp; 0</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3">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3">
      <c r="D54" s="2">
        <v>1</v>
      </c>
      <c r="E54" s="2">
        <v>2</v>
      </c>
      <c r="F54" s="2">
        <v>3</v>
      </c>
      <c r="G54" s="2">
        <v>4</v>
      </c>
      <c r="H54" s="2">
        <v>5</v>
      </c>
      <c r="I54" s="2">
        <v>6</v>
      </c>
      <c r="J54" s="2">
        <v>7</v>
      </c>
      <c r="K54" s="2">
        <v>8</v>
      </c>
    </row>
    <row r="55" spans="2:32" x14ac:dyDescent="0.3">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3">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3">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3">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3">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3">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3">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3">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Y33" sqref="Y33"/>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3">
      <c r="D3" s="300">
        <f>Sheet1!J38</f>
        <v>0</v>
      </c>
      <c r="E3" s="300"/>
      <c r="F3" s="300"/>
      <c r="N3" s="300">
        <f>D3</f>
        <v>0</v>
      </c>
      <c r="O3" s="300"/>
      <c r="P3" s="300"/>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3">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3">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3">
      <c r="I6" s="9" t="s">
        <v>76</v>
      </c>
      <c r="S6" s="2"/>
    </row>
    <row r="7" spans="1:36" x14ac:dyDescent="0.3">
      <c r="S7" s="2"/>
    </row>
    <row r="9" spans="1:36" x14ac:dyDescent="0.3">
      <c r="B9" s="45">
        <f>IF(T15=0,0,Sheet1!N4)</f>
        <v>0</v>
      </c>
      <c r="C9" s="41"/>
      <c r="H9" s="57">
        <f>IF(Z15=0,0,Sheet1!U4)</f>
        <v>0</v>
      </c>
      <c r="L9" s="66" t="str">
        <f>IF(T9=0,"N/A",AC5)</f>
        <v>N/A</v>
      </c>
      <c r="R9" s="68">
        <f>'Phase calculation'!H33</f>
        <v>8</v>
      </c>
      <c r="S9" s="2"/>
      <c r="T9" s="45">
        <f>Sheet1!N5</f>
        <v>0</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f>Sheet1!O38</f>
        <v>0</v>
      </c>
      <c r="B11" s="45">
        <f>IF(T15=0,0,Sheet1!O4)</f>
        <v>0</v>
      </c>
      <c r="D11" s="5"/>
      <c r="E11" s="6" t="str">
        <f>Sheet1!B2</f>
        <v>0 &amp; 0</v>
      </c>
      <c r="F11" s="5"/>
      <c r="G11" s="5"/>
      <c r="H11" s="58">
        <f>IF(Z15=0,0,Sheet1!T4)</f>
        <v>0</v>
      </c>
      <c r="I11" s="106">
        <f>Sheet1!T38</f>
        <v>0</v>
      </c>
      <c r="K11" s="107">
        <f>A11</f>
        <v>0</v>
      </c>
      <c r="L11" s="66" t="str">
        <f>IF(T11=0,"N/A",AD5)</f>
        <v>N/A</v>
      </c>
      <c r="M11" s="5"/>
      <c r="N11" s="5"/>
      <c r="O11" s="5"/>
      <c r="P11" s="5"/>
      <c r="R11" s="68" t="str">
        <f>IF(Z11=0,"N/A",AF5)</f>
        <v>N/A</v>
      </c>
      <c r="T11" s="45">
        <f>Sheet1!O5</f>
        <v>0</v>
      </c>
      <c r="V11" s="5"/>
      <c r="W11" s="5"/>
      <c r="X11" s="5"/>
      <c r="Y11" s="5"/>
      <c r="Z11" s="58">
        <f>Sheet1!T5</f>
        <v>0</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3">
      <c r="D18" s="300">
        <f>Sheet1!E38</f>
        <v>0</v>
      </c>
      <c r="E18" s="300"/>
      <c r="F18" s="300"/>
      <c r="N18" s="300">
        <f>D18</f>
        <v>0</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f>D3</f>
        <v>0</v>
      </c>
      <c r="E21" s="300"/>
      <c r="F21" s="300"/>
      <c r="N21" s="300">
        <f>D3</f>
        <v>0</v>
      </c>
      <c r="O21" s="300"/>
      <c r="P21" s="300"/>
    </row>
    <row r="22" spans="1:25" x14ac:dyDescent="0.3">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3">
      <c r="I24" s="9" t="s">
        <v>76</v>
      </c>
    </row>
    <row r="27" spans="1:25" x14ac:dyDescent="0.3">
      <c r="B27" s="60" t="e">
        <f>IF(Z15=0,'Phase calculation'!D34,'Phase calculation'!C34)</f>
        <v>#N/A</v>
      </c>
      <c r="E27" s="64"/>
      <c r="H27" s="61" t="e">
        <f>'Phase calculation'!H34</f>
        <v>#N/A</v>
      </c>
      <c r="L27" s="23">
        <f>IF(T9=0,0,'Phase calculation'!C41)</f>
        <v>0</v>
      </c>
      <c r="N27" s="64"/>
      <c r="O27" s="64"/>
      <c r="R27" s="4" t="e">
        <f>'Phase calculation'!H41</f>
        <v>#N/A</v>
      </c>
    </row>
    <row r="28" spans="1:25" x14ac:dyDescent="0.3">
      <c r="C28" s="5"/>
      <c r="D28" s="64"/>
      <c r="E28" s="304" t="e">
        <f>IF(E22+F22+H27+H29+E35+D35+B29+B27=0,0,"C = "&amp;'Phase calculation'!C25&amp;" s")</f>
        <v>#N/A</v>
      </c>
      <c r="G28" s="5"/>
      <c r="H28" s="12"/>
      <c r="I28" s="5"/>
      <c r="L28" s="41"/>
      <c r="M28" s="5"/>
      <c r="N28" s="64"/>
      <c r="O28" s="64"/>
      <c r="P28" s="5"/>
    </row>
    <row r="29" spans="1:25" x14ac:dyDescent="0.3">
      <c r="A29" s="107">
        <f>A11</f>
        <v>0</v>
      </c>
      <c r="B29" s="36">
        <f>IF(T11=0,0,'Phase calculation'!D34)</f>
        <v>0</v>
      </c>
      <c r="C29" s="5"/>
      <c r="D29" s="5"/>
      <c r="E29" s="304"/>
      <c r="G29" s="5"/>
      <c r="H29" s="62">
        <f>IF(Z11=0,0,'Phase calculation'!G34)</f>
        <v>0</v>
      </c>
      <c r="I29" s="107">
        <f>I11</f>
        <v>0</v>
      </c>
      <c r="K29" s="107">
        <f>A11</f>
        <v>0</v>
      </c>
      <c r="L29" s="23">
        <f>IF(T11=0,0,'Phase calculation'!D41)</f>
        <v>0</v>
      </c>
      <c r="M29" s="5"/>
      <c r="N29" s="5"/>
      <c r="O29" s="5"/>
      <c r="P29" s="5"/>
      <c r="R29" s="4">
        <f>IF(Z11=0,0,'Phase calculation'!G41)</f>
        <v>0</v>
      </c>
    </row>
    <row r="30" spans="1:25" x14ac:dyDescent="0.3">
      <c r="C30" s="15"/>
      <c r="D30" s="8"/>
      <c r="E30" s="304"/>
      <c r="G30" s="8"/>
      <c r="H30" s="5"/>
      <c r="I30" s="7"/>
      <c r="M30" s="15"/>
      <c r="N30" s="8"/>
      <c r="O30" s="8"/>
      <c r="P30" s="8"/>
      <c r="Q30" s="5"/>
      <c r="R30" s="12"/>
    </row>
    <row r="31" spans="1:25" x14ac:dyDescent="0.3">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3">
      <c r="D36" s="300">
        <f>D18</f>
        <v>0</v>
      </c>
      <c r="E36" s="300"/>
      <c r="F36" s="300"/>
      <c r="N36" s="300">
        <f>D18</f>
        <v>0</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f>D3</f>
        <v>0</v>
      </c>
      <c r="P40" s="300"/>
      <c r="Q40" s="300"/>
    </row>
    <row r="41" spans="2:19" x14ac:dyDescent="0.3">
      <c r="D41" s="300">
        <f>D3</f>
        <v>0</v>
      </c>
      <c r="E41" s="300"/>
      <c r="F41" s="300"/>
      <c r="O41" s="305">
        <f>'Phase calculation'!L46</f>
        <v>0</v>
      </c>
      <c r="P41" s="305"/>
      <c r="Q41" s="305"/>
    </row>
    <row r="42" spans="2:19" x14ac:dyDescent="0.3">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str">
        <f>IF(T9=0,"N/A",'Phase calculation'!C40)</f>
        <v>N/A</v>
      </c>
      <c r="C47" s="70"/>
      <c r="H47" s="73" t="e">
        <f>'Phase calculation'!H40</f>
        <v>#N/A</v>
      </c>
      <c r="M47" s="129" t="str">
        <f>IF(T9=0,"N/A",'Phase calculation'!C44)</f>
        <v>N/A</v>
      </c>
      <c r="N47" s="127"/>
      <c r="P47" s="152"/>
      <c r="Q47" s="127"/>
    </row>
    <row r="48" spans="2:19" x14ac:dyDescent="0.3">
      <c r="B48" s="70"/>
      <c r="C48" s="74"/>
      <c r="D48" s="310">
        <f>'Phase calculation'!T82</f>
        <v>0</v>
      </c>
      <c r="E48" s="310"/>
      <c r="F48" s="310"/>
      <c r="M48" s="127"/>
      <c r="N48" s="130"/>
      <c r="O48" s="303">
        <f>'Phase calculation'!T84</f>
        <v>0</v>
      </c>
      <c r="P48" s="303"/>
      <c r="Q48" s="303"/>
    </row>
    <row r="49" spans="1:20" x14ac:dyDescent="0.3">
      <c r="A49" s="107">
        <f>A11</f>
        <v>0</v>
      </c>
      <c r="B49" s="72" t="str">
        <f>IF(T11=0,"N/A",'Phase calculation'!D40)</f>
        <v>N/A</v>
      </c>
      <c r="C49" s="74"/>
      <c r="D49" s="310" t="str">
        <f>'Phase calculation'!C52</f>
        <v>Under Capacity</v>
      </c>
      <c r="E49" s="310"/>
      <c r="F49" s="310"/>
      <c r="H49" s="73" t="str">
        <f>IF(Z11=0,"N/A",'Phase calculation'!G40)</f>
        <v>N/A</v>
      </c>
      <c r="I49" s="107">
        <f>I11</f>
        <v>0</v>
      </c>
      <c r="K49" s="107">
        <f>A11</f>
        <v>0</v>
      </c>
      <c r="L49" s="177">
        <f>'Phase calculation'!C46</f>
        <v>0</v>
      </c>
      <c r="M49" s="129" t="str">
        <f>IF(T11=0,"N/A",'Phase calculation'!D44)</f>
        <v>N/A</v>
      </c>
      <c r="N49" s="130"/>
      <c r="O49" s="303"/>
      <c r="P49" s="303"/>
      <c r="Q49" s="303"/>
      <c r="S49" s="177">
        <f>'Phase calculation'!F46</f>
        <v>0</v>
      </c>
      <c r="T49" s="107">
        <f>I11</f>
        <v>0</v>
      </c>
    </row>
    <row r="50" spans="1:20" x14ac:dyDescent="0.3">
      <c r="B50" s="70"/>
      <c r="C50" s="16"/>
      <c r="D50" s="16"/>
      <c r="E50" s="16"/>
      <c r="F50" s="16"/>
      <c r="G50" s="74"/>
      <c r="H50" s="75"/>
      <c r="M50" s="127"/>
      <c r="N50" s="131"/>
      <c r="O50" s="303"/>
      <c r="P50" s="303"/>
      <c r="Q50" s="303"/>
      <c r="R50" s="130"/>
    </row>
    <row r="51" spans="1:20" x14ac:dyDescent="0.3">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3">
      <c r="D56" s="300">
        <f>D18</f>
        <v>0</v>
      </c>
      <c r="E56" s="300"/>
      <c r="F56" s="300"/>
      <c r="O56" s="305">
        <f>'Phase calculation'!I46</f>
        <v>0</v>
      </c>
      <c r="P56" s="305"/>
      <c r="Q56" s="305"/>
    </row>
    <row r="57" spans="1:20" x14ac:dyDescent="0.3">
      <c r="O57" s="300">
        <f>D18</f>
        <v>0</v>
      </c>
      <c r="P57" s="300"/>
      <c r="Q57" s="300"/>
    </row>
    <row r="58" spans="1:20" x14ac:dyDescent="0.3">
      <c r="G58" s="308" t="s">
        <v>220</v>
      </c>
      <c r="H58" s="308"/>
      <c r="I58" s="308"/>
      <c r="J58" s="308"/>
      <c r="K58" s="308"/>
      <c r="L58" s="308"/>
      <c r="M58" s="22"/>
    </row>
    <row r="59" spans="1:20" x14ac:dyDescent="0.3">
      <c r="I59" s="300">
        <f>D3</f>
        <v>0</v>
      </c>
      <c r="J59" s="300"/>
      <c r="K59" s="300"/>
    </row>
    <row r="60" spans="1:20" x14ac:dyDescent="0.3">
      <c r="I60" s="2"/>
      <c r="J60" s="9" t="str">
        <f>'Phase calculation'!L47</f>
        <v>N/A</v>
      </c>
      <c r="K60" s="2"/>
    </row>
    <row r="61" spans="1:20" x14ac:dyDescent="0.3">
      <c r="I61" s="84" t="str">
        <f>'Phase calculation'!N45</f>
        <v>N/A</v>
      </c>
      <c r="J61" s="84" t="str">
        <f>'Phase calculation'!M45</f>
        <v>N/A</v>
      </c>
      <c r="K61" s="84" t="str">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str">
        <f>'Phase calculation'!U84</f>
        <v>N/A</v>
      </c>
      <c r="J67" s="309"/>
      <c r="K67" s="309"/>
      <c r="P67" s="2" t="s">
        <v>147</v>
      </c>
      <c r="Q67" s="28"/>
    </row>
    <row r="68" spans="5:17" ht="15" customHeight="1" x14ac:dyDescent="0.3">
      <c r="E68" s="107">
        <f>A11</f>
        <v>0</v>
      </c>
      <c r="F68" s="9" t="str">
        <f>'Phase calculation'!C47</f>
        <v>N/A</v>
      </c>
      <c r="G68" s="40" t="str">
        <f>'Phase calculation'!D45</f>
        <v>N/A</v>
      </c>
      <c r="H68" s="5"/>
      <c r="I68" s="309"/>
      <c r="J68" s="309"/>
      <c r="K68" s="309"/>
      <c r="M68" s="85" t="str">
        <f>'Phase calculation'!G45</f>
        <v>N/A</v>
      </c>
      <c r="N68" s="9" t="str">
        <f>'Phase calculation'!F47</f>
        <v>N/A</v>
      </c>
      <c r="O68" s="107">
        <f>I11</f>
        <v>0</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N/A</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N/A</v>
      </c>
      <c r="K74" s="84" t="str">
        <f>'Phase calculation'!K45</f>
        <v>N/A</v>
      </c>
    </row>
    <row r="75" spans="5:17" x14ac:dyDescent="0.3">
      <c r="J75" s="9" t="str">
        <f>'Phase calculation'!I47</f>
        <v>N/A</v>
      </c>
    </row>
    <row r="76" spans="5:17" x14ac:dyDescent="0.3">
      <c r="I76" s="300">
        <f>D18</f>
        <v>0</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3">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3">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3">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3">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3">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4">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399999999999999" x14ac:dyDescent="0.35">
      <c r="F92" s="306"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2" x14ac:dyDescent="0.45">
      <c r="F93" s="306"/>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399999999999999" x14ac:dyDescent="0.35">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399999999999999" x14ac:dyDescent="0.35">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399999999999999" x14ac:dyDescent="0.35">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399999999999999" x14ac:dyDescent="0.35">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4">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2825"/>
  <sheetViews>
    <sheetView topLeftCell="A138" workbookViewId="0">
      <selection activeCell="A2367" sqref="A2367:R2823"/>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739</v>
      </c>
      <c r="B23" s="262">
        <v>44089</v>
      </c>
    </row>
    <row r="24" spans="1:11" x14ac:dyDescent="0.3">
      <c r="A24" t="s">
        <v>660</v>
      </c>
      <c r="B24" s="259">
        <v>0.33819444444444446</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1</v>
      </c>
      <c r="B29">
        <v>0</v>
      </c>
      <c r="C29">
        <v>-346735</v>
      </c>
      <c r="D29">
        <v>9736</v>
      </c>
      <c r="E29">
        <v>0</v>
      </c>
    </row>
    <row r="30" spans="1:11" x14ac:dyDescent="0.3">
      <c r="A30">
        <v>2</v>
      </c>
      <c r="B30">
        <v>1</v>
      </c>
      <c r="C30">
        <v>-346040</v>
      </c>
      <c r="D30">
        <v>9485</v>
      </c>
      <c r="E30">
        <v>0</v>
      </c>
    </row>
    <row r="31" spans="1:11" x14ac:dyDescent="0.3">
      <c r="A31">
        <v>3</v>
      </c>
      <c r="B31">
        <v>1</v>
      </c>
      <c r="C31">
        <v>-346548</v>
      </c>
      <c r="D31">
        <v>10284</v>
      </c>
      <c r="E31">
        <v>0</v>
      </c>
    </row>
    <row r="32" spans="1:11" x14ac:dyDescent="0.3">
      <c r="A32">
        <v>4</v>
      </c>
      <c r="B32">
        <v>1</v>
      </c>
      <c r="C32">
        <v>-349537</v>
      </c>
      <c r="D32">
        <v>11077</v>
      </c>
      <c r="E32">
        <v>0</v>
      </c>
    </row>
    <row r="33" spans="1:5" x14ac:dyDescent="0.3">
      <c r="A33">
        <v>5</v>
      </c>
      <c r="B33">
        <v>1</v>
      </c>
      <c r="C33">
        <v>-346875</v>
      </c>
      <c r="D33">
        <v>9229</v>
      </c>
      <c r="E33">
        <v>0</v>
      </c>
    </row>
    <row r="34" spans="1:5" x14ac:dyDescent="0.3">
      <c r="A34">
        <v>6</v>
      </c>
      <c r="B34">
        <v>1</v>
      </c>
      <c r="C34">
        <v>-349536</v>
      </c>
      <c r="D34">
        <v>10137</v>
      </c>
      <c r="E34">
        <v>0</v>
      </c>
    </row>
    <row r="35" spans="1:5" x14ac:dyDescent="0.3">
      <c r="A35">
        <v>7</v>
      </c>
      <c r="B35">
        <v>0</v>
      </c>
      <c r="C35">
        <v>-352164</v>
      </c>
      <c r="D35">
        <v>11632</v>
      </c>
      <c r="E35">
        <v>0</v>
      </c>
    </row>
    <row r="36" spans="1:5" x14ac:dyDescent="0.3">
      <c r="A36">
        <v>8</v>
      </c>
      <c r="B36">
        <v>1</v>
      </c>
      <c r="C36">
        <v>-352126</v>
      </c>
      <c r="D36">
        <v>12298</v>
      </c>
      <c r="E36">
        <v>0</v>
      </c>
    </row>
    <row r="37" spans="1:5" x14ac:dyDescent="0.3">
      <c r="A37">
        <v>9</v>
      </c>
      <c r="B37">
        <v>0</v>
      </c>
      <c r="C37">
        <v>-349536</v>
      </c>
      <c r="D37">
        <v>10712</v>
      </c>
      <c r="E37">
        <v>0</v>
      </c>
    </row>
    <row r="38" spans="1:5" x14ac:dyDescent="0.3">
      <c r="A38">
        <v>10</v>
      </c>
      <c r="B38">
        <v>1</v>
      </c>
      <c r="C38">
        <v>-352168</v>
      </c>
      <c r="D38">
        <v>11120</v>
      </c>
      <c r="E38">
        <v>0</v>
      </c>
    </row>
    <row r="39" spans="1:5" x14ac:dyDescent="0.3">
      <c r="A39">
        <v>11</v>
      </c>
      <c r="B39">
        <v>0</v>
      </c>
      <c r="C39">
        <v>-354820</v>
      </c>
      <c r="D39">
        <v>12579</v>
      </c>
      <c r="E39">
        <v>0</v>
      </c>
    </row>
    <row r="40" spans="1:5" x14ac:dyDescent="0.3">
      <c r="A40">
        <v>12</v>
      </c>
      <c r="B40">
        <v>1</v>
      </c>
      <c r="C40">
        <v>-354803</v>
      </c>
      <c r="D40">
        <v>13112</v>
      </c>
      <c r="E40">
        <v>0</v>
      </c>
    </row>
    <row r="41" spans="1:5" x14ac:dyDescent="0.3">
      <c r="A41">
        <v>13</v>
      </c>
      <c r="B41">
        <v>0</v>
      </c>
      <c r="C41">
        <v>-359474</v>
      </c>
      <c r="D41">
        <v>14519</v>
      </c>
      <c r="E41">
        <v>0</v>
      </c>
    </row>
    <row r="42" spans="1:5" x14ac:dyDescent="0.3">
      <c r="A42">
        <v>14</v>
      </c>
      <c r="B42">
        <v>1</v>
      </c>
      <c r="C42">
        <v>-354829</v>
      </c>
      <c r="D42">
        <v>12178</v>
      </c>
      <c r="E42">
        <v>0</v>
      </c>
    </row>
    <row r="43" spans="1:5" x14ac:dyDescent="0.3">
      <c r="A43">
        <v>15</v>
      </c>
      <c r="B43">
        <v>1</v>
      </c>
      <c r="C43">
        <v>-359018</v>
      </c>
      <c r="D43">
        <v>15029</v>
      </c>
      <c r="E43">
        <v>0</v>
      </c>
    </row>
    <row r="44" spans="1:5" x14ac:dyDescent="0.3">
      <c r="A44">
        <v>16</v>
      </c>
      <c r="B44">
        <v>1</v>
      </c>
      <c r="C44">
        <v>-359844</v>
      </c>
      <c r="D44">
        <v>14129</v>
      </c>
      <c r="E44">
        <v>0</v>
      </c>
    </row>
    <row r="45" spans="1:5" x14ac:dyDescent="0.3">
      <c r="A45">
        <v>17</v>
      </c>
      <c r="B45">
        <v>0</v>
      </c>
      <c r="C45">
        <v>-364569</v>
      </c>
      <c r="D45">
        <v>19315</v>
      </c>
      <c r="E45">
        <v>0</v>
      </c>
    </row>
    <row r="46" spans="1:5" x14ac:dyDescent="0.3">
      <c r="A46">
        <v>18</v>
      </c>
      <c r="B46">
        <v>2</v>
      </c>
      <c r="C46">
        <v>-358758</v>
      </c>
      <c r="D46">
        <v>13959</v>
      </c>
      <c r="E46">
        <v>0</v>
      </c>
    </row>
    <row r="47" spans="1:5" x14ac:dyDescent="0.3">
      <c r="A47">
        <v>19</v>
      </c>
      <c r="B47">
        <v>1</v>
      </c>
      <c r="C47">
        <v>-365564</v>
      </c>
      <c r="D47">
        <v>19284</v>
      </c>
      <c r="E47">
        <v>0</v>
      </c>
    </row>
    <row r="48" spans="1:5" x14ac:dyDescent="0.3">
      <c r="A48">
        <v>20</v>
      </c>
      <c r="B48">
        <v>1</v>
      </c>
      <c r="C48">
        <v>-364372</v>
      </c>
      <c r="D48">
        <v>19525</v>
      </c>
      <c r="E48">
        <v>0</v>
      </c>
    </row>
    <row r="49" spans="1:5" x14ac:dyDescent="0.3">
      <c r="A49">
        <v>21</v>
      </c>
      <c r="B49">
        <v>0</v>
      </c>
      <c r="C49">
        <v>-367990</v>
      </c>
      <c r="D49">
        <v>22570</v>
      </c>
      <c r="E49">
        <v>0</v>
      </c>
    </row>
    <row r="50" spans="1:5" x14ac:dyDescent="0.3">
      <c r="A50">
        <v>22</v>
      </c>
      <c r="B50">
        <v>1</v>
      </c>
      <c r="C50">
        <v>-367977</v>
      </c>
      <c r="D50">
        <v>21947</v>
      </c>
      <c r="E50">
        <v>0</v>
      </c>
    </row>
    <row r="51" spans="1:5" x14ac:dyDescent="0.3">
      <c r="A51">
        <v>23</v>
      </c>
      <c r="B51">
        <v>1</v>
      </c>
      <c r="C51">
        <v>-367983</v>
      </c>
      <c r="D51">
        <v>23022</v>
      </c>
      <c r="E51">
        <v>0</v>
      </c>
    </row>
    <row r="52" spans="1:5" x14ac:dyDescent="0.3">
      <c r="A52">
        <v>24</v>
      </c>
      <c r="B52">
        <v>1</v>
      </c>
      <c r="C52">
        <v>-369718</v>
      </c>
      <c r="D52">
        <v>23751</v>
      </c>
      <c r="E52">
        <v>0</v>
      </c>
    </row>
    <row r="53" spans="1:5" x14ac:dyDescent="0.3">
      <c r="A53">
        <v>25</v>
      </c>
      <c r="B53">
        <v>0</v>
      </c>
      <c r="C53">
        <v>-355790</v>
      </c>
      <c r="D53">
        <v>12919</v>
      </c>
      <c r="E53">
        <v>0</v>
      </c>
    </row>
    <row r="54" spans="1:5" x14ac:dyDescent="0.3">
      <c r="A54">
        <v>26</v>
      </c>
      <c r="B54">
        <v>0</v>
      </c>
      <c r="C54">
        <v>-371878</v>
      </c>
      <c r="D54">
        <v>26176</v>
      </c>
      <c r="E54">
        <v>0</v>
      </c>
    </row>
    <row r="55" spans="1:5" x14ac:dyDescent="0.3">
      <c r="A55">
        <v>27</v>
      </c>
      <c r="B55">
        <v>0</v>
      </c>
      <c r="C55">
        <v>-372795</v>
      </c>
      <c r="D55">
        <v>27041</v>
      </c>
      <c r="E55">
        <v>0</v>
      </c>
    </row>
    <row r="56" spans="1:5" x14ac:dyDescent="0.3">
      <c r="A56">
        <v>28</v>
      </c>
      <c r="B56">
        <v>0</v>
      </c>
      <c r="C56">
        <v>-369529</v>
      </c>
      <c r="D56">
        <v>23950</v>
      </c>
      <c r="E56">
        <v>0</v>
      </c>
    </row>
    <row r="57" spans="1:5" x14ac:dyDescent="0.3">
      <c r="A57">
        <v>29</v>
      </c>
      <c r="B57">
        <v>1</v>
      </c>
      <c r="C57">
        <v>-372075</v>
      </c>
      <c r="D57">
        <v>25952</v>
      </c>
      <c r="E57">
        <v>0</v>
      </c>
    </row>
    <row r="58" spans="1:5" x14ac:dyDescent="0.3">
      <c r="A58">
        <v>30</v>
      </c>
      <c r="B58">
        <v>1</v>
      </c>
      <c r="C58">
        <v>-372992</v>
      </c>
      <c r="D58">
        <v>26868</v>
      </c>
      <c r="E58">
        <v>0</v>
      </c>
    </row>
    <row r="59" spans="1:5" x14ac:dyDescent="0.3">
      <c r="A59">
        <v>31</v>
      </c>
      <c r="B59">
        <v>0</v>
      </c>
      <c r="C59">
        <v>-374573</v>
      </c>
      <c r="D59">
        <v>28731</v>
      </c>
      <c r="E59">
        <v>0</v>
      </c>
    </row>
    <row r="60" spans="1:5" x14ac:dyDescent="0.3">
      <c r="A60">
        <v>32</v>
      </c>
      <c r="B60">
        <v>1</v>
      </c>
      <c r="C60">
        <v>-374879</v>
      </c>
      <c r="D60">
        <v>28393</v>
      </c>
      <c r="E60">
        <v>0</v>
      </c>
    </row>
    <row r="61" spans="1:5" x14ac:dyDescent="0.3">
      <c r="A61">
        <v>33</v>
      </c>
      <c r="B61">
        <v>0</v>
      </c>
      <c r="C61">
        <v>-376465</v>
      </c>
      <c r="D61">
        <v>30526</v>
      </c>
      <c r="E61">
        <v>0</v>
      </c>
    </row>
    <row r="62" spans="1:5" x14ac:dyDescent="0.3">
      <c r="A62">
        <v>34</v>
      </c>
      <c r="B62">
        <v>0</v>
      </c>
      <c r="C62">
        <v>-377510</v>
      </c>
      <c r="D62">
        <v>31517</v>
      </c>
      <c r="E62">
        <v>0</v>
      </c>
    </row>
    <row r="63" spans="1:5" x14ac:dyDescent="0.3">
      <c r="A63">
        <v>35</v>
      </c>
      <c r="B63">
        <v>1</v>
      </c>
      <c r="C63">
        <v>-376715</v>
      </c>
      <c r="D63">
        <v>30247</v>
      </c>
      <c r="E63">
        <v>0</v>
      </c>
    </row>
    <row r="64" spans="1:5" x14ac:dyDescent="0.3">
      <c r="A64">
        <v>36</v>
      </c>
      <c r="B64">
        <v>0</v>
      </c>
      <c r="C64">
        <v>-382653</v>
      </c>
      <c r="D64">
        <v>36132</v>
      </c>
      <c r="E64">
        <v>0</v>
      </c>
    </row>
    <row r="65" spans="1:5" x14ac:dyDescent="0.3">
      <c r="A65">
        <v>37</v>
      </c>
      <c r="B65">
        <v>1</v>
      </c>
      <c r="C65">
        <v>-377744</v>
      </c>
      <c r="D65">
        <v>31240</v>
      </c>
      <c r="E65">
        <v>0</v>
      </c>
    </row>
    <row r="66" spans="1:5" x14ac:dyDescent="0.3">
      <c r="A66">
        <v>38</v>
      </c>
      <c r="B66">
        <v>1</v>
      </c>
      <c r="C66">
        <v>-377097</v>
      </c>
      <c r="D66">
        <v>31938</v>
      </c>
      <c r="E66">
        <v>0</v>
      </c>
    </row>
    <row r="67" spans="1:5" x14ac:dyDescent="0.3">
      <c r="A67">
        <v>39</v>
      </c>
      <c r="B67">
        <v>0</v>
      </c>
      <c r="C67">
        <v>-386179</v>
      </c>
      <c r="D67">
        <v>39732</v>
      </c>
      <c r="E67">
        <v>0</v>
      </c>
    </row>
    <row r="68" spans="1:5" x14ac:dyDescent="0.3">
      <c r="A68">
        <v>40</v>
      </c>
      <c r="B68">
        <v>1</v>
      </c>
      <c r="C68">
        <v>-383109</v>
      </c>
      <c r="D68">
        <v>35683</v>
      </c>
      <c r="E68">
        <v>0</v>
      </c>
    </row>
    <row r="69" spans="1:5" x14ac:dyDescent="0.3">
      <c r="A69">
        <v>41</v>
      </c>
      <c r="B69">
        <v>1</v>
      </c>
      <c r="C69">
        <v>-382396</v>
      </c>
      <c r="D69">
        <v>36409</v>
      </c>
      <c r="E69">
        <v>0</v>
      </c>
    </row>
    <row r="70" spans="1:5" x14ac:dyDescent="0.3">
      <c r="A70">
        <v>42</v>
      </c>
      <c r="B70">
        <v>1</v>
      </c>
      <c r="C70">
        <v>-386625</v>
      </c>
      <c r="D70">
        <v>39316</v>
      </c>
      <c r="E70">
        <v>0</v>
      </c>
    </row>
    <row r="71" spans="1:5" x14ac:dyDescent="0.3">
      <c r="A71">
        <v>43</v>
      </c>
      <c r="B71">
        <v>0</v>
      </c>
      <c r="C71">
        <v>-387168</v>
      </c>
      <c r="D71">
        <v>40667</v>
      </c>
      <c r="E71">
        <v>0</v>
      </c>
    </row>
    <row r="72" spans="1:5" x14ac:dyDescent="0.3">
      <c r="A72">
        <v>44</v>
      </c>
      <c r="B72">
        <v>0</v>
      </c>
      <c r="C72">
        <v>-389097</v>
      </c>
      <c r="D72">
        <v>42523</v>
      </c>
      <c r="E72">
        <v>0</v>
      </c>
    </row>
    <row r="73" spans="1:5" x14ac:dyDescent="0.3">
      <c r="A73">
        <v>45</v>
      </c>
      <c r="B73">
        <v>1</v>
      </c>
      <c r="C73">
        <v>-387584</v>
      </c>
      <c r="D73">
        <v>40147</v>
      </c>
      <c r="E73">
        <v>0</v>
      </c>
    </row>
    <row r="74" spans="1:5" x14ac:dyDescent="0.3">
      <c r="A74">
        <v>46</v>
      </c>
      <c r="B74">
        <v>0</v>
      </c>
      <c r="C74">
        <v>-368664</v>
      </c>
      <c r="D74">
        <v>23175</v>
      </c>
      <c r="E74">
        <v>0</v>
      </c>
    </row>
    <row r="75" spans="1:5" x14ac:dyDescent="0.3">
      <c r="A75">
        <v>47</v>
      </c>
      <c r="B75">
        <v>1</v>
      </c>
      <c r="C75">
        <v>-368839</v>
      </c>
      <c r="D75">
        <v>22961</v>
      </c>
      <c r="E75">
        <v>0</v>
      </c>
    </row>
    <row r="76" spans="1:5" x14ac:dyDescent="0.3">
      <c r="A76">
        <v>48</v>
      </c>
      <c r="B76">
        <v>1</v>
      </c>
      <c r="C76">
        <v>-355810</v>
      </c>
      <c r="D76">
        <v>12263</v>
      </c>
      <c r="E76">
        <v>0</v>
      </c>
    </row>
    <row r="77" spans="1:5" x14ac:dyDescent="0.3">
      <c r="A77">
        <v>49</v>
      </c>
      <c r="B77">
        <v>0</v>
      </c>
      <c r="C77">
        <v>-361610</v>
      </c>
      <c r="D77">
        <v>16530</v>
      </c>
      <c r="E77">
        <v>0</v>
      </c>
    </row>
    <row r="78" spans="1:5" x14ac:dyDescent="0.3">
      <c r="A78">
        <v>50</v>
      </c>
      <c r="B78">
        <v>1</v>
      </c>
      <c r="C78">
        <v>-361808</v>
      </c>
      <c r="D78">
        <v>16306</v>
      </c>
      <c r="E78">
        <v>0</v>
      </c>
    </row>
    <row r="79" spans="1:5" x14ac:dyDescent="0.3">
      <c r="A79">
        <v>51</v>
      </c>
      <c r="B79">
        <v>1</v>
      </c>
      <c r="C79">
        <v>-389323</v>
      </c>
      <c r="D79">
        <v>42211</v>
      </c>
      <c r="E79">
        <v>0</v>
      </c>
    </row>
    <row r="80" spans="1:5" x14ac:dyDescent="0.3">
      <c r="A80">
        <v>52</v>
      </c>
      <c r="B80">
        <v>1</v>
      </c>
      <c r="C80">
        <v>-389708</v>
      </c>
      <c r="D80">
        <v>43054</v>
      </c>
      <c r="E80">
        <v>0</v>
      </c>
    </row>
    <row r="81" spans="1:10" x14ac:dyDescent="0.3">
      <c r="A81">
        <v>53</v>
      </c>
      <c r="B81">
        <v>1</v>
      </c>
      <c r="C81">
        <v>-388740</v>
      </c>
      <c r="D81">
        <v>43007</v>
      </c>
      <c r="E81">
        <v>0</v>
      </c>
    </row>
    <row r="83" spans="1:10" x14ac:dyDescent="0.3">
      <c r="A83" t="s">
        <v>562</v>
      </c>
    </row>
    <row r="84" spans="1:10" x14ac:dyDescent="0.3">
      <c r="A84" t="s">
        <v>672</v>
      </c>
    </row>
    <row r="85" spans="1:10" x14ac:dyDescent="0.3">
      <c r="A85" t="s">
        <v>0</v>
      </c>
      <c r="B85" t="s">
        <v>1</v>
      </c>
      <c r="C85" t="s">
        <v>399</v>
      </c>
      <c r="D85" t="s">
        <v>400</v>
      </c>
      <c r="E85" t="s">
        <v>397</v>
      </c>
      <c r="F85" t="s">
        <v>398</v>
      </c>
      <c r="G85" t="s">
        <v>673</v>
      </c>
      <c r="H85" t="s">
        <v>674</v>
      </c>
      <c r="I85" t="s">
        <v>675</v>
      </c>
      <c r="J85" t="s">
        <v>676</v>
      </c>
    </row>
    <row r="86" spans="1:10" x14ac:dyDescent="0.3">
      <c r="A86" t="s">
        <v>677</v>
      </c>
      <c r="B86">
        <v>1</v>
      </c>
      <c r="C86">
        <v>5</v>
      </c>
      <c r="D86">
        <v>3</v>
      </c>
      <c r="E86">
        <v>9</v>
      </c>
      <c r="F86">
        <v>2</v>
      </c>
    </row>
    <row r="87" spans="1:10" x14ac:dyDescent="0.3">
      <c r="A87" t="s">
        <v>36</v>
      </c>
      <c r="B87">
        <v>1</v>
      </c>
      <c r="C87">
        <v>4</v>
      </c>
      <c r="D87">
        <v>4</v>
      </c>
      <c r="E87">
        <v>4</v>
      </c>
      <c r="F87">
        <v>4</v>
      </c>
    </row>
    <row r="88" spans="1:10" x14ac:dyDescent="0.3">
      <c r="A88" t="s">
        <v>503</v>
      </c>
      <c r="B88">
        <v>1</v>
      </c>
      <c r="C88" t="s">
        <v>740</v>
      </c>
      <c r="D88" t="s">
        <v>740</v>
      </c>
      <c r="E88" t="s">
        <v>741</v>
      </c>
      <c r="F88" t="s">
        <v>741</v>
      </c>
    </row>
    <row r="89" spans="1:10" x14ac:dyDescent="0.3">
      <c r="A89" t="s">
        <v>678</v>
      </c>
      <c r="B89">
        <v>1</v>
      </c>
      <c r="C89">
        <v>526</v>
      </c>
      <c r="D89">
        <v>579</v>
      </c>
      <c r="E89">
        <v>2966</v>
      </c>
      <c r="F89">
        <v>739</v>
      </c>
    </row>
    <row r="90" spans="1:10" x14ac:dyDescent="0.3">
      <c r="A90" t="s">
        <v>42</v>
      </c>
      <c r="B90">
        <v>1</v>
      </c>
      <c r="C90">
        <v>40</v>
      </c>
      <c r="D90">
        <v>40</v>
      </c>
      <c r="E90">
        <v>45</v>
      </c>
      <c r="F90">
        <v>45</v>
      </c>
    </row>
    <row r="91" spans="1:10" x14ac:dyDescent="0.3">
      <c r="A91" t="s">
        <v>679</v>
      </c>
      <c r="B91">
        <v>1</v>
      </c>
      <c r="C91">
        <v>9</v>
      </c>
      <c r="D91">
        <v>9.9</v>
      </c>
      <c r="E91">
        <v>44.9</v>
      </c>
      <c r="F91">
        <v>11.2</v>
      </c>
    </row>
    <row r="92" spans="1:10" x14ac:dyDescent="0.3">
      <c r="A92" t="s">
        <v>41</v>
      </c>
      <c r="B92">
        <v>1</v>
      </c>
      <c r="C92">
        <v>0</v>
      </c>
      <c r="D92">
        <v>0</v>
      </c>
      <c r="E92">
        <v>0</v>
      </c>
      <c r="F92">
        <v>0</v>
      </c>
    </row>
    <row r="93" spans="1:10" x14ac:dyDescent="0.3">
      <c r="A93" t="s">
        <v>680</v>
      </c>
      <c r="B93">
        <v>1</v>
      </c>
      <c r="C93">
        <v>12</v>
      </c>
      <c r="D93">
        <v>12</v>
      </c>
      <c r="E93">
        <v>12</v>
      </c>
      <c r="F93">
        <v>12</v>
      </c>
    </row>
    <row r="94" spans="1:10" x14ac:dyDescent="0.3">
      <c r="A94" t="s">
        <v>563</v>
      </c>
      <c r="B94">
        <v>1</v>
      </c>
      <c r="C94">
        <v>0</v>
      </c>
      <c r="D94">
        <v>0</v>
      </c>
      <c r="E94">
        <v>0</v>
      </c>
      <c r="F94">
        <v>0</v>
      </c>
    </row>
    <row r="95" spans="1:10" x14ac:dyDescent="0.3">
      <c r="A95" t="s">
        <v>681</v>
      </c>
      <c r="B95">
        <v>1</v>
      </c>
      <c r="C95">
        <v>0</v>
      </c>
      <c r="D95">
        <v>0</v>
      </c>
      <c r="E95">
        <v>0</v>
      </c>
      <c r="F95">
        <v>0</v>
      </c>
    </row>
    <row r="96" spans="1:10" x14ac:dyDescent="0.3">
      <c r="A96" t="s">
        <v>682</v>
      </c>
      <c r="B96">
        <v>1</v>
      </c>
      <c r="C96">
        <v>16</v>
      </c>
      <c r="D96">
        <v>16</v>
      </c>
      <c r="E96">
        <v>16</v>
      </c>
      <c r="F96">
        <v>16</v>
      </c>
    </row>
    <row r="97" spans="1:6" x14ac:dyDescent="0.3">
      <c r="A97" t="s">
        <v>683</v>
      </c>
      <c r="B97">
        <v>1</v>
      </c>
      <c r="C97">
        <v>583</v>
      </c>
      <c r="D97">
        <v>583</v>
      </c>
      <c r="E97">
        <v>583</v>
      </c>
      <c r="F97">
        <v>583</v>
      </c>
    </row>
    <row r="98" spans="1:6" x14ac:dyDescent="0.3">
      <c r="A98" t="s">
        <v>684</v>
      </c>
      <c r="B98">
        <v>1</v>
      </c>
      <c r="C98">
        <v>1761</v>
      </c>
      <c r="D98">
        <v>1761</v>
      </c>
      <c r="E98">
        <v>1980</v>
      </c>
      <c r="F98">
        <v>1980</v>
      </c>
    </row>
    <row r="99" spans="1:6" x14ac:dyDescent="0.3">
      <c r="A99" t="s">
        <v>685</v>
      </c>
      <c r="B99">
        <v>1</v>
      </c>
      <c r="C99">
        <v>1174</v>
      </c>
      <c r="D99">
        <v>1174</v>
      </c>
      <c r="E99">
        <v>1320</v>
      </c>
      <c r="F99">
        <v>1320</v>
      </c>
    </row>
    <row r="100" spans="1:6" x14ac:dyDescent="0.3">
      <c r="A100" t="s">
        <v>686</v>
      </c>
      <c r="B100">
        <v>1</v>
      </c>
      <c r="C100">
        <v>2348</v>
      </c>
      <c r="D100">
        <v>2348</v>
      </c>
      <c r="E100">
        <v>2640</v>
      </c>
      <c r="F100">
        <v>2640</v>
      </c>
    </row>
    <row r="101" spans="1:6" x14ac:dyDescent="0.3">
      <c r="A101" t="s">
        <v>687</v>
      </c>
      <c r="B101">
        <v>1</v>
      </c>
      <c r="C101">
        <v>-346781</v>
      </c>
    </row>
    <row r="102" spans="1:6" x14ac:dyDescent="0.3">
      <c r="A102" t="s">
        <v>688</v>
      </c>
      <c r="B102">
        <v>1</v>
      </c>
      <c r="C102">
        <v>9567</v>
      </c>
    </row>
    <row r="103" spans="1:6" x14ac:dyDescent="0.3">
      <c r="A103" t="s">
        <v>689</v>
      </c>
      <c r="B103">
        <v>1</v>
      </c>
      <c r="C103">
        <v>0</v>
      </c>
    </row>
    <row r="104" spans="1:6" x14ac:dyDescent="0.3">
      <c r="A104" t="s">
        <v>690</v>
      </c>
      <c r="B104">
        <v>1</v>
      </c>
      <c r="C104" t="b">
        <v>0</v>
      </c>
      <c r="D104" t="b">
        <v>0</v>
      </c>
      <c r="E104" t="b">
        <v>0</v>
      </c>
      <c r="F104" t="b">
        <v>0</v>
      </c>
    </row>
    <row r="105" spans="1:6" x14ac:dyDescent="0.3">
      <c r="A105" t="s">
        <v>691</v>
      </c>
      <c r="B105">
        <v>1</v>
      </c>
      <c r="C105" t="b">
        <v>0</v>
      </c>
      <c r="D105" t="b">
        <v>0</v>
      </c>
      <c r="E105" t="b">
        <v>0</v>
      </c>
      <c r="F105" t="b">
        <v>0</v>
      </c>
    </row>
    <row r="106" spans="1:6" x14ac:dyDescent="0.3">
      <c r="A106" t="s">
        <v>677</v>
      </c>
      <c r="B106">
        <v>2</v>
      </c>
      <c r="E106">
        <v>1</v>
      </c>
    </row>
    <row r="107" spans="1:6" x14ac:dyDescent="0.3">
      <c r="A107" t="s">
        <v>36</v>
      </c>
      <c r="B107">
        <v>2</v>
      </c>
      <c r="E107">
        <v>3</v>
      </c>
    </row>
    <row r="108" spans="1:6" x14ac:dyDescent="0.3">
      <c r="A108" t="s">
        <v>503</v>
      </c>
      <c r="B108">
        <v>2</v>
      </c>
      <c r="E108" t="s">
        <v>741</v>
      </c>
    </row>
    <row r="109" spans="1:6" x14ac:dyDescent="0.3">
      <c r="A109" t="s">
        <v>678</v>
      </c>
      <c r="B109">
        <v>2</v>
      </c>
      <c r="E109">
        <v>739</v>
      </c>
    </row>
    <row r="110" spans="1:6" x14ac:dyDescent="0.3">
      <c r="A110" t="s">
        <v>42</v>
      </c>
      <c r="B110">
        <v>2</v>
      </c>
      <c r="E110">
        <v>30</v>
      </c>
    </row>
    <row r="111" spans="1:6" x14ac:dyDescent="0.3">
      <c r="A111" t="s">
        <v>679</v>
      </c>
      <c r="B111">
        <v>2</v>
      </c>
      <c r="E111">
        <v>16.8</v>
      </c>
    </row>
    <row r="112" spans="1:6" x14ac:dyDescent="0.3">
      <c r="A112" t="s">
        <v>41</v>
      </c>
      <c r="B112">
        <v>2</v>
      </c>
      <c r="E112">
        <v>0</v>
      </c>
    </row>
    <row r="113" spans="1:5" x14ac:dyDescent="0.3">
      <c r="A113" t="s">
        <v>680</v>
      </c>
      <c r="B113">
        <v>2</v>
      </c>
      <c r="E113">
        <v>12</v>
      </c>
    </row>
    <row r="114" spans="1:5" x14ac:dyDescent="0.3">
      <c r="A114" t="s">
        <v>563</v>
      </c>
      <c r="B114">
        <v>2</v>
      </c>
      <c r="E114">
        <v>0</v>
      </c>
    </row>
    <row r="115" spans="1:5" x14ac:dyDescent="0.3">
      <c r="A115" t="s">
        <v>681</v>
      </c>
      <c r="B115">
        <v>2</v>
      </c>
      <c r="E115">
        <v>0</v>
      </c>
    </row>
    <row r="116" spans="1:5" x14ac:dyDescent="0.3">
      <c r="A116" t="s">
        <v>682</v>
      </c>
      <c r="B116">
        <v>2</v>
      </c>
      <c r="E116">
        <v>16</v>
      </c>
    </row>
    <row r="117" spans="1:5" x14ac:dyDescent="0.3">
      <c r="A117" t="s">
        <v>683</v>
      </c>
      <c r="B117">
        <v>2</v>
      </c>
      <c r="E117">
        <v>200</v>
      </c>
    </row>
    <row r="118" spans="1:5" x14ac:dyDescent="0.3">
      <c r="A118" t="s">
        <v>684</v>
      </c>
      <c r="B118">
        <v>2</v>
      </c>
      <c r="E118">
        <v>1320</v>
      </c>
    </row>
    <row r="119" spans="1:5" x14ac:dyDescent="0.3">
      <c r="A119" t="s">
        <v>685</v>
      </c>
      <c r="B119">
        <v>2</v>
      </c>
      <c r="E119">
        <v>880</v>
      </c>
    </row>
    <row r="120" spans="1:5" x14ac:dyDescent="0.3">
      <c r="A120" t="s">
        <v>686</v>
      </c>
      <c r="B120">
        <v>2</v>
      </c>
      <c r="E120">
        <v>1760</v>
      </c>
    </row>
    <row r="121" spans="1:5" x14ac:dyDescent="0.3">
      <c r="A121" t="s">
        <v>687</v>
      </c>
      <c r="B121">
        <v>2</v>
      </c>
    </row>
    <row r="122" spans="1:5" x14ac:dyDescent="0.3">
      <c r="A122" t="s">
        <v>688</v>
      </c>
      <c r="B122">
        <v>2</v>
      </c>
    </row>
    <row r="123" spans="1:5" x14ac:dyDescent="0.3">
      <c r="A123" t="s">
        <v>689</v>
      </c>
      <c r="B123">
        <v>2</v>
      </c>
    </row>
    <row r="124" spans="1:5" x14ac:dyDescent="0.3">
      <c r="A124" t="s">
        <v>690</v>
      </c>
      <c r="B124">
        <v>2</v>
      </c>
      <c r="E124" t="b">
        <v>0</v>
      </c>
    </row>
    <row r="125" spans="1:5" x14ac:dyDescent="0.3">
      <c r="A125" t="s">
        <v>691</v>
      </c>
      <c r="B125">
        <v>2</v>
      </c>
      <c r="E125" t="b">
        <v>0</v>
      </c>
    </row>
    <row r="126" spans="1:5" x14ac:dyDescent="0.3">
      <c r="A126" t="s">
        <v>677</v>
      </c>
      <c r="B126">
        <v>3</v>
      </c>
      <c r="C126">
        <v>1</v>
      </c>
    </row>
    <row r="127" spans="1:5" x14ac:dyDescent="0.3">
      <c r="A127" t="s">
        <v>36</v>
      </c>
      <c r="B127">
        <v>3</v>
      </c>
      <c r="C127">
        <v>2</v>
      </c>
    </row>
    <row r="128" spans="1:5" x14ac:dyDescent="0.3">
      <c r="A128" t="s">
        <v>503</v>
      </c>
      <c r="B128">
        <v>3</v>
      </c>
      <c r="C128" t="s">
        <v>740</v>
      </c>
    </row>
    <row r="129" spans="1:3" x14ac:dyDescent="0.3">
      <c r="A129" t="s">
        <v>678</v>
      </c>
      <c r="B129">
        <v>3</v>
      </c>
      <c r="C129">
        <v>579</v>
      </c>
    </row>
    <row r="130" spans="1:3" x14ac:dyDescent="0.3">
      <c r="A130" t="s">
        <v>42</v>
      </c>
      <c r="B130">
        <v>3</v>
      </c>
      <c r="C130">
        <v>30</v>
      </c>
    </row>
    <row r="131" spans="1:3" x14ac:dyDescent="0.3">
      <c r="A131" t="s">
        <v>679</v>
      </c>
      <c r="B131">
        <v>3</v>
      </c>
      <c r="C131">
        <v>13.2</v>
      </c>
    </row>
    <row r="132" spans="1:3" x14ac:dyDescent="0.3">
      <c r="A132" t="s">
        <v>41</v>
      </c>
      <c r="B132">
        <v>3</v>
      </c>
      <c r="C132">
        <v>0</v>
      </c>
    </row>
    <row r="133" spans="1:3" x14ac:dyDescent="0.3">
      <c r="A133" t="s">
        <v>680</v>
      </c>
      <c r="B133">
        <v>3</v>
      </c>
      <c r="C133">
        <v>12</v>
      </c>
    </row>
    <row r="134" spans="1:3" x14ac:dyDescent="0.3">
      <c r="A134" t="s">
        <v>563</v>
      </c>
      <c r="B134">
        <v>3</v>
      </c>
      <c r="C134">
        <v>0</v>
      </c>
    </row>
    <row r="135" spans="1:3" x14ac:dyDescent="0.3">
      <c r="A135" t="s">
        <v>681</v>
      </c>
      <c r="B135">
        <v>3</v>
      </c>
      <c r="C135">
        <v>0</v>
      </c>
    </row>
    <row r="136" spans="1:3" x14ac:dyDescent="0.3">
      <c r="A136" t="s">
        <v>682</v>
      </c>
      <c r="B136">
        <v>3</v>
      </c>
      <c r="C136">
        <v>16</v>
      </c>
    </row>
    <row r="137" spans="1:3" x14ac:dyDescent="0.3">
      <c r="A137" t="s">
        <v>683</v>
      </c>
      <c r="B137">
        <v>3</v>
      </c>
      <c r="C137">
        <v>200</v>
      </c>
    </row>
    <row r="138" spans="1:3" x14ac:dyDescent="0.3">
      <c r="A138" t="s">
        <v>684</v>
      </c>
      <c r="B138">
        <v>3</v>
      </c>
      <c r="C138">
        <v>1320</v>
      </c>
    </row>
    <row r="139" spans="1:3" x14ac:dyDescent="0.3">
      <c r="A139" t="s">
        <v>685</v>
      </c>
      <c r="B139">
        <v>3</v>
      </c>
      <c r="C139">
        <v>880</v>
      </c>
    </row>
    <row r="140" spans="1:3" x14ac:dyDescent="0.3">
      <c r="A140" t="s">
        <v>686</v>
      </c>
      <c r="B140">
        <v>3</v>
      </c>
      <c r="C140">
        <v>1760</v>
      </c>
    </row>
    <row r="141" spans="1:3" x14ac:dyDescent="0.3">
      <c r="A141" t="s">
        <v>687</v>
      </c>
      <c r="B141">
        <v>3</v>
      </c>
    </row>
    <row r="142" spans="1:3" x14ac:dyDescent="0.3">
      <c r="A142" t="s">
        <v>688</v>
      </c>
      <c r="B142">
        <v>3</v>
      </c>
    </row>
    <row r="143" spans="1:3" x14ac:dyDescent="0.3">
      <c r="A143" t="s">
        <v>689</v>
      </c>
      <c r="B143">
        <v>3</v>
      </c>
    </row>
    <row r="144" spans="1:3" x14ac:dyDescent="0.3">
      <c r="A144" t="s">
        <v>690</v>
      </c>
      <c r="B144">
        <v>3</v>
      </c>
      <c r="C144" t="b">
        <v>0</v>
      </c>
    </row>
    <row r="145" spans="1:3" x14ac:dyDescent="0.3">
      <c r="A145" t="s">
        <v>691</v>
      </c>
      <c r="B145">
        <v>3</v>
      </c>
      <c r="C145" t="b">
        <v>0</v>
      </c>
    </row>
    <row r="146" spans="1:3" x14ac:dyDescent="0.3">
      <c r="A146" t="s">
        <v>677</v>
      </c>
      <c r="B146">
        <v>4</v>
      </c>
      <c r="C146">
        <v>9</v>
      </c>
    </row>
    <row r="147" spans="1:3" x14ac:dyDescent="0.3">
      <c r="A147" t="s">
        <v>36</v>
      </c>
      <c r="B147">
        <v>4</v>
      </c>
      <c r="C147">
        <v>1</v>
      </c>
    </row>
    <row r="148" spans="1:3" x14ac:dyDescent="0.3">
      <c r="A148" t="s">
        <v>503</v>
      </c>
      <c r="B148">
        <v>4</v>
      </c>
      <c r="C148" t="s">
        <v>742</v>
      </c>
    </row>
    <row r="149" spans="1:3" x14ac:dyDescent="0.3">
      <c r="A149" t="s">
        <v>678</v>
      </c>
      <c r="B149">
        <v>4</v>
      </c>
      <c r="C149">
        <v>365</v>
      </c>
    </row>
    <row r="150" spans="1:3" x14ac:dyDescent="0.3">
      <c r="A150" t="s">
        <v>42</v>
      </c>
      <c r="B150">
        <v>4</v>
      </c>
      <c r="C150">
        <v>25</v>
      </c>
    </row>
    <row r="151" spans="1:3" x14ac:dyDescent="0.3">
      <c r="A151" t="s">
        <v>679</v>
      </c>
      <c r="B151">
        <v>4</v>
      </c>
      <c r="C151">
        <v>10</v>
      </c>
    </row>
    <row r="152" spans="1:3" x14ac:dyDescent="0.3">
      <c r="A152" t="s">
        <v>41</v>
      </c>
      <c r="B152">
        <v>4</v>
      </c>
      <c r="C152">
        <v>0</v>
      </c>
    </row>
    <row r="153" spans="1:3" x14ac:dyDescent="0.3">
      <c r="A153" t="s">
        <v>680</v>
      </c>
      <c r="B153">
        <v>4</v>
      </c>
      <c r="C153">
        <v>12</v>
      </c>
    </row>
    <row r="154" spans="1:3" x14ac:dyDescent="0.3">
      <c r="A154" t="s">
        <v>563</v>
      </c>
      <c r="B154">
        <v>4</v>
      </c>
      <c r="C154">
        <v>0</v>
      </c>
    </row>
    <row r="155" spans="1:3" x14ac:dyDescent="0.3">
      <c r="A155" t="s">
        <v>681</v>
      </c>
      <c r="B155">
        <v>4</v>
      </c>
      <c r="C155">
        <v>1</v>
      </c>
    </row>
    <row r="156" spans="1:3" x14ac:dyDescent="0.3">
      <c r="A156" t="s">
        <v>682</v>
      </c>
      <c r="B156">
        <v>4</v>
      </c>
      <c r="C156">
        <v>16</v>
      </c>
    </row>
    <row r="157" spans="1:3" x14ac:dyDescent="0.3">
      <c r="A157" t="s">
        <v>683</v>
      </c>
      <c r="B157">
        <v>4</v>
      </c>
      <c r="C157">
        <v>200</v>
      </c>
    </row>
    <row r="158" spans="1:3" x14ac:dyDescent="0.3">
      <c r="A158" t="s">
        <v>684</v>
      </c>
      <c r="B158">
        <v>4</v>
      </c>
      <c r="C158">
        <v>1101</v>
      </c>
    </row>
    <row r="159" spans="1:3" x14ac:dyDescent="0.3">
      <c r="A159" t="s">
        <v>685</v>
      </c>
      <c r="B159">
        <v>4</v>
      </c>
      <c r="C159">
        <v>734</v>
      </c>
    </row>
    <row r="160" spans="1:3" x14ac:dyDescent="0.3">
      <c r="A160" t="s">
        <v>686</v>
      </c>
      <c r="B160">
        <v>4</v>
      </c>
      <c r="C160">
        <v>1468</v>
      </c>
    </row>
    <row r="161" spans="1:4" x14ac:dyDescent="0.3">
      <c r="A161" t="s">
        <v>687</v>
      </c>
      <c r="B161">
        <v>4</v>
      </c>
    </row>
    <row r="162" spans="1:4" x14ac:dyDescent="0.3">
      <c r="A162" t="s">
        <v>688</v>
      </c>
      <c r="B162">
        <v>4</v>
      </c>
    </row>
    <row r="163" spans="1:4" x14ac:dyDescent="0.3">
      <c r="A163" t="s">
        <v>689</v>
      </c>
      <c r="B163">
        <v>4</v>
      </c>
    </row>
    <row r="164" spans="1:4" x14ac:dyDescent="0.3">
      <c r="A164" t="s">
        <v>690</v>
      </c>
      <c r="B164">
        <v>4</v>
      </c>
      <c r="C164" t="b">
        <v>0</v>
      </c>
    </row>
    <row r="165" spans="1:4" x14ac:dyDescent="0.3">
      <c r="A165" t="s">
        <v>691</v>
      </c>
      <c r="B165">
        <v>4</v>
      </c>
      <c r="C165" t="b">
        <v>0</v>
      </c>
    </row>
    <row r="166" spans="1:4" x14ac:dyDescent="0.3">
      <c r="A166" t="s">
        <v>677</v>
      </c>
      <c r="B166">
        <v>5</v>
      </c>
      <c r="D166">
        <v>1</v>
      </c>
    </row>
    <row r="167" spans="1:4" x14ac:dyDescent="0.3">
      <c r="A167" t="s">
        <v>36</v>
      </c>
      <c r="B167">
        <v>5</v>
      </c>
      <c r="D167">
        <v>2</v>
      </c>
    </row>
    <row r="168" spans="1:4" x14ac:dyDescent="0.3">
      <c r="A168" t="s">
        <v>503</v>
      </c>
      <c r="B168">
        <v>5</v>
      </c>
      <c r="D168" t="s">
        <v>740</v>
      </c>
    </row>
    <row r="169" spans="1:4" x14ac:dyDescent="0.3">
      <c r="A169" t="s">
        <v>678</v>
      </c>
      <c r="B169">
        <v>5</v>
      </c>
      <c r="D169">
        <v>526</v>
      </c>
    </row>
    <row r="170" spans="1:4" x14ac:dyDescent="0.3">
      <c r="A170" t="s">
        <v>42</v>
      </c>
      <c r="B170">
        <v>5</v>
      </c>
      <c r="D170">
        <v>30</v>
      </c>
    </row>
    <row r="171" spans="1:4" x14ac:dyDescent="0.3">
      <c r="A171" t="s">
        <v>679</v>
      </c>
      <c r="B171">
        <v>5</v>
      </c>
      <c r="D171">
        <v>12</v>
      </c>
    </row>
    <row r="172" spans="1:4" x14ac:dyDescent="0.3">
      <c r="A172" t="s">
        <v>41</v>
      </c>
      <c r="B172">
        <v>5</v>
      </c>
      <c r="D172">
        <v>0</v>
      </c>
    </row>
    <row r="173" spans="1:4" x14ac:dyDescent="0.3">
      <c r="A173" t="s">
        <v>680</v>
      </c>
      <c r="B173">
        <v>5</v>
      </c>
      <c r="D173">
        <v>12</v>
      </c>
    </row>
    <row r="174" spans="1:4" x14ac:dyDescent="0.3">
      <c r="A174" t="s">
        <v>563</v>
      </c>
      <c r="B174">
        <v>5</v>
      </c>
      <c r="D174">
        <v>0</v>
      </c>
    </row>
    <row r="175" spans="1:4" x14ac:dyDescent="0.3">
      <c r="A175" t="s">
        <v>681</v>
      </c>
      <c r="B175">
        <v>5</v>
      </c>
      <c r="D175">
        <v>0</v>
      </c>
    </row>
    <row r="176" spans="1:4" x14ac:dyDescent="0.3">
      <c r="A176" t="s">
        <v>682</v>
      </c>
      <c r="B176">
        <v>5</v>
      </c>
      <c r="D176">
        <v>16</v>
      </c>
    </row>
    <row r="177" spans="1:4" x14ac:dyDescent="0.3">
      <c r="A177" t="s">
        <v>683</v>
      </c>
      <c r="B177">
        <v>5</v>
      </c>
      <c r="D177">
        <v>200</v>
      </c>
    </row>
    <row r="178" spans="1:4" x14ac:dyDescent="0.3">
      <c r="A178" t="s">
        <v>684</v>
      </c>
      <c r="B178">
        <v>5</v>
      </c>
      <c r="D178">
        <v>1320</v>
      </c>
    </row>
    <row r="179" spans="1:4" x14ac:dyDescent="0.3">
      <c r="A179" t="s">
        <v>685</v>
      </c>
      <c r="B179">
        <v>5</v>
      </c>
      <c r="D179">
        <v>880</v>
      </c>
    </row>
    <row r="180" spans="1:4" x14ac:dyDescent="0.3">
      <c r="A180" t="s">
        <v>686</v>
      </c>
      <c r="B180">
        <v>5</v>
      </c>
      <c r="D180">
        <v>1760</v>
      </c>
    </row>
    <row r="181" spans="1:4" x14ac:dyDescent="0.3">
      <c r="A181" t="s">
        <v>687</v>
      </c>
      <c r="B181">
        <v>5</v>
      </c>
      <c r="D181">
        <v>-346828</v>
      </c>
    </row>
    <row r="182" spans="1:4" x14ac:dyDescent="0.3">
      <c r="A182" t="s">
        <v>688</v>
      </c>
      <c r="B182">
        <v>5</v>
      </c>
      <c r="D182">
        <v>9398</v>
      </c>
    </row>
    <row r="183" spans="1:4" x14ac:dyDescent="0.3">
      <c r="A183" t="s">
        <v>689</v>
      </c>
      <c r="B183">
        <v>5</v>
      </c>
      <c r="D183">
        <v>0</v>
      </c>
    </row>
    <row r="184" spans="1:4" x14ac:dyDescent="0.3">
      <c r="A184" t="s">
        <v>690</v>
      </c>
      <c r="B184">
        <v>5</v>
      </c>
      <c r="D184" t="b">
        <v>0</v>
      </c>
    </row>
    <row r="185" spans="1:4" x14ac:dyDescent="0.3">
      <c r="A185" t="s">
        <v>691</v>
      </c>
      <c r="B185">
        <v>5</v>
      </c>
      <c r="D185" t="b">
        <v>0</v>
      </c>
    </row>
    <row r="186" spans="1:4" x14ac:dyDescent="0.3">
      <c r="A186" t="s">
        <v>677</v>
      </c>
      <c r="B186">
        <v>6</v>
      </c>
      <c r="D186">
        <v>9</v>
      </c>
    </row>
    <row r="187" spans="1:4" x14ac:dyDescent="0.3">
      <c r="A187" t="s">
        <v>36</v>
      </c>
      <c r="B187">
        <v>6</v>
      </c>
      <c r="D187">
        <v>1</v>
      </c>
    </row>
    <row r="188" spans="1:4" x14ac:dyDescent="0.3">
      <c r="A188" t="s">
        <v>503</v>
      </c>
      <c r="B188">
        <v>6</v>
      </c>
      <c r="D188" t="s">
        <v>742</v>
      </c>
    </row>
    <row r="189" spans="1:4" x14ac:dyDescent="0.3">
      <c r="A189" t="s">
        <v>678</v>
      </c>
      <c r="B189">
        <v>6</v>
      </c>
      <c r="D189">
        <v>575</v>
      </c>
    </row>
    <row r="190" spans="1:4" x14ac:dyDescent="0.3">
      <c r="A190" t="s">
        <v>42</v>
      </c>
      <c r="B190">
        <v>6</v>
      </c>
      <c r="D190">
        <v>30</v>
      </c>
    </row>
    <row r="191" spans="1:4" x14ac:dyDescent="0.3">
      <c r="A191" t="s">
        <v>679</v>
      </c>
      <c r="B191">
        <v>6</v>
      </c>
      <c r="D191">
        <v>13.1</v>
      </c>
    </row>
    <row r="192" spans="1:4" x14ac:dyDescent="0.3">
      <c r="A192" t="s">
        <v>41</v>
      </c>
      <c r="B192">
        <v>6</v>
      </c>
      <c r="D192">
        <v>0</v>
      </c>
    </row>
    <row r="193" spans="1:6" x14ac:dyDescent="0.3">
      <c r="A193" t="s">
        <v>680</v>
      </c>
      <c r="B193">
        <v>6</v>
      </c>
      <c r="D193">
        <v>12</v>
      </c>
    </row>
    <row r="194" spans="1:6" x14ac:dyDescent="0.3">
      <c r="A194" t="s">
        <v>563</v>
      </c>
      <c r="B194">
        <v>6</v>
      </c>
      <c r="D194">
        <v>0</v>
      </c>
    </row>
    <row r="195" spans="1:6" x14ac:dyDescent="0.3">
      <c r="A195" t="s">
        <v>681</v>
      </c>
      <c r="B195">
        <v>6</v>
      </c>
      <c r="D195">
        <v>0</v>
      </c>
    </row>
    <row r="196" spans="1:6" x14ac:dyDescent="0.3">
      <c r="A196" t="s">
        <v>682</v>
      </c>
      <c r="B196">
        <v>6</v>
      </c>
      <c r="D196">
        <v>16</v>
      </c>
    </row>
    <row r="197" spans="1:6" x14ac:dyDescent="0.3">
      <c r="A197" t="s">
        <v>683</v>
      </c>
      <c r="B197">
        <v>6</v>
      </c>
      <c r="D197">
        <v>200</v>
      </c>
    </row>
    <row r="198" spans="1:6" x14ac:dyDescent="0.3">
      <c r="A198" t="s">
        <v>684</v>
      </c>
      <c r="B198">
        <v>6</v>
      </c>
      <c r="D198">
        <v>1320</v>
      </c>
    </row>
    <row r="199" spans="1:6" x14ac:dyDescent="0.3">
      <c r="A199" t="s">
        <v>685</v>
      </c>
      <c r="B199">
        <v>6</v>
      </c>
      <c r="D199">
        <v>880</v>
      </c>
    </row>
    <row r="200" spans="1:6" x14ac:dyDescent="0.3">
      <c r="A200" t="s">
        <v>686</v>
      </c>
      <c r="B200">
        <v>6</v>
      </c>
      <c r="D200">
        <v>1760</v>
      </c>
    </row>
    <row r="201" spans="1:6" x14ac:dyDescent="0.3">
      <c r="A201" t="s">
        <v>687</v>
      </c>
      <c r="B201">
        <v>6</v>
      </c>
    </row>
    <row r="202" spans="1:6" x14ac:dyDescent="0.3">
      <c r="A202" t="s">
        <v>688</v>
      </c>
      <c r="B202">
        <v>6</v>
      </c>
    </row>
    <row r="203" spans="1:6" x14ac:dyDescent="0.3">
      <c r="A203" t="s">
        <v>689</v>
      </c>
      <c r="B203">
        <v>6</v>
      </c>
    </row>
    <row r="204" spans="1:6" x14ac:dyDescent="0.3">
      <c r="A204" t="s">
        <v>690</v>
      </c>
      <c r="B204">
        <v>6</v>
      </c>
      <c r="D204" t="b">
        <v>0</v>
      </c>
    </row>
    <row r="205" spans="1:6" x14ac:dyDescent="0.3">
      <c r="A205" t="s">
        <v>691</v>
      </c>
      <c r="B205">
        <v>6</v>
      </c>
      <c r="D205" t="b">
        <v>0</v>
      </c>
    </row>
    <row r="206" spans="1:6" x14ac:dyDescent="0.3">
      <c r="A206" t="s">
        <v>677</v>
      </c>
      <c r="B206">
        <v>7</v>
      </c>
      <c r="C206">
        <v>10</v>
      </c>
      <c r="D206">
        <v>8</v>
      </c>
      <c r="E206">
        <v>11</v>
      </c>
      <c r="F206">
        <v>9</v>
      </c>
    </row>
    <row r="207" spans="1:6" x14ac:dyDescent="0.3">
      <c r="A207" t="s">
        <v>36</v>
      </c>
      <c r="B207">
        <v>7</v>
      </c>
      <c r="C207">
        <v>4</v>
      </c>
      <c r="D207">
        <v>3</v>
      </c>
      <c r="E207">
        <v>4</v>
      </c>
      <c r="F207">
        <v>4</v>
      </c>
    </row>
    <row r="208" spans="1:6" x14ac:dyDescent="0.3">
      <c r="A208" t="s">
        <v>503</v>
      </c>
      <c r="B208">
        <v>7</v>
      </c>
      <c r="C208" t="s">
        <v>743</v>
      </c>
      <c r="D208" t="s">
        <v>744</v>
      </c>
      <c r="E208" t="s">
        <v>741</v>
      </c>
      <c r="F208" t="s">
        <v>741</v>
      </c>
    </row>
    <row r="209" spans="1:6" x14ac:dyDescent="0.3">
      <c r="A209" t="s">
        <v>678</v>
      </c>
      <c r="B209">
        <v>7</v>
      </c>
      <c r="C209">
        <v>512</v>
      </c>
      <c r="D209">
        <v>667</v>
      </c>
      <c r="E209">
        <v>2820</v>
      </c>
      <c r="F209">
        <v>2784</v>
      </c>
    </row>
    <row r="210" spans="1:6" x14ac:dyDescent="0.3">
      <c r="A210" t="s">
        <v>42</v>
      </c>
      <c r="B210">
        <v>7</v>
      </c>
      <c r="C210">
        <v>30</v>
      </c>
      <c r="D210">
        <v>30</v>
      </c>
      <c r="E210">
        <v>45</v>
      </c>
      <c r="F210">
        <v>45</v>
      </c>
    </row>
    <row r="211" spans="1:6" x14ac:dyDescent="0.3">
      <c r="A211" t="s">
        <v>679</v>
      </c>
      <c r="B211">
        <v>7</v>
      </c>
      <c r="C211">
        <v>11.6</v>
      </c>
      <c r="D211">
        <v>15.2</v>
      </c>
      <c r="E211">
        <v>42.7</v>
      </c>
      <c r="F211">
        <v>42.2</v>
      </c>
    </row>
    <row r="212" spans="1:6" x14ac:dyDescent="0.3">
      <c r="A212" t="s">
        <v>41</v>
      </c>
      <c r="B212">
        <v>7</v>
      </c>
      <c r="C212">
        <v>0</v>
      </c>
      <c r="D212">
        <v>0</v>
      </c>
      <c r="E212">
        <v>0</v>
      </c>
      <c r="F212">
        <v>0</v>
      </c>
    </row>
    <row r="213" spans="1:6" x14ac:dyDescent="0.3">
      <c r="A213" t="s">
        <v>680</v>
      </c>
      <c r="B213">
        <v>7</v>
      </c>
      <c r="C213">
        <v>12</v>
      </c>
      <c r="D213">
        <v>12</v>
      </c>
      <c r="E213">
        <v>12</v>
      </c>
      <c r="F213">
        <v>12</v>
      </c>
    </row>
    <row r="214" spans="1:6" x14ac:dyDescent="0.3">
      <c r="A214" t="s">
        <v>563</v>
      </c>
      <c r="B214">
        <v>7</v>
      </c>
      <c r="C214">
        <v>0</v>
      </c>
      <c r="D214">
        <v>0</v>
      </c>
      <c r="E214">
        <v>0</v>
      </c>
      <c r="F214">
        <v>0</v>
      </c>
    </row>
    <row r="215" spans="1:6" x14ac:dyDescent="0.3">
      <c r="A215" t="s">
        <v>681</v>
      </c>
      <c r="B215">
        <v>7</v>
      </c>
      <c r="C215">
        <v>0</v>
      </c>
      <c r="D215">
        <v>0</v>
      </c>
      <c r="E215">
        <v>0</v>
      </c>
      <c r="F215">
        <v>0</v>
      </c>
    </row>
    <row r="216" spans="1:6" x14ac:dyDescent="0.3">
      <c r="A216" t="s">
        <v>682</v>
      </c>
      <c r="B216">
        <v>7</v>
      </c>
      <c r="C216">
        <v>16</v>
      </c>
      <c r="D216">
        <v>16</v>
      </c>
      <c r="E216">
        <v>16</v>
      </c>
      <c r="F216">
        <v>16</v>
      </c>
    </row>
    <row r="217" spans="1:6" x14ac:dyDescent="0.3">
      <c r="A217" t="s">
        <v>683</v>
      </c>
      <c r="B217">
        <v>7</v>
      </c>
      <c r="C217">
        <v>583</v>
      </c>
      <c r="D217">
        <v>583</v>
      </c>
      <c r="E217">
        <v>583</v>
      </c>
      <c r="F217">
        <v>583</v>
      </c>
    </row>
    <row r="218" spans="1:6" x14ac:dyDescent="0.3">
      <c r="A218" t="s">
        <v>684</v>
      </c>
      <c r="B218">
        <v>7</v>
      </c>
      <c r="C218">
        <v>1320</v>
      </c>
      <c r="D218">
        <v>1320</v>
      </c>
      <c r="E218">
        <v>1980</v>
      </c>
      <c r="F218">
        <v>1980</v>
      </c>
    </row>
    <row r="219" spans="1:6" x14ac:dyDescent="0.3">
      <c r="A219" t="s">
        <v>685</v>
      </c>
      <c r="B219">
        <v>7</v>
      </c>
      <c r="C219">
        <v>880</v>
      </c>
      <c r="D219">
        <v>880</v>
      </c>
      <c r="E219">
        <v>1320</v>
      </c>
      <c r="F219">
        <v>1320</v>
      </c>
    </row>
    <row r="220" spans="1:6" x14ac:dyDescent="0.3">
      <c r="A220" t="s">
        <v>686</v>
      </c>
      <c r="B220">
        <v>7</v>
      </c>
      <c r="C220">
        <v>1760</v>
      </c>
      <c r="D220">
        <v>1760</v>
      </c>
      <c r="E220">
        <v>2640</v>
      </c>
      <c r="F220">
        <v>2640</v>
      </c>
    </row>
    <row r="221" spans="1:6" x14ac:dyDescent="0.3">
      <c r="A221" t="s">
        <v>687</v>
      </c>
      <c r="B221">
        <v>7</v>
      </c>
    </row>
    <row r="222" spans="1:6" x14ac:dyDescent="0.3">
      <c r="A222" t="s">
        <v>688</v>
      </c>
      <c r="B222">
        <v>7</v>
      </c>
    </row>
    <row r="223" spans="1:6" x14ac:dyDescent="0.3">
      <c r="A223" t="s">
        <v>689</v>
      </c>
      <c r="B223">
        <v>7</v>
      </c>
    </row>
    <row r="224" spans="1:6" x14ac:dyDescent="0.3">
      <c r="A224" t="s">
        <v>690</v>
      </c>
      <c r="B224">
        <v>7</v>
      </c>
      <c r="C224" t="b">
        <v>0</v>
      </c>
      <c r="D224" t="b">
        <v>0</v>
      </c>
      <c r="E224" t="b">
        <v>0</v>
      </c>
      <c r="F224" t="b">
        <v>0</v>
      </c>
    </row>
    <row r="225" spans="1:6" x14ac:dyDescent="0.3">
      <c r="A225" t="s">
        <v>691</v>
      </c>
      <c r="B225">
        <v>7</v>
      </c>
      <c r="C225" t="b">
        <v>0</v>
      </c>
      <c r="D225" t="b">
        <v>0</v>
      </c>
      <c r="E225" t="b">
        <v>0</v>
      </c>
      <c r="F225" t="b">
        <v>0</v>
      </c>
    </row>
    <row r="226" spans="1:6" x14ac:dyDescent="0.3">
      <c r="A226" t="s">
        <v>677</v>
      </c>
      <c r="B226">
        <v>8</v>
      </c>
      <c r="C226">
        <v>7</v>
      </c>
    </row>
    <row r="227" spans="1:6" x14ac:dyDescent="0.3">
      <c r="A227" t="s">
        <v>36</v>
      </c>
      <c r="B227">
        <v>8</v>
      </c>
      <c r="C227">
        <v>2</v>
      </c>
    </row>
    <row r="228" spans="1:6" x14ac:dyDescent="0.3">
      <c r="A228" t="s">
        <v>503</v>
      </c>
      <c r="B228">
        <v>8</v>
      </c>
      <c r="C228" t="s">
        <v>744</v>
      </c>
    </row>
    <row r="229" spans="1:6" x14ac:dyDescent="0.3">
      <c r="A229" t="s">
        <v>678</v>
      </c>
      <c r="B229">
        <v>8</v>
      </c>
      <c r="C229">
        <v>667</v>
      </c>
    </row>
    <row r="230" spans="1:6" x14ac:dyDescent="0.3">
      <c r="A230" t="s">
        <v>42</v>
      </c>
      <c r="B230">
        <v>8</v>
      </c>
      <c r="C230">
        <v>30</v>
      </c>
    </row>
    <row r="231" spans="1:6" x14ac:dyDescent="0.3">
      <c r="A231" t="s">
        <v>679</v>
      </c>
      <c r="B231">
        <v>8</v>
      </c>
      <c r="C231">
        <v>15.2</v>
      </c>
    </row>
    <row r="232" spans="1:6" x14ac:dyDescent="0.3">
      <c r="A232" t="s">
        <v>41</v>
      </c>
      <c r="B232">
        <v>8</v>
      </c>
      <c r="C232">
        <v>0</v>
      </c>
    </row>
    <row r="233" spans="1:6" x14ac:dyDescent="0.3">
      <c r="A233" t="s">
        <v>680</v>
      </c>
      <c r="B233">
        <v>8</v>
      </c>
      <c r="C233">
        <v>12</v>
      </c>
    </row>
    <row r="234" spans="1:6" x14ac:dyDescent="0.3">
      <c r="A234" t="s">
        <v>563</v>
      </c>
      <c r="B234">
        <v>8</v>
      </c>
      <c r="C234">
        <v>0</v>
      </c>
    </row>
    <row r="235" spans="1:6" x14ac:dyDescent="0.3">
      <c r="A235" t="s">
        <v>681</v>
      </c>
      <c r="B235">
        <v>8</v>
      </c>
      <c r="C235">
        <v>0</v>
      </c>
    </row>
    <row r="236" spans="1:6" x14ac:dyDescent="0.3">
      <c r="A236" t="s">
        <v>682</v>
      </c>
      <c r="B236">
        <v>8</v>
      </c>
      <c r="C236">
        <v>16</v>
      </c>
    </row>
    <row r="237" spans="1:6" x14ac:dyDescent="0.3">
      <c r="A237" t="s">
        <v>683</v>
      </c>
      <c r="B237">
        <v>8</v>
      </c>
      <c r="C237">
        <v>200</v>
      </c>
    </row>
    <row r="238" spans="1:6" x14ac:dyDescent="0.3">
      <c r="A238" t="s">
        <v>684</v>
      </c>
      <c r="B238">
        <v>8</v>
      </c>
      <c r="C238">
        <v>1320</v>
      </c>
    </row>
    <row r="239" spans="1:6" x14ac:dyDescent="0.3">
      <c r="A239" t="s">
        <v>685</v>
      </c>
      <c r="B239">
        <v>8</v>
      </c>
      <c r="C239">
        <v>880</v>
      </c>
    </row>
    <row r="240" spans="1:6" x14ac:dyDescent="0.3">
      <c r="A240" t="s">
        <v>686</v>
      </c>
      <c r="B240">
        <v>8</v>
      </c>
      <c r="C240">
        <v>1760</v>
      </c>
    </row>
    <row r="241" spans="1:6" x14ac:dyDescent="0.3">
      <c r="A241" t="s">
        <v>687</v>
      </c>
      <c r="B241">
        <v>8</v>
      </c>
    </row>
    <row r="242" spans="1:6" x14ac:dyDescent="0.3">
      <c r="A242" t="s">
        <v>688</v>
      </c>
      <c r="B242">
        <v>8</v>
      </c>
    </row>
    <row r="243" spans="1:6" x14ac:dyDescent="0.3">
      <c r="A243" t="s">
        <v>689</v>
      </c>
      <c r="B243">
        <v>8</v>
      </c>
    </row>
    <row r="244" spans="1:6" x14ac:dyDescent="0.3">
      <c r="A244" t="s">
        <v>690</v>
      </c>
      <c r="B244">
        <v>8</v>
      </c>
      <c r="C244" t="b">
        <v>0</v>
      </c>
    </row>
    <row r="245" spans="1:6" x14ac:dyDescent="0.3">
      <c r="A245" t="s">
        <v>691</v>
      </c>
      <c r="B245">
        <v>8</v>
      </c>
      <c r="C245" t="b">
        <v>0</v>
      </c>
    </row>
    <row r="246" spans="1:6" x14ac:dyDescent="0.3">
      <c r="A246" t="s">
        <v>677</v>
      </c>
      <c r="B246">
        <v>9</v>
      </c>
      <c r="C246">
        <v>6</v>
      </c>
      <c r="D246">
        <v>4</v>
      </c>
      <c r="E246">
        <v>7</v>
      </c>
      <c r="F246">
        <v>1</v>
      </c>
    </row>
    <row r="247" spans="1:6" x14ac:dyDescent="0.3">
      <c r="A247" t="s">
        <v>36</v>
      </c>
      <c r="B247">
        <v>9</v>
      </c>
      <c r="C247">
        <v>3</v>
      </c>
      <c r="D247">
        <v>3</v>
      </c>
      <c r="E247">
        <v>4</v>
      </c>
      <c r="F247">
        <v>4</v>
      </c>
    </row>
    <row r="248" spans="1:6" x14ac:dyDescent="0.3">
      <c r="A248" t="s">
        <v>503</v>
      </c>
      <c r="B248">
        <v>9</v>
      </c>
      <c r="C248" t="s">
        <v>742</v>
      </c>
      <c r="D248" t="s">
        <v>742</v>
      </c>
      <c r="E248" t="s">
        <v>741</v>
      </c>
      <c r="F248" t="s">
        <v>741</v>
      </c>
    </row>
    <row r="249" spans="1:6" x14ac:dyDescent="0.3">
      <c r="A249" t="s">
        <v>678</v>
      </c>
      <c r="B249">
        <v>9</v>
      </c>
      <c r="C249">
        <v>575</v>
      </c>
      <c r="D249">
        <v>365</v>
      </c>
      <c r="E249">
        <v>2784</v>
      </c>
      <c r="F249">
        <v>2966</v>
      </c>
    </row>
    <row r="250" spans="1:6" x14ac:dyDescent="0.3">
      <c r="A250" t="s">
        <v>42</v>
      </c>
      <c r="B250">
        <v>9</v>
      </c>
      <c r="C250">
        <v>35</v>
      </c>
      <c r="D250">
        <v>30</v>
      </c>
      <c r="E250">
        <v>45</v>
      </c>
      <c r="F250">
        <v>45</v>
      </c>
    </row>
    <row r="251" spans="1:6" x14ac:dyDescent="0.3">
      <c r="A251" t="s">
        <v>679</v>
      </c>
      <c r="B251">
        <v>9</v>
      </c>
      <c r="C251">
        <v>11.2</v>
      </c>
      <c r="D251">
        <v>8.3000000000000007</v>
      </c>
      <c r="E251">
        <v>42.2</v>
      </c>
      <c r="F251">
        <v>44.9</v>
      </c>
    </row>
    <row r="252" spans="1:6" x14ac:dyDescent="0.3">
      <c r="A252" t="s">
        <v>41</v>
      </c>
      <c r="B252">
        <v>9</v>
      </c>
      <c r="C252">
        <v>0</v>
      </c>
      <c r="D252">
        <v>0</v>
      </c>
      <c r="E252">
        <v>0</v>
      </c>
      <c r="F252">
        <v>0</v>
      </c>
    </row>
    <row r="253" spans="1:6" x14ac:dyDescent="0.3">
      <c r="A253" t="s">
        <v>680</v>
      </c>
      <c r="B253">
        <v>9</v>
      </c>
      <c r="C253">
        <v>12</v>
      </c>
      <c r="D253">
        <v>12</v>
      </c>
      <c r="E253">
        <v>12</v>
      </c>
      <c r="F253">
        <v>12</v>
      </c>
    </row>
    <row r="254" spans="1:6" x14ac:dyDescent="0.3">
      <c r="A254" t="s">
        <v>563</v>
      </c>
      <c r="B254">
        <v>9</v>
      </c>
      <c r="C254">
        <v>0</v>
      </c>
      <c r="D254">
        <v>0</v>
      </c>
      <c r="E254">
        <v>0</v>
      </c>
      <c r="F254">
        <v>0</v>
      </c>
    </row>
    <row r="255" spans="1:6" x14ac:dyDescent="0.3">
      <c r="A255" t="s">
        <v>681</v>
      </c>
      <c r="B255">
        <v>9</v>
      </c>
      <c r="C255">
        <v>0</v>
      </c>
      <c r="D255">
        <v>1</v>
      </c>
      <c r="E255">
        <v>0</v>
      </c>
      <c r="F255">
        <v>0</v>
      </c>
    </row>
    <row r="256" spans="1:6" x14ac:dyDescent="0.3">
      <c r="A256" t="s">
        <v>682</v>
      </c>
      <c r="B256">
        <v>9</v>
      </c>
      <c r="C256">
        <v>16</v>
      </c>
      <c r="D256">
        <v>16</v>
      </c>
      <c r="E256">
        <v>16</v>
      </c>
      <c r="F256">
        <v>16</v>
      </c>
    </row>
    <row r="257" spans="1:6" x14ac:dyDescent="0.3">
      <c r="A257" t="s">
        <v>683</v>
      </c>
      <c r="B257">
        <v>9</v>
      </c>
      <c r="C257">
        <v>583</v>
      </c>
      <c r="D257">
        <v>583</v>
      </c>
      <c r="E257">
        <v>583</v>
      </c>
      <c r="F257">
        <v>583</v>
      </c>
    </row>
    <row r="258" spans="1:6" x14ac:dyDescent="0.3">
      <c r="A258" t="s">
        <v>684</v>
      </c>
      <c r="B258">
        <v>9</v>
      </c>
      <c r="C258">
        <v>1539</v>
      </c>
      <c r="D258">
        <v>1320</v>
      </c>
      <c r="E258">
        <v>1980</v>
      </c>
      <c r="F258">
        <v>1980</v>
      </c>
    </row>
    <row r="259" spans="1:6" x14ac:dyDescent="0.3">
      <c r="A259" t="s">
        <v>685</v>
      </c>
      <c r="B259">
        <v>9</v>
      </c>
      <c r="C259">
        <v>1026</v>
      </c>
      <c r="D259">
        <v>880</v>
      </c>
      <c r="E259">
        <v>1320</v>
      </c>
      <c r="F259">
        <v>1320</v>
      </c>
    </row>
    <row r="260" spans="1:6" x14ac:dyDescent="0.3">
      <c r="A260" t="s">
        <v>686</v>
      </c>
      <c r="B260">
        <v>9</v>
      </c>
      <c r="C260">
        <v>2052</v>
      </c>
      <c r="D260">
        <v>1760</v>
      </c>
      <c r="E260">
        <v>2640</v>
      </c>
      <c r="F260">
        <v>2640</v>
      </c>
    </row>
    <row r="261" spans="1:6" x14ac:dyDescent="0.3">
      <c r="A261" t="s">
        <v>687</v>
      </c>
      <c r="B261">
        <v>9</v>
      </c>
    </row>
    <row r="262" spans="1:6" x14ac:dyDescent="0.3">
      <c r="A262" t="s">
        <v>688</v>
      </c>
      <c r="B262">
        <v>9</v>
      </c>
    </row>
    <row r="263" spans="1:6" x14ac:dyDescent="0.3">
      <c r="A263" t="s">
        <v>689</v>
      </c>
      <c r="B263">
        <v>9</v>
      </c>
    </row>
    <row r="264" spans="1:6" x14ac:dyDescent="0.3">
      <c r="A264" t="s">
        <v>690</v>
      </c>
      <c r="B264">
        <v>9</v>
      </c>
      <c r="C264" t="b">
        <v>0</v>
      </c>
      <c r="D264" t="b">
        <v>0</v>
      </c>
      <c r="E264" t="b">
        <v>0</v>
      </c>
      <c r="F264" t="b">
        <v>0</v>
      </c>
    </row>
    <row r="265" spans="1:6" x14ac:dyDescent="0.3">
      <c r="A265" t="s">
        <v>691</v>
      </c>
      <c r="B265">
        <v>9</v>
      </c>
      <c r="C265" t="b">
        <v>0</v>
      </c>
      <c r="D265" t="b">
        <v>0</v>
      </c>
      <c r="E265" t="b">
        <v>0</v>
      </c>
      <c r="F265" t="b">
        <v>0</v>
      </c>
    </row>
    <row r="266" spans="1:6" x14ac:dyDescent="0.3">
      <c r="A266" t="s">
        <v>677</v>
      </c>
      <c r="B266">
        <v>10</v>
      </c>
      <c r="D266">
        <v>7</v>
      </c>
    </row>
    <row r="267" spans="1:6" x14ac:dyDescent="0.3">
      <c r="A267" t="s">
        <v>36</v>
      </c>
      <c r="B267">
        <v>10</v>
      </c>
      <c r="D267">
        <v>2</v>
      </c>
    </row>
    <row r="268" spans="1:6" x14ac:dyDescent="0.3">
      <c r="A268" t="s">
        <v>503</v>
      </c>
      <c r="B268">
        <v>10</v>
      </c>
      <c r="D268" t="s">
        <v>743</v>
      </c>
    </row>
    <row r="269" spans="1:6" x14ac:dyDescent="0.3">
      <c r="A269" t="s">
        <v>678</v>
      </c>
      <c r="B269">
        <v>10</v>
      </c>
      <c r="D269">
        <v>512</v>
      </c>
    </row>
    <row r="270" spans="1:6" x14ac:dyDescent="0.3">
      <c r="A270" t="s">
        <v>42</v>
      </c>
      <c r="B270">
        <v>10</v>
      </c>
      <c r="D270">
        <v>30</v>
      </c>
    </row>
    <row r="271" spans="1:6" x14ac:dyDescent="0.3">
      <c r="A271" t="s">
        <v>679</v>
      </c>
      <c r="B271">
        <v>10</v>
      </c>
      <c r="D271">
        <v>11.6</v>
      </c>
    </row>
    <row r="272" spans="1:6" x14ac:dyDescent="0.3">
      <c r="A272" t="s">
        <v>41</v>
      </c>
      <c r="B272">
        <v>10</v>
      </c>
      <c r="D272">
        <v>0</v>
      </c>
    </row>
    <row r="273" spans="1:6" x14ac:dyDescent="0.3">
      <c r="A273" t="s">
        <v>680</v>
      </c>
      <c r="B273">
        <v>10</v>
      </c>
      <c r="D273">
        <v>12</v>
      </c>
    </row>
    <row r="274" spans="1:6" x14ac:dyDescent="0.3">
      <c r="A274" t="s">
        <v>563</v>
      </c>
      <c r="B274">
        <v>10</v>
      </c>
      <c r="D274">
        <v>0</v>
      </c>
    </row>
    <row r="275" spans="1:6" x14ac:dyDescent="0.3">
      <c r="A275" t="s">
        <v>681</v>
      </c>
      <c r="B275">
        <v>10</v>
      </c>
      <c r="D275">
        <v>0</v>
      </c>
    </row>
    <row r="276" spans="1:6" x14ac:dyDescent="0.3">
      <c r="A276" t="s">
        <v>682</v>
      </c>
      <c r="B276">
        <v>10</v>
      </c>
      <c r="D276">
        <v>16</v>
      </c>
    </row>
    <row r="277" spans="1:6" x14ac:dyDescent="0.3">
      <c r="A277" t="s">
        <v>683</v>
      </c>
      <c r="B277">
        <v>10</v>
      </c>
      <c r="D277">
        <v>200</v>
      </c>
    </row>
    <row r="278" spans="1:6" x14ac:dyDescent="0.3">
      <c r="A278" t="s">
        <v>684</v>
      </c>
      <c r="B278">
        <v>10</v>
      </c>
      <c r="D278">
        <v>1320</v>
      </c>
    </row>
    <row r="279" spans="1:6" x14ac:dyDescent="0.3">
      <c r="A279" t="s">
        <v>685</v>
      </c>
      <c r="B279">
        <v>10</v>
      </c>
      <c r="D279">
        <v>880</v>
      </c>
    </row>
    <row r="280" spans="1:6" x14ac:dyDescent="0.3">
      <c r="A280" t="s">
        <v>686</v>
      </c>
      <c r="B280">
        <v>10</v>
      </c>
      <c r="D280">
        <v>1760</v>
      </c>
    </row>
    <row r="281" spans="1:6" x14ac:dyDescent="0.3">
      <c r="A281" t="s">
        <v>687</v>
      </c>
      <c r="B281">
        <v>10</v>
      </c>
    </row>
    <row r="282" spans="1:6" x14ac:dyDescent="0.3">
      <c r="A282" t="s">
        <v>688</v>
      </c>
      <c r="B282">
        <v>10</v>
      </c>
    </row>
    <row r="283" spans="1:6" x14ac:dyDescent="0.3">
      <c r="A283" t="s">
        <v>689</v>
      </c>
      <c r="B283">
        <v>10</v>
      </c>
    </row>
    <row r="284" spans="1:6" x14ac:dyDescent="0.3">
      <c r="A284" t="s">
        <v>690</v>
      </c>
      <c r="B284">
        <v>10</v>
      </c>
      <c r="D284" t="b">
        <v>0</v>
      </c>
    </row>
    <row r="285" spans="1:6" x14ac:dyDescent="0.3">
      <c r="A285" t="s">
        <v>691</v>
      </c>
      <c r="B285">
        <v>10</v>
      </c>
      <c r="D285" t="b">
        <v>0</v>
      </c>
    </row>
    <row r="286" spans="1:6" x14ac:dyDescent="0.3">
      <c r="A286" t="s">
        <v>677</v>
      </c>
      <c r="B286">
        <v>11</v>
      </c>
      <c r="C286">
        <v>14</v>
      </c>
      <c r="D286">
        <v>12</v>
      </c>
      <c r="E286">
        <v>25</v>
      </c>
      <c r="F286">
        <v>7</v>
      </c>
    </row>
    <row r="287" spans="1:6" x14ac:dyDescent="0.3">
      <c r="A287" t="s">
        <v>36</v>
      </c>
      <c r="B287">
        <v>11</v>
      </c>
      <c r="C287">
        <v>3</v>
      </c>
      <c r="D287">
        <v>2</v>
      </c>
      <c r="E287">
        <v>4</v>
      </c>
      <c r="F287">
        <v>4</v>
      </c>
    </row>
    <row r="288" spans="1:6" x14ac:dyDescent="0.3">
      <c r="A288" t="s">
        <v>503</v>
      </c>
      <c r="B288">
        <v>11</v>
      </c>
      <c r="C288" t="s">
        <v>745</v>
      </c>
      <c r="D288" t="s">
        <v>745</v>
      </c>
      <c r="E288" t="s">
        <v>741</v>
      </c>
      <c r="F288" t="s">
        <v>741</v>
      </c>
    </row>
    <row r="289" spans="1:6" x14ac:dyDescent="0.3">
      <c r="A289" t="s">
        <v>678</v>
      </c>
      <c r="B289">
        <v>11</v>
      </c>
      <c r="C289">
        <v>401</v>
      </c>
      <c r="D289">
        <v>533</v>
      </c>
      <c r="E289">
        <v>1028</v>
      </c>
      <c r="F289">
        <v>2820</v>
      </c>
    </row>
    <row r="290" spans="1:6" x14ac:dyDescent="0.3">
      <c r="A290" t="s">
        <v>42</v>
      </c>
      <c r="B290">
        <v>11</v>
      </c>
      <c r="C290">
        <v>35</v>
      </c>
      <c r="D290">
        <v>30</v>
      </c>
      <c r="E290">
        <v>45</v>
      </c>
      <c r="F290">
        <v>45</v>
      </c>
    </row>
    <row r="291" spans="1:6" x14ac:dyDescent="0.3">
      <c r="A291" t="s">
        <v>679</v>
      </c>
      <c r="B291">
        <v>11</v>
      </c>
      <c r="C291">
        <v>7.8</v>
      </c>
      <c r="D291">
        <v>12.1</v>
      </c>
      <c r="E291">
        <v>15.6</v>
      </c>
      <c r="F291">
        <v>42.7</v>
      </c>
    </row>
    <row r="292" spans="1:6" x14ac:dyDescent="0.3">
      <c r="A292" t="s">
        <v>41</v>
      </c>
      <c r="B292">
        <v>11</v>
      </c>
      <c r="C292">
        <v>0</v>
      </c>
      <c r="D292">
        <v>0</v>
      </c>
      <c r="E292">
        <v>0</v>
      </c>
      <c r="F292">
        <v>0</v>
      </c>
    </row>
    <row r="293" spans="1:6" x14ac:dyDescent="0.3">
      <c r="A293" t="s">
        <v>680</v>
      </c>
      <c r="B293">
        <v>11</v>
      </c>
      <c r="C293">
        <v>12</v>
      </c>
      <c r="D293">
        <v>12</v>
      </c>
      <c r="E293">
        <v>12</v>
      </c>
      <c r="F293">
        <v>12</v>
      </c>
    </row>
    <row r="294" spans="1:6" x14ac:dyDescent="0.3">
      <c r="A294" t="s">
        <v>563</v>
      </c>
      <c r="B294">
        <v>11</v>
      </c>
      <c r="C294">
        <v>0</v>
      </c>
      <c r="D294">
        <v>0</v>
      </c>
      <c r="E294">
        <v>0</v>
      </c>
      <c r="F294">
        <v>0</v>
      </c>
    </row>
    <row r="295" spans="1:6" x14ac:dyDescent="0.3">
      <c r="A295" t="s">
        <v>681</v>
      </c>
      <c r="B295">
        <v>11</v>
      </c>
      <c r="C295">
        <v>1</v>
      </c>
      <c r="D295">
        <v>0</v>
      </c>
      <c r="E295">
        <v>0</v>
      </c>
      <c r="F295">
        <v>0</v>
      </c>
    </row>
    <row r="296" spans="1:6" x14ac:dyDescent="0.3">
      <c r="A296" t="s">
        <v>682</v>
      </c>
      <c r="B296">
        <v>11</v>
      </c>
      <c r="C296">
        <v>16</v>
      </c>
      <c r="D296">
        <v>16</v>
      </c>
      <c r="E296">
        <v>16</v>
      </c>
      <c r="F296">
        <v>16</v>
      </c>
    </row>
    <row r="297" spans="1:6" x14ac:dyDescent="0.3">
      <c r="A297" t="s">
        <v>683</v>
      </c>
      <c r="B297">
        <v>11</v>
      </c>
      <c r="C297">
        <v>583</v>
      </c>
      <c r="D297">
        <v>583</v>
      </c>
      <c r="E297">
        <v>583</v>
      </c>
      <c r="F297">
        <v>583</v>
      </c>
    </row>
    <row r="298" spans="1:6" x14ac:dyDescent="0.3">
      <c r="A298" t="s">
        <v>684</v>
      </c>
      <c r="B298">
        <v>11</v>
      </c>
      <c r="C298">
        <v>1539</v>
      </c>
      <c r="D298">
        <v>1320</v>
      </c>
      <c r="E298">
        <v>1980</v>
      </c>
      <c r="F298">
        <v>1980</v>
      </c>
    </row>
    <row r="299" spans="1:6" x14ac:dyDescent="0.3">
      <c r="A299" t="s">
        <v>685</v>
      </c>
      <c r="B299">
        <v>11</v>
      </c>
      <c r="C299">
        <v>1026</v>
      </c>
      <c r="D299">
        <v>880</v>
      </c>
      <c r="E299">
        <v>1320</v>
      </c>
      <c r="F299">
        <v>1320</v>
      </c>
    </row>
    <row r="300" spans="1:6" x14ac:dyDescent="0.3">
      <c r="A300" t="s">
        <v>686</v>
      </c>
      <c r="B300">
        <v>11</v>
      </c>
      <c r="C300">
        <v>2052</v>
      </c>
      <c r="D300">
        <v>1760</v>
      </c>
      <c r="E300">
        <v>2640</v>
      </c>
      <c r="F300">
        <v>2640</v>
      </c>
    </row>
    <row r="301" spans="1:6" x14ac:dyDescent="0.3">
      <c r="A301" t="s">
        <v>687</v>
      </c>
      <c r="B301">
        <v>11</v>
      </c>
    </row>
    <row r="302" spans="1:6" x14ac:dyDescent="0.3">
      <c r="A302" t="s">
        <v>688</v>
      </c>
      <c r="B302">
        <v>11</v>
      </c>
    </row>
    <row r="303" spans="1:6" x14ac:dyDescent="0.3">
      <c r="A303" t="s">
        <v>689</v>
      </c>
      <c r="B303">
        <v>11</v>
      </c>
    </row>
    <row r="304" spans="1:6" x14ac:dyDescent="0.3">
      <c r="A304" t="s">
        <v>690</v>
      </c>
      <c r="B304">
        <v>11</v>
      </c>
      <c r="C304" t="b">
        <v>0</v>
      </c>
      <c r="D304" t="b">
        <v>0</v>
      </c>
      <c r="E304" t="b">
        <v>0</v>
      </c>
      <c r="F304" t="b">
        <v>0</v>
      </c>
    </row>
    <row r="305" spans="1:6" x14ac:dyDescent="0.3">
      <c r="A305" t="s">
        <v>691</v>
      </c>
      <c r="B305">
        <v>11</v>
      </c>
      <c r="C305" t="b">
        <v>0</v>
      </c>
      <c r="D305" t="b">
        <v>0</v>
      </c>
      <c r="E305" t="b">
        <v>0</v>
      </c>
      <c r="F305" t="b">
        <v>0</v>
      </c>
    </row>
    <row r="306" spans="1:6" x14ac:dyDescent="0.3">
      <c r="A306" t="s">
        <v>677</v>
      </c>
      <c r="B306">
        <v>12</v>
      </c>
      <c r="C306">
        <v>11</v>
      </c>
    </row>
    <row r="307" spans="1:6" x14ac:dyDescent="0.3">
      <c r="A307" t="s">
        <v>36</v>
      </c>
      <c r="B307">
        <v>12</v>
      </c>
      <c r="C307">
        <v>2</v>
      </c>
    </row>
    <row r="308" spans="1:6" x14ac:dyDescent="0.3">
      <c r="A308" t="s">
        <v>503</v>
      </c>
      <c r="B308">
        <v>12</v>
      </c>
      <c r="C308" t="s">
        <v>745</v>
      </c>
    </row>
    <row r="309" spans="1:6" x14ac:dyDescent="0.3">
      <c r="A309" t="s">
        <v>678</v>
      </c>
      <c r="B309">
        <v>12</v>
      </c>
      <c r="C309">
        <v>533</v>
      </c>
    </row>
    <row r="310" spans="1:6" x14ac:dyDescent="0.3">
      <c r="A310" t="s">
        <v>42</v>
      </c>
      <c r="B310">
        <v>12</v>
      </c>
      <c r="C310">
        <v>30</v>
      </c>
    </row>
    <row r="311" spans="1:6" x14ac:dyDescent="0.3">
      <c r="A311" t="s">
        <v>679</v>
      </c>
      <c r="B311">
        <v>12</v>
      </c>
      <c r="C311">
        <v>12.1</v>
      </c>
    </row>
    <row r="312" spans="1:6" x14ac:dyDescent="0.3">
      <c r="A312" t="s">
        <v>41</v>
      </c>
      <c r="B312">
        <v>12</v>
      </c>
      <c r="C312">
        <v>0</v>
      </c>
    </row>
    <row r="313" spans="1:6" x14ac:dyDescent="0.3">
      <c r="A313" t="s">
        <v>680</v>
      </c>
      <c r="B313">
        <v>12</v>
      </c>
      <c r="C313">
        <v>0</v>
      </c>
    </row>
    <row r="314" spans="1:6" x14ac:dyDescent="0.3">
      <c r="A314" t="s">
        <v>563</v>
      </c>
      <c r="B314">
        <v>12</v>
      </c>
      <c r="C314">
        <v>0</v>
      </c>
    </row>
    <row r="315" spans="1:6" x14ac:dyDescent="0.3">
      <c r="A315" t="s">
        <v>681</v>
      </c>
      <c r="B315">
        <v>12</v>
      </c>
      <c r="C315">
        <v>0</v>
      </c>
    </row>
    <row r="316" spans="1:6" x14ac:dyDescent="0.3">
      <c r="A316" t="s">
        <v>682</v>
      </c>
      <c r="B316">
        <v>12</v>
      </c>
      <c r="C316">
        <v>16</v>
      </c>
    </row>
    <row r="317" spans="1:6" x14ac:dyDescent="0.3">
      <c r="A317" t="s">
        <v>683</v>
      </c>
      <c r="B317">
        <v>12</v>
      </c>
      <c r="C317">
        <v>200</v>
      </c>
    </row>
    <row r="318" spans="1:6" x14ac:dyDescent="0.3">
      <c r="A318" t="s">
        <v>684</v>
      </c>
      <c r="B318">
        <v>12</v>
      </c>
      <c r="C318">
        <v>1320</v>
      </c>
    </row>
    <row r="319" spans="1:6" x14ac:dyDescent="0.3">
      <c r="A319" t="s">
        <v>685</v>
      </c>
      <c r="B319">
        <v>12</v>
      </c>
      <c r="C319">
        <v>880</v>
      </c>
    </row>
    <row r="320" spans="1:6" x14ac:dyDescent="0.3">
      <c r="A320" t="s">
        <v>686</v>
      </c>
      <c r="B320">
        <v>12</v>
      </c>
      <c r="C320">
        <v>1760</v>
      </c>
    </row>
    <row r="321" spans="1:10" x14ac:dyDescent="0.3">
      <c r="A321" t="s">
        <v>687</v>
      </c>
      <c r="B321">
        <v>12</v>
      </c>
    </row>
    <row r="322" spans="1:10" x14ac:dyDescent="0.3">
      <c r="A322" t="s">
        <v>688</v>
      </c>
      <c r="B322">
        <v>12</v>
      </c>
    </row>
    <row r="323" spans="1:10" x14ac:dyDescent="0.3">
      <c r="A323" t="s">
        <v>689</v>
      </c>
      <c r="B323">
        <v>12</v>
      </c>
    </row>
    <row r="324" spans="1:10" x14ac:dyDescent="0.3">
      <c r="A324" t="s">
        <v>690</v>
      </c>
      <c r="B324">
        <v>12</v>
      </c>
      <c r="C324" t="b">
        <v>0</v>
      </c>
    </row>
    <row r="325" spans="1:10" x14ac:dyDescent="0.3">
      <c r="A325" t="s">
        <v>691</v>
      </c>
      <c r="B325">
        <v>12</v>
      </c>
      <c r="C325" t="b">
        <v>0</v>
      </c>
    </row>
    <row r="326" spans="1:10" x14ac:dyDescent="0.3">
      <c r="A326" t="s">
        <v>677</v>
      </c>
      <c r="B326">
        <v>13</v>
      </c>
      <c r="G326">
        <v>16</v>
      </c>
      <c r="H326">
        <v>18</v>
      </c>
      <c r="I326">
        <v>49</v>
      </c>
      <c r="J326">
        <v>15</v>
      </c>
    </row>
    <row r="327" spans="1:10" x14ac:dyDescent="0.3">
      <c r="A327" t="s">
        <v>36</v>
      </c>
      <c r="B327">
        <v>13</v>
      </c>
      <c r="G327">
        <v>6</v>
      </c>
      <c r="H327">
        <v>6</v>
      </c>
      <c r="I327">
        <v>5</v>
      </c>
      <c r="J327">
        <v>4</v>
      </c>
    </row>
    <row r="328" spans="1:10" x14ac:dyDescent="0.3">
      <c r="A328" t="s">
        <v>503</v>
      </c>
      <c r="B328">
        <v>13</v>
      </c>
      <c r="G328" t="s">
        <v>746</v>
      </c>
      <c r="H328" t="s">
        <v>741</v>
      </c>
      <c r="I328" t="s">
        <v>741</v>
      </c>
      <c r="J328" t="s">
        <v>747</v>
      </c>
    </row>
    <row r="329" spans="1:10" x14ac:dyDescent="0.3">
      <c r="A329" t="s">
        <v>678</v>
      </c>
      <c r="B329">
        <v>13</v>
      </c>
      <c r="G329">
        <v>538</v>
      </c>
      <c r="H329">
        <v>914</v>
      </c>
      <c r="I329">
        <v>2934</v>
      </c>
      <c r="J329">
        <v>684</v>
      </c>
    </row>
    <row r="330" spans="1:10" x14ac:dyDescent="0.3">
      <c r="A330" t="s">
        <v>42</v>
      </c>
      <c r="B330">
        <v>13</v>
      </c>
      <c r="G330">
        <v>30</v>
      </c>
      <c r="H330">
        <v>45</v>
      </c>
      <c r="I330">
        <v>45</v>
      </c>
      <c r="J330">
        <v>35</v>
      </c>
    </row>
    <row r="331" spans="1:10" x14ac:dyDescent="0.3">
      <c r="A331" t="s">
        <v>679</v>
      </c>
      <c r="B331">
        <v>13</v>
      </c>
      <c r="G331">
        <v>12.2</v>
      </c>
      <c r="H331">
        <v>13.8</v>
      </c>
      <c r="I331">
        <v>44.5</v>
      </c>
      <c r="J331">
        <v>13.3</v>
      </c>
    </row>
    <row r="332" spans="1:10" x14ac:dyDescent="0.3">
      <c r="A332" t="s">
        <v>41</v>
      </c>
      <c r="B332">
        <v>13</v>
      </c>
      <c r="G332">
        <v>0</v>
      </c>
      <c r="H332">
        <v>0</v>
      </c>
      <c r="I332">
        <v>0</v>
      </c>
      <c r="J332">
        <v>0</v>
      </c>
    </row>
    <row r="333" spans="1:10" x14ac:dyDescent="0.3">
      <c r="A333" t="s">
        <v>680</v>
      </c>
      <c r="B333">
        <v>13</v>
      </c>
      <c r="G333">
        <v>24</v>
      </c>
      <c r="H333">
        <v>24</v>
      </c>
      <c r="I333">
        <v>24</v>
      </c>
      <c r="J333">
        <v>24</v>
      </c>
    </row>
    <row r="334" spans="1:10" x14ac:dyDescent="0.3">
      <c r="A334" t="s">
        <v>563</v>
      </c>
      <c r="B334">
        <v>13</v>
      </c>
      <c r="G334">
        <v>0</v>
      </c>
      <c r="H334">
        <v>0</v>
      </c>
      <c r="I334">
        <v>0</v>
      </c>
      <c r="J334">
        <v>0</v>
      </c>
    </row>
    <row r="335" spans="1:10" x14ac:dyDescent="0.3">
      <c r="A335" t="s">
        <v>681</v>
      </c>
      <c r="B335">
        <v>13</v>
      </c>
      <c r="G335">
        <v>0</v>
      </c>
      <c r="H335">
        <v>0</v>
      </c>
      <c r="I335">
        <v>0</v>
      </c>
      <c r="J335">
        <v>0</v>
      </c>
    </row>
    <row r="336" spans="1:10" x14ac:dyDescent="0.3">
      <c r="A336" t="s">
        <v>682</v>
      </c>
      <c r="B336">
        <v>13</v>
      </c>
      <c r="G336">
        <v>16</v>
      </c>
      <c r="H336">
        <v>16</v>
      </c>
      <c r="I336">
        <v>16</v>
      </c>
      <c r="J336">
        <v>16</v>
      </c>
    </row>
    <row r="337" spans="1:10" x14ac:dyDescent="0.3">
      <c r="A337" t="s">
        <v>683</v>
      </c>
      <c r="B337">
        <v>13</v>
      </c>
      <c r="G337">
        <v>583</v>
      </c>
      <c r="H337">
        <v>583</v>
      </c>
      <c r="I337">
        <v>583</v>
      </c>
      <c r="J337">
        <v>583</v>
      </c>
    </row>
    <row r="338" spans="1:10" x14ac:dyDescent="0.3">
      <c r="A338" t="s">
        <v>684</v>
      </c>
      <c r="B338">
        <v>13</v>
      </c>
      <c r="G338">
        <v>1320</v>
      </c>
      <c r="H338">
        <v>1980</v>
      </c>
      <c r="I338">
        <v>1980</v>
      </c>
      <c r="J338">
        <v>1539</v>
      </c>
    </row>
    <row r="339" spans="1:10" x14ac:dyDescent="0.3">
      <c r="A339" t="s">
        <v>685</v>
      </c>
      <c r="B339">
        <v>13</v>
      </c>
      <c r="G339">
        <v>880</v>
      </c>
      <c r="H339">
        <v>1320</v>
      </c>
      <c r="I339">
        <v>1320</v>
      </c>
      <c r="J339">
        <v>1026</v>
      </c>
    </row>
    <row r="340" spans="1:10" x14ac:dyDescent="0.3">
      <c r="A340" t="s">
        <v>686</v>
      </c>
      <c r="B340">
        <v>13</v>
      </c>
      <c r="G340">
        <v>1760</v>
      </c>
      <c r="H340">
        <v>2640</v>
      </c>
      <c r="I340">
        <v>2640</v>
      </c>
      <c r="J340">
        <v>2052</v>
      </c>
    </row>
    <row r="341" spans="1:10" x14ac:dyDescent="0.3">
      <c r="A341" t="s">
        <v>687</v>
      </c>
      <c r="B341">
        <v>13</v>
      </c>
      <c r="H341">
        <v>-359366</v>
      </c>
    </row>
    <row r="342" spans="1:10" x14ac:dyDescent="0.3">
      <c r="A342" t="s">
        <v>688</v>
      </c>
      <c r="B342">
        <v>13</v>
      </c>
      <c r="H342">
        <v>14381</v>
      </c>
    </row>
    <row r="343" spans="1:10" x14ac:dyDescent="0.3">
      <c r="A343" t="s">
        <v>689</v>
      </c>
      <c r="B343">
        <v>13</v>
      </c>
      <c r="H343">
        <v>0</v>
      </c>
    </row>
    <row r="344" spans="1:10" x14ac:dyDescent="0.3">
      <c r="A344" t="s">
        <v>690</v>
      </c>
      <c r="B344">
        <v>13</v>
      </c>
      <c r="G344" t="b">
        <v>0</v>
      </c>
      <c r="H344" t="b">
        <v>0</v>
      </c>
      <c r="I344" t="b">
        <v>0</v>
      </c>
      <c r="J344" t="b">
        <v>0</v>
      </c>
    </row>
    <row r="345" spans="1:10" x14ac:dyDescent="0.3">
      <c r="A345" t="s">
        <v>691</v>
      </c>
      <c r="B345">
        <v>13</v>
      </c>
      <c r="G345" t="b">
        <v>0</v>
      </c>
      <c r="H345" t="b">
        <v>0</v>
      </c>
      <c r="I345" t="b">
        <v>0</v>
      </c>
      <c r="J345" t="b">
        <v>0</v>
      </c>
    </row>
    <row r="346" spans="1:10" x14ac:dyDescent="0.3">
      <c r="A346" t="s">
        <v>677</v>
      </c>
      <c r="B346">
        <v>14</v>
      </c>
      <c r="D346">
        <v>11</v>
      </c>
    </row>
    <row r="347" spans="1:10" x14ac:dyDescent="0.3">
      <c r="A347" t="s">
        <v>36</v>
      </c>
      <c r="B347">
        <v>14</v>
      </c>
      <c r="D347">
        <v>2</v>
      </c>
    </row>
    <row r="348" spans="1:10" x14ac:dyDescent="0.3">
      <c r="A348" t="s">
        <v>503</v>
      </c>
      <c r="B348">
        <v>14</v>
      </c>
      <c r="D348" t="s">
        <v>745</v>
      </c>
    </row>
    <row r="349" spans="1:10" x14ac:dyDescent="0.3">
      <c r="A349" t="s">
        <v>678</v>
      </c>
      <c r="B349">
        <v>14</v>
      </c>
      <c r="D349">
        <v>401</v>
      </c>
    </row>
    <row r="350" spans="1:10" x14ac:dyDescent="0.3">
      <c r="A350" t="s">
        <v>42</v>
      </c>
      <c r="B350">
        <v>14</v>
      </c>
      <c r="D350">
        <v>30</v>
      </c>
    </row>
    <row r="351" spans="1:10" x14ac:dyDescent="0.3">
      <c r="A351" t="s">
        <v>679</v>
      </c>
      <c r="B351">
        <v>14</v>
      </c>
      <c r="D351">
        <v>9.1</v>
      </c>
    </row>
    <row r="352" spans="1:10" x14ac:dyDescent="0.3">
      <c r="A352" t="s">
        <v>41</v>
      </c>
      <c r="B352">
        <v>14</v>
      </c>
      <c r="D352">
        <v>0</v>
      </c>
    </row>
    <row r="353" spans="1:7" x14ac:dyDescent="0.3">
      <c r="A353" t="s">
        <v>680</v>
      </c>
      <c r="B353">
        <v>14</v>
      </c>
      <c r="D353">
        <v>12</v>
      </c>
    </row>
    <row r="354" spans="1:7" x14ac:dyDescent="0.3">
      <c r="A354" t="s">
        <v>563</v>
      </c>
      <c r="B354">
        <v>14</v>
      </c>
      <c r="D354">
        <v>0</v>
      </c>
    </row>
    <row r="355" spans="1:7" x14ac:dyDescent="0.3">
      <c r="A355" t="s">
        <v>681</v>
      </c>
      <c r="B355">
        <v>14</v>
      </c>
      <c r="D355">
        <v>1</v>
      </c>
    </row>
    <row r="356" spans="1:7" x14ac:dyDescent="0.3">
      <c r="A356" t="s">
        <v>682</v>
      </c>
      <c r="B356">
        <v>14</v>
      </c>
      <c r="D356">
        <v>16</v>
      </c>
    </row>
    <row r="357" spans="1:7" x14ac:dyDescent="0.3">
      <c r="A357" t="s">
        <v>683</v>
      </c>
      <c r="B357">
        <v>14</v>
      </c>
      <c r="D357">
        <v>200</v>
      </c>
    </row>
    <row r="358" spans="1:7" x14ac:dyDescent="0.3">
      <c r="A358" t="s">
        <v>684</v>
      </c>
      <c r="B358">
        <v>14</v>
      </c>
      <c r="D358">
        <v>1320</v>
      </c>
    </row>
    <row r="359" spans="1:7" x14ac:dyDescent="0.3">
      <c r="A359" t="s">
        <v>685</v>
      </c>
      <c r="B359">
        <v>14</v>
      </c>
      <c r="D359">
        <v>880</v>
      </c>
    </row>
    <row r="360" spans="1:7" x14ac:dyDescent="0.3">
      <c r="A360" t="s">
        <v>686</v>
      </c>
      <c r="B360">
        <v>14</v>
      </c>
      <c r="D360">
        <v>1760</v>
      </c>
    </row>
    <row r="361" spans="1:7" x14ac:dyDescent="0.3">
      <c r="A361" t="s">
        <v>687</v>
      </c>
      <c r="B361">
        <v>14</v>
      </c>
    </row>
    <row r="362" spans="1:7" x14ac:dyDescent="0.3">
      <c r="A362" t="s">
        <v>688</v>
      </c>
      <c r="B362">
        <v>14</v>
      </c>
    </row>
    <row r="363" spans="1:7" x14ac:dyDescent="0.3">
      <c r="A363" t="s">
        <v>689</v>
      </c>
      <c r="B363">
        <v>14</v>
      </c>
    </row>
    <row r="364" spans="1:7" x14ac:dyDescent="0.3">
      <c r="A364" t="s">
        <v>690</v>
      </c>
      <c r="B364">
        <v>14</v>
      </c>
      <c r="D364" t="b">
        <v>0</v>
      </c>
    </row>
    <row r="365" spans="1:7" x14ac:dyDescent="0.3">
      <c r="A365" t="s">
        <v>691</v>
      </c>
      <c r="B365">
        <v>14</v>
      </c>
      <c r="D365" t="b">
        <v>0</v>
      </c>
    </row>
    <row r="366" spans="1:7" x14ac:dyDescent="0.3">
      <c r="A366" t="s">
        <v>677</v>
      </c>
      <c r="B366">
        <v>15</v>
      </c>
      <c r="G366">
        <v>13</v>
      </c>
    </row>
    <row r="367" spans="1:7" x14ac:dyDescent="0.3">
      <c r="A367" t="s">
        <v>36</v>
      </c>
      <c r="B367">
        <v>15</v>
      </c>
      <c r="G367">
        <v>2</v>
      </c>
    </row>
    <row r="368" spans="1:7" x14ac:dyDescent="0.3">
      <c r="A368" t="s">
        <v>503</v>
      </c>
      <c r="B368">
        <v>15</v>
      </c>
      <c r="G368" t="s">
        <v>747</v>
      </c>
    </row>
    <row r="369" spans="1:7" x14ac:dyDescent="0.3">
      <c r="A369" t="s">
        <v>678</v>
      </c>
      <c r="B369">
        <v>15</v>
      </c>
      <c r="G369">
        <v>684</v>
      </c>
    </row>
    <row r="370" spans="1:7" x14ac:dyDescent="0.3">
      <c r="A370" t="s">
        <v>42</v>
      </c>
      <c r="B370">
        <v>15</v>
      </c>
      <c r="G370">
        <v>30</v>
      </c>
    </row>
    <row r="371" spans="1:7" x14ac:dyDescent="0.3">
      <c r="A371" t="s">
        <v>679</v>
      </c>
      <c r="B371">
        <v>15</v>
      </c>
      <c r="G371">
        <v>15.5</v>
      </c>
    </row>
    <row r="372" spans="1:7" x14ac:dyDescent="0.3">
      <c r="A372" t="s">
        <v>41</v>
      </c>
      <c r="B372">
        <v>15</v>
      </c>
      <c r="G372">
        <v>0</v>
      </c>
    </row>
    <row r="373" spans="1:7" x14ac:dyDescent="0.3">
      <c r="A373" t="s">
        <v>680</v>
      </c>
      <c r="B373">
        <v>15</v>
      </c>
      <c r="G373">
        <v>24</v>
      </c>
    </row>
    <row r="374" spans="1:7" x14ac:dyDescent="0.3">
      <c r="A374" t="s">
        <v>563</v>
      </c>
      <c r="B374">
        <v>15</v>
      </c>
      <c r="G374">
        <v>0</v>
      </c>
    </row>
    <row r="375" spans="1:7" x14ac:dyDescent="0.3">
      <c r="A375" t="s">
        <v>681</v>
      </c>
      <c r="B375">
        <v>15</v>
      </c>
      <c r="G375">
        <v>0</v>
      </c>
    </row>
    <row r="376" spans="1:7" x14ac:dyDescent="0.3">
      <c r="A376" t="s">
        <v>682</v>
      </c>
      <c r="B376">
        <v>15</v>
      </c>
      <c r="G376">
        <v>16</v>
      </c>
    </row>
    <row r="377" spans="1:7" x14ac:dyDescent="0.3">
      <c r="A377" t="s">
        <v>683</v>
      </c>
      <c r="B377">
        <v>15</v>
      </c>
      <c r="G377">
        <v>200</v>
      </c>
    </row>
    <row r="378" spans="1:7" x14ac:dyDescent="0.3">
      <c r="A378" t="s">
        <v>684</v>
      </c>
      <c r="B378">
        <v>15</v>
      </c>
      <c r="G378">
        <v>1320</v>
      </c>
    </row>
    <row r="379" spans="1:7" x14ac:dyDescent="0.3">
      <c r="A379" t="s">
        <v>685</v>
      </c>
      <c r="B379">
        <v>15</v>
      </c>
      <c r="G379">
        <v>880</v>
      </c>
    </row>
    <row r="380" spans="1:7" x14ac:dyDescent="0.3">
      <c r="A380" t="s">
        <v>686</v>
      </c>
      <c r="B380">
        <v>15</v>
      </c>
      <c r="G380">
        <v>1760</v>
      </c>
    </row>
    <row r="381" spans="1:7" x14ac:dyDescent="0.3">
      <c r="A381" t="s">
        <v>687</v>
      </c>
      <c r="B381">
        <v>15</v>
      </c>
    </row>
    <row r="382" spans="1:7" x14ac:dyDescent="0.3">
      <c r="A382" t="s">
        <v>688</v>
      </c>
      <c r="B382">
        <v>15</v>
      </c>
    </row>
    <row r="383" spans="1:7" x14ac:dyDescent="0.3">
      <c r="A383" t="s">
        <v>689</v>
      </c>
      <c r="B383">
        <v>15</v>
      </c>
    </row>
    <row r="384" spans="1:7" x14ac:dyDescent="0.3">
      <c r="A384" t="s">
        <v>690</v>
      </c>
      <c r="B384">
        <v>15</v>
      </c>
      <c r="G384" t="b">
        <v>0</v>
      </c>
    </row>
    <row r="385" spans="1:10" x14ac:dyDescent="0.3">
      <c r="A385" t="s">
        <v>691</v>
      </c>
      <c r="B385">
        <v>15</v>
      </c>
      <c r="G385" t="b">
        <v>0</v>
      </c>
    </row>
    <row r="386" spans="1:10" x14ac:dyDescent="0.3">
      <c r="A386" t="s">
        <v>677</v>
      </c>
      <c r="B386">
        <v>16</v>
      </c>
      <c r="J386">
        <v>13</v>
      </c>
    </row>
    <row r="387" spans="1:10" x14ac:dyDescent="0.3">
      <c r="A387" t="s">
        <v>36</v>
      </c>
      <c r="B387">
        <v>16</v>
      </c>
      <c r="J387">
        <v>2</v>
      </c>
    </row>
    <row r="388" spans="1:10" x14ac:dyDescent="0.3">
      <c r="A388" t="s">
        <v>503</v>
      </c>
      <c r="B388">
        <v>16</v>
      </c>
      <c r="J388" t="s">
        <v>746</v>
      </c>
    </row>
    <row r="389" spans="1:10" x14ac:dyDescent="0.3">
      <c r="A389" t="s">
        <v>678</v>
      </c>
      <c r="B389">
        <v>16</v>
      </c>
      <c r="J389">
        <v>538</v>
      </c>
    </row>
    <row r="390" spans="1:10" x14ac:dyDescent="0.3">
      <c r="A390" t="s">
        <v>42</v>
      </c>
      <c r="B390">
        <v>16</v>
      </c>
      <c r="J390">
        <v>30</v>
      </c>
    </row>
    <row r="391" spans="1:10" x14ac:dyDescent="0.3">
      <c r="A391" t="s">
        <v>679</v>
      </c>
      <c r="B391">
        <v>16</v>
      </c>
      <c r="J391">
        <v>12.2</v>
      </c>
    </row>
    <row r="392" spans="1:10" x14ac:dyDescent="0.3">
      <c r="A392" t="s">
        <v>41</v>
      </c>
      <c r="B392">
        <v>16</v>
      </c>
      <c r="J392">
        <v>0</v>
      </c>
    </row>
    <row r="393" spans="1:10" x14ac:dyDescent="0.3">
      <c r="A393" t="s">
        <v>680</v>
      </c>
      <c r="B393">
        <v>16</v>
      </c>
      <c r="J393">
        <v>24</v>
      </c>
    </row>
    <row r="394" spans="1:10" x14ac:dyDescent="0.3">
      <c r="A394" t="s">
        <v>563</v>
      </c>
      <c r="B394">
        <v>16</v>
      </c>
      <c r="J394">
        <v>0</v>
      </c>
    </row>
    <row r="395" spans="1:10" x14ac:dyDescent="0.3">
      <c r="A395" t="s">
        <v>681</v>
      </c>
      <c r="B395">
        <v>16</v>
      </c>
      <c r="J395">
        <v>0</v>
      </c>
    </row>
    <row r="396" spans="1:10" x14ac:dyDescent="0.3">
      <c r="A396" t="s">
        <v>682</v>
      </c>
      <c r="B396">
        <v>16</v>
      </c>
      <c r="J396">
        <v>16</v>
      </c>
    </row>
    <row r="397" spans="1:10" x14ac:dyDescent="0.3">
      <c r="A397" t="s">
        <v>683</v>
      </c>
      <c r="B397">
        <v>16</v>
      </c>
      <c r="J397">
        <v>200</v>
      </c>
    </row>
    <row r="398" spans="1:10" x14ac:dyDescent="0.3">
      <c r="A398" t="s">
        <v>684</v>
      </c>
      <c r="B398">
        <v>16</v>
      </c>
      <c r="J398">
        <v>1320</v>
      </c>
    </row>
    <row r="399" spans="1:10" x14ac:dyDescent="0.3">
      <c r="A399" t="s">
        <v>685</v>
      </c>
      <c r="B399">
        <v>16</v>
      </c>
      <c r="J399">
        <v>880</v>
      </c>
    </row>
    <row r="400" spans="1:10" x14ac:dyDescent="0.3">
      <c r="A400" t="s">
        <v>686</v>
      </c>
      <c r="B400">
        <v>16</v>
      </c>
      <c r="J400">
        <v>1760</v>
      </c>
    </row>
    <row r="401" spans="1:10" x14ac:dyDescent="0.3">
      <c r="A401" t="s">
        <v>687</v>
      </c>
      <c r="B401">
        <v>16</v>
      </c>
    </row>
    <row r="402" spans="1:10" x14ac:dyDescent="0.3">
      <c r="A402" t="s">
        <v>688</v>
      </c>
      <c r="B402">
        <v>16</v>
      </c>
    </row>
    <row r="403" spans="1:10" x14ac:dyDescent="0.3">
      <c r="A403" t="s">
        <v>689</v>
      </c>
      <c r="B403">
        <v>16</v>
      </c>
    </row>
    <row r="404" spans="1:10" x14ac:dyDescent="0.3">
      <c r="A404" t="s">
        <v>690</v>
      </c>
      <c r="B404">
        <v>16</v>
      </c>
      <c r="J404" t="b">
        <v>0</v>
      </c>
    </row>
    <row r="405" spans="1:10" x14ac:dyDescent="0.3">
      <c r="A405" t="s">
        <v>691</v>
      </c>
      <c r="B405">
        <v>16</v>
      </c>
      <c r="J405" t="b">
        <v>0</v>
      </c>
    </row>
    <row r="406" spans="1:10" x14ac:dyDescent="0.3">
      <c r="A406" t="s">
        <v>677</v>
      </c>
      <c r="B406">
        <v>17</v>
      </c>
      <c r="E406">
        <v>19</v>
      </c>
      <c r="H406">
        <v>49</v>
      </c>
      <c r="I406">
        <v>21</v>
      </c>
      <c r="J406">
        <v>20</v>
      </c>
    </row>
    <row r="407" spans="1:10" x14ac:dyDescent="0.3">
      <c r="A407" t="s">
        <v>36</v>
      </c>
      <c r="B407">
        <v>17</v>
      </c>
      <c r="E407">
        <v>3</v>
      </c>
      <c r="H407">
        <v>6</v>
      </c>
      <c r="I407">
        <v>4</v>
      </c>
      <c r="J407">
        <v>2</v>
      </c>
    </row>
    <row r="408" spans="1:10" x14ac:dyDescent="0.3">
      <c r="A408" t="s">
        <v>503</v>
      </c>
      <c r="B408">
        <v>17</v>
      </c>
      <c r="E408" t="s">
        <v>748</v>
      </c>
      <c r="H408" t="s">
        <v>741</v>
      </c>
      <c r="I408" t="s">
        <v>749</v>
      </c>
      <c r="J408" t="s">
        <v>750</v>
      </c>
    </row>
    <row r="409" spans="1:10" x14ac:dyDescent="0.3">
      <c r="A409" t="s">
        <v>678</v>
      </c>
      <c r="B409">
        <v>17</v>
      </c>
      <c r="E409">
        <v>995</v>
      </c>
      <c r="H409">
        <v>4063</v>
      </c>
      <c r="I409">
        <v>4722</v>
      </c>
      <c r="J409">
        <v>288</v>
      </c>
    </row>
    <row r="410" spans="1:10" x14ac:dyDescent="0.3">
      <c r="A410" t="s">
        <v>42</v>
      </c>
      <c r="B410">
        <v>17</v>
      </c>
      <c r="E410">
        <v>25</v>
      </c>
      <c r="H410">
        <v>45</v>
      </c>
      <c r="I410">
        <v>45</v>
      </c>
      <c r="J410">
        <v>30</v>
      </c>
    </row>
    <row r="411" spans="1:10" x14ac:dyDescent="0.3">
      <c r="A411" t="s">
        <v>679</v>
      </c>
      <c r="B411">
        <v>17</v>
      </c>
      <c r="E411">
        <v>27.1</v>
      </c>
      <c r="H411">
        <v>61.6</v>
      </c>
      <c r="I411">
        <v>71.5</v>
      </c>
      <c r="J411">
        <v>6.5</v>
      </c>
    </row>
    <row r="412" spans="1:10" x14ac:dyDescent="0.3">
      <c r="A412" t="s">
        <v>41</v>
      </c>
      <c r="B412">
        <v>17</v>
      </c>
      <c r="E412">
        <v>0</v>
      </c>
      <c r="H412">
        <v>0</v>
      </c>
      <c r="I412">
        <v>0</v>
      </c>
      <c r="J412">
        <v>0</v>
      </c>
    </row>
    <row r="413" spans="1:10" x14ac:dyDescent="0.3">
      <c r="A413" t="s">
        <v>680</v>
      </c>
      <c r="B413">
        <v>17</v>
      </c>
      <c r="E413">
        <v>24</v>
      </c>
      <c r="H413">
        <v>24</v>
      </c>
      <c r="I413">
        <v>24</v>
      </c>
      <c r="J413">
        <v>12</v>
      </c>
    </row>
    <row r="414" spans="1:10" x14ac:dyDescent="0.3">
      <c r="A414" t="s">
        <v>563</v>
      </c>
      <c r="B414">
        <v>17</v>
      </c>
      <c r="E414">
        <v>0</v>
      </c>
      <c r="H414">
        <v>0</v>
      </c>
      <c r="I414">
        <v>0</v>
      </c>
      <c r="J414">
        <v>0</v>
      </c>
    </row>
    <row r="415" spans="1:10" x14ac:dyDescent="0.3">
      <c r="A415" t="s">
        <v>681</v>
      </c>
      <c r="B415">
        <v>17</v>
      </c>
      <c r="E415">
        <v>1</v>
      </c>
      <c r="H415">
        <v>0</v>
      </c>
      <c r="I415">
        <v>0</v>
      </c>
      <c r="J415">
        <v>0</v>
      </c>
    </row>
    <row r="416" spans="1:10" x14ac:dyDescent="0.3">
      <c r="A416" t="s">
        <v>682</v>
      </c>
      <c r="B416">
        <v>17</v>
      </c>
      <c r="E416">
        <v>16</v>
      </c>
      <c r="H416">
        <v>16</v>
      </c>
      <c r="I416">
        <v>16</v>
      </c>
      <c r="J416">
        <v>16</v>
      </c>
    </row>
    <row r="417" spans="1:10" x14ac:dyDescent="0.3">
      <c r="A417" t="s">
        <v>683</v>
      </c>
      <c r="B417">
        <v>17</v>
      </c>
      <c r="E417">
        <v>687</v>
      </c>
      <c r="H417">
        <v>687</v>
      </c>
      <c r="I417">
        <v>687</v>
      </c>
      <c r="J417">
        <v>687</v>
      </c>
    </row>
    <row r="418" spans="1:10" x14ac:dyDescent="0.3">
      <c r="A418" t="s">
        <v>684</v>
      </c>
      <c r="B418">
        <v>17</v>
      </c>
      <c r="E418">
        <v>1101</v>
      </c>
      <c r="H418">
        <v>1980</v>
      </c>
      <c r="I418">
        <v>1980</v>
      </c>
      <c r="J418">
        <v>1320</v>
      </c>
    </row>
    <row r="419" spans="1:10" x14ac:dyDescent="0.3">
      <c r="A419" t="s">
        <v>685</v>
      </c>
      <c r="B419">
        <v>17</v>
      </c>
      <c r="E419">
        <v>734</v>
      </c>
      <c r="H419">
        <v>1320</v>
      </c>
      <c r="I419">
        <v>1320</v>
      </c>
      <c r="J419">
        <v>880</v>
      </c>
    </row>
    <row r="420" spans="1:10" x14ac:dyDescent="0.3">
      <c r="A420" t="s">
        <v>686</v>
      </c>
      <c r="B420">
        <v>17</v>
      </c>
      <c r="E420">
        <v>1468</v>
      </c>
      <c r="H420">
        <v>2640</v>
      </c>
      <c r="I420">
        <v>2640</v>
      </c>
      <c r="J420">
        <v>1760</v>
      </c>
    </row>
    <row r="421" spans="1:10" x14ac:dyDescent="0.3">
      <c r="A421" t="s">
        <v>687</v>
      </c>
      <c r="B421">
        <v>17</v>
      </c>
    </row>
    <row r="422" spans="1:10" x14ac:dyDescent="0.3">
      <c r="A422" t="s">
        <v>688</v>
      </c>
      <c r="B422">
        <v>17</v>
      </c>
    </row>
    <row r="423" spans="1:10" x14ac:dyDescent="0.3">
      <c r="A423" t="s">
        <v>689</v>
      </c>
      <c r="B423">
        <v>17</v>
      </c>
    </row>
    <row r="424" spans="1:10" x14ac:dyDescent="0.3">
      <c r="A424" t="s">
        <v>690</v>
      </c>
      <c r="B424">
        <v>17</v>
      </c>
      <c r="E424" t="b">
        <v>0</v>
      </c>
      <c r="H424" t="b">
        <v>0</v>
      </c>
      <c r="I424" t="b">
        <v>0</v>
      </c>
      <c r="J424" t="b">
        <v>0</v>
      </c>
    </row>
    <row r="425" spans="1:10" x14ac:dyDescent="0.3">
      <c r="A425" t="s">
        <v>691</v>
      </c>
      <c r="B425">
        <v>17</v>
      </c>
      <c r="E425" t="b">
        <v>0</v>
      </c>
      <c r="H425" t="b">
        <v>0</v>
      </c>
      <c r="I425" t="b">
        <v>0</v>
      </c>
      <c r="J425" t="b">
        <v>0</v>
      </c>
    </row>
    <row r="426" spans="1:10" x14ac:dyDescent="0.3">
      <c r="A426" t="s">
        <v>677</v>
      </c>
      <c r="B426">
        <v>18</v>
      </c>
      <c r="E426">
        <v>13</v>
      </c>
      <c r="F426">
        <v>25</v>
      </c>
    </row>
    <row r="427" spans="1:10" x14ac:dyDescent="0.3">
      <c r="A427" t="s">
        <v>36</v>
      </c>
      <c r="B427">
        <v>18</v>
      </c>
      <c r="E427">
        <v>3</v>
      </c>
      <c r="F427">
        <v>3</v>
      </c>
    </row>
    <row r="428" spans="1:10" x14ac:dyDescent="0.3">
      <c r="A428" t="s">
        <v>503</v>
      </c>
      <c r="B428">
        <v>18</v>
      </c>
      <c r="E428" t="s">
        <v>741</v>
      </c>
      <c r="F428" t="s">
        <v>741</v>
      </c>
    </row>
    <row r="429" spans="1:10" x14ac:dyDescent="0.3">
      <c r="A429" t="s">
        <v>678</v>
      </c>
      <c r="B429">
        <v>18</v>
      </c>
      <c r="E429">
        <v>914</v>
      </c>
      <c r="F429">
        <v>3145</v>
      </c>
    </row>
    <row r="430" spans="1:10" x14ac:dyDescent="0.3">
      <c r="A430" t="s">
        <v>42</v>
      </c>
      <c r="B430">
        <v>18</v>
      </c>
      <c r="E430">
        <v>45</v>
      </c>
      <c r="F430">
        <v>45</v>
      </c>
    </row>
    <row r="431" spans="1:10" x14ac:dyDescent="0.3">
      <c r="A431" t="s">
        <v>679</v>
      </c>
      <c r="B431">
        <v>18</v>
      </c>
      <c r="E431">
        <v>13.8</v>
      </c>
      <c r="F431">
        <v>47.7</v>
      </c>
    </row>
    <row r="432" spans="1:10" x14ac:dyDescent="0.3">
      <c r="A432" t="s">
        <v>41</v>
      </c>
      <c r="B432">
        <v>18</v>
      </c>
      <c r="E432">
        <v>0</v>
      </c>
      <c r="F432">
        <v>0</v>
      </c>
    </row>
    <row r="433" spans="1:6" x14ac:dyDescent="0.3">
      <c r="A433" t="s">
        <v>680</v>
      </c>
      <c r="B433">
        <v>18</v>
      </c>
      <c r="E433">
        <v>24</v>
      </c>
      <c r="F433">
        <v>24</v>
      </c>
    </row>
    <row r="434" spans="1:6" x14ac:dyDescent="0.3">
      <c r="A434" t="s">
        <v>563</v>
      </c>
      <c r="B434">
        <v>18</v>
      </c>
      <c r="E434">
        <v>0</v>
      </c>
      <c r="F434">
        <v>0</v>
      </c>
    </row>
    <row r="435" spans="1:6" x14ac:dyDescent="0.3">
      <c r="A435" t="s">
        <v>681</v>
      </c>
      <c r="B435">
        <v>18</v>
      </c>
      <c r="E435">
        <v>0</v>
      </c>
      <c r="F435">
        <v>0</v>
      </c>
    </row>
    <row r="436" spans="1:6" x14ac:dyDescent="0.3">
      <c r="A436" t="s">
        <v>682</v>
      </c>
      <c r="B436">
        <v>18</v>
      </c>
      <c r="E436">
        <v>16</v>
      </c>
      <c r="F436">
        <v>16</v>
      </c>
    </row>
    <row r="437" spans="1:6" x14ac:dyDescent="0.3">
      <c r="A437" t="s">
        <v>683</v>
      </c>
      <c r="B437">
        <v>18</v>
      </c>
      <c r="E437">
        <v>100</v>
      </c>
      <c r="F437">
        <v>100</v>
      </c>
    </row>
    <row r="438" spans="1:6" x14ac:dyDescent="0.3">
      <c r="A438" t="s">
        <v>684</v>
      </c>
      <c r="B438">
        <v>18</v>
      </c>
      <c r="E438">
        <v>1980</v>
      </c>
      <c r="F438">
        <v>1980</v>
      </c>
    </row>
    <row r="439" spans="1:6" x14ac:dyDescent="0.3">
      <c r="A439" t="s">
        <v>685</v>
      </c>
      <c r="B439">
        <v>18</v>
      </c>
      <c r="E439">
        <v>1320</v>
      </c>
      <c r="F439">
        <v>1320</v>
      </c>
    </row>
    <row r="440" spans="1:6" x14ac:dyDescent="0.3">
      <c r="A440" t="s">
        <v>686</v>
      </c>
      <c r="B440">
        <v>18</v>
      </c>
      <c r="E440">
        <v>2640</v>
      </c>
      <c r="F440">
        <v>2640</v>
      </c>
    </row>
    <row r="441" spans="1:6" x14ac:dyDescent="0.3">
      <c r="A441" t="s">
        <v>687</v>
      </c>
      <c r="B441">
        <v>18</v>
      </c>
      <c r="E441">
        <v>-359035</v>
      </c>
    </row>
    <row r="442" spans="1:6" x14ac:dyDescent="0.3">
      <c r="A442" t="s">
        <v>688</v>
      </c>
      <c r="B442">
        <v>18</v>
      </c>
      <c r="E442">
        <v>14076</v>
      </c>
    </row>
    <row r="443" spans="1:6" x14ac:dyDescent="0.3">
      <c r="A443" t="s">
        <v>689</v>
      </c>
      <c r="B443">
        <v>18</v>
      </c>
      <c r="E443">
        <v>0</v>
      </c>
    </row>
    <row r="444" spans="1:6" x14ac:dyDescent="0.3">
      <c r="A444" t="s">
        <v>690</v>
      </c>
      <c r="B444">
        <v>18</v>
      </c>
      <c r="E444" t="b">
        <v>0</v>
      </c>
      <c r="F444" t="b">
        <v>0</v>
      </c>
    </row>
    <row r="445" spans="1:6" x14ac:dyDescent="0.3">
      <c r="A445" t="s">
        <v>691</v>
      </c>
      <c r="B445">
        <v>18</v>
      </c>
      <c r="E445" t="b">
        <v>0</v>
      </c>
      <c r="F445" t="b">
        <v>0</v>
      </c>
    </row>
    <row r="446" spans="1:6" x14ac:dyDescent="0.3">
      <c r="A446" t="s">
        <v>677</v>
      </c>
      <c r="B446">
        <v>19</v>
      </c>
      <c r="F446">
        <v>17</v>
      </c>
    </row>
    <row r="447" spans="1:6" x14ac:dyDescent="0.3">
      <c r="A447" t="s">
        <v>36</v>
      </c>
      <c r="B447">
        <v>19</v>
      </c>
      <c r="F447">
        <v>2</v>
      </c>
    </row>
    <row r="448" spans="1:6" x14ac:dyDescent="0.3">
      <c r="A448" t="s">
        <v>503</v>
      </c>
      <c r="B448">
        <v>19</v>
      </c>
      <c r="F448" t="s">
        <v>748</v>
      </c>
    </row>
    <row r="449" spans="1:6" x14ac:dyDescent="0.3">
      <c r="A449" t="s">
        <v>678</v>
      </c>
      <c r="B449">
        <v>19</v>
      </c>
      <c r="F449">
        <v>995</v>
      </c>
    </row>
    <row r="450" spans="1:6" x14ac:dyDescent="0.3">
      <c r="A450" t="s">
        <v>42</v>
      </c>
      <c r="B450">
        <v>19</v>
      </c>
      <c r="F450">
        <v>30</v>
      </c>
    </row>
    <row r="451" spans="1:6" x14ac:dyDescent="0.3">
      <c r="A451" t="s">
        <v>679</v>
      </c>
      <c r="B451">
        <v>19</v>
      </c>
      <c r="F451">
        <v>22.6</v>
      </c>
    </row>
    <row r="452" spans="1:6" x14ac:dyDescent="0.3">
      <c r="A452" t="s">
        <v>41</v>
      </c>
      <c r="B452">
        <v>19</v>
      </c>
      <c r="F452">
        <v>0</v>
      </c>
    </row>
    <row r="453" spans="1:6" x14ac:dyDescent="0.3">
      <c r="A453" t="s">
        <v>680</v>
      </c>
      <c r="B453">
        <v>19</v>
      </c>
      <c r="F453">
        <v>12</v>
      </c>
    </row>
    <row r="454" spans="1:6" x14ac:dyDescent="0.3">
      <c r="A454" t="s">
        <v>563</v>
      </c>
      <c r="B454">
        <v>19</v>
      </c>
      <c r="F454">
        <v>0</v>
      </c>
    </row>
    <row r="455" spans="1:6" x14ac:dyDescent="0.3">
      <c r="A455" t="s">
        <v>681</v>
      </c>
      <c r="B455">
        <v>19</v>
      </c>
      <c r="F455">
        <v>1</v>
      </c>
    </row>
    <row r="456" spans="1:6" x14ac:dyDescent="0.3">
      <c r="A456" t="s">
        <v>682</v>
      </c>
      <c r="B456">
        <v>19</v>
      </c>
      <c r="F456">
        <v>16</v>
      </c>
    </row>
    <row r="457" spans="1:6" x14ac:dyDescent="0.3">
      <c r="A457" t="s">
        <v>683</v>
      </c>
      <c r="B457">
        <v>19</v>
      </c>
      <c r="F457">
        <v>200</v>
      </c>
    </row>
    <row r="458" spans="1:6" x14ac:dyDescent="0.3">
      <c r="A458" t="s">
        <v>684</v>
      </c>
      <c r="B458">
        <v>19</v>
      </c>
      <c r="F458">
        <v>1320</v>
      </c>
    </row>
    <row r="459" spans="1:6" x14ac:dyDescent="0.3">
      <c r="A459" t="s">
        <v>685</v>
      </c>
      <c r="B459">
        <v>19</v>
      </c>
      <c r="F459">
        <v>880</v>
      </c>
    </row>
    <row r="460" spans="1:6" x14ac:dyDescent="0.3">
      <c r="A460" t="s">
        <v>686</v>
      </c>
      <c r="B460">
        <v>19</v>
      </c>
      <c r="F460">
        <v>1760</v>
      </c>
    </row>
    <row r="461" spans="1:6" x14ac:dyDescent="0.3">
      <c r="A461" t="s">
        <v>687</v>
      </c>
      <c r="B461">
        <v>19</v>
      </c>
    </row>
    <row r="462" spans="1:6" x14ac:dyDescent="0.3">
      <c r="A462" t="s">
        <v>688</v>
      </c>
      <c r="B462">
        <v>19</v>
      </c>
    </row>
    <row r="463" spans="1:6" x14ac:dyDescent="0.3">
      <c r="A463" t="s">
        <v>689</v>
      </c>
      <c r="B463">
        <v>19</v>
      </c>
    </row>
    <row r="464" spans="1:6" x14ac:dyDescent="0.3">
      <c r="A464" t="s">
        <v>690</v>
      </c>
      <c r="B464">
        <v>19</v>
      </c>
      <c r="F464" t="b">
        <v>0</v>
      </c>
    </row>
    <row r="465" spans="1:7" x14ac:dyDescent="0.3">
      <c r="A465" t="s">
        <v>691</v>
      </c>
      <c r="B465">
        <v>19</v>
      </c>
      <c r="F465" t="b">
        <v>0</v>
      </c>
    </row>
    <row r="466" spans="1:7" x14ac:dyDescent="0.3">
      <c r="A466" t="s">
        <v>677</v>
      </c>
      <c r="B466">
        <v>20</v>
      </c>
      <c r="G466">
        <v>17</v>
      </c>
    </row>
    <row r="467" spans="1:7" x14ac:dyDescent="0.3">
      <c r="A467" t="s">
        <v>36</v>
      </c>
      <c r="B467">
        <v>20</v>
      </c>
      <c r="G467">
        <v>1</v>
      </c>
    </row>
    <row r="468" spans="1:7" x14ac:dyDescent="0.3">
      <c r="A468" t="s">
        <v>503</v>
      </c>
      <c r="B468">
        <v>20</v>
      </c>
      <c r="G468" t="s">
        <v>750</v>
      </c>
    </row>
    <row r="469" spans="1:7" x14ac:dyDescent="0.3">
      <c r="A469" t="s">
        <v>678</v>
      </c>
      <c r="B469">
        <v>20</v>
      </c>
      <c r="G469">
        <v>288</v>
      </c>
    </row>
    <row r="470" spans="1:7" x14ac:dyDescent="0.3">
      <c r="A470" t="s">
        <v>42</v>
      </c>
      <c r="B470">
        <v>20</v>
      </c>
      <c r="G470">
        <v>25</v>
      </c>
    </row>
    <row r="471" spans="1:7" x14ac:dyDescent="0.3">
      <c r="A471" t="s">
        <v>679</v>
      </c>
      <c r="B471">
        <v>20</v>
      </c>
      <c r="G471">
        <v>7.9</v>
      </c>
    </row>
    <row r="472" spans="1:7" x14ac:dyDescent="0.3">
      <c r="A472" t="s">
        <v>41</v>
      </c>
      <c r="B472">
        <v>20</v>
      </c>
      <c r="G472">
        <v>0</v>
      </c>
    </row>
    <row r="473" spans="1:7" x14ac:dyDescent="0.3">
      <c r="A473" t="s">
        <v>680</v>
      </c>
      <c r="B473">
        <v>20</v>
      </c>
      <c r="G473">
        <v>0</v>
      </c>
    </row>
    <row r="474" spans="1:7" x14ac:dyDescent="0.3">
      <c r="A474" t="s">
        <v>563</v>
      </c>
      <c r="B474">
        <v>20</v>
      </c>
      <c r="G474">
        <v>0</v>
      </c>
    </row>
    <row r="475" spans="1:7" x14ac:dyDescent="0.3">
      <c r="A475" t="s">
        <v>681</v>
      </c>
      <c r="B475">
        <v>20</v>
      </c>
      <c r="G475">
        <v>0</v>
      </c>
    </row>
    <row r="476" spans="1:7" x14ac:dyDescent="0.3">
      <c r="A476" t="s">
        <v>682</v>
      </c>
      <c r="B476">
        <v>20</v>
      </c>
      <c r="G476">
        <v>16</v>
      </c>
    </row>
    <row r="477" spans="1:7" x14ac:dyDescent="0.3">
      <c r="A477" t="s">
        <v>683</v>
      </c>
      <c r="B477">
        <v>20</v>
      </c>
      <c r="G477">
        <v>200</v>
      </c>
    </row>
    <row r="478" spans="1:7" x14ac:dyDescent="0.3">
      <c r="A478" t="s">
        <v>684</v>
      </c>
      <c r="B478">
        <v>20</v>
      </c>
      <c r="G478">
        <v>1101</v>
      </c>
    </row>
    <row r="479" spans="1:7" x14ac:dyDescent="0.3">
      <c r="A479" t="s">
        <v>685</v>
      </c>
      <c r="B479">
        <v>20</v>
      </c>
      <c r="G479">
        <v>734</v>
      </c>
    </row>
    <row r="480" spans="1:7" x14ac:dyDescent="0.3">
      <c r="A480" t="s">
        <v>686</v>
      </c>
      <c r="B480">
        <v>20</v>
      </c>
      <c r="G480">
        <v>1468</v>
      </c>
    </row>
    <row r="481" spans="1:9" x14ac:dyDescent="0.3">
      <c r="A481" t="s">
        <v>687</v>
      </c>
      <c r="B481">
        <v>20</v>
      </c>
    </row>
    <row r="482" spans="1:9" x14ac:dyDescent="0.3">
      <c r="A482" t="s">
        <v>688</v>
      </c>
      <c r="B482">
        <v>20</v>
      </c>
    </row>
    <row r="483" spans="1:9" x14ac:dyDescent="0.3">
      <c r="A483" t="s">
        <v>689</v>
      </c>
      <c r="B483">
        <v>20</v>
      </c>
    </row>
    <row r="484" spans="1:9" x14ac:dyDescent="0.3">
      <c r="A484" t="s">
        <v>690</v>
      </c>
      <c r="B484">
        <v>20</v>
      </c>
      <c r="G484" t="b">
        <v>0</v>
      </c>
    </row>
    <row r="485" spans="1:9" x14ac:dyDescent="0.3">
      <c r="A485" t="s">
        <v>691</v>
      </c>
      <c r="B485">
        <v>20</v>
      </c>
      <c r="G485" t="b">
        <v>0</v>
      </c>
    </row>
    <row r="486" spans="1:9" x14ac:dyDescent="0.3">
      <c r="A486" t="s">
        <v>677</v>
      </c>
      <c r="B486">
        <v>21</v>
      </c>
      <c r="C486">
        <v>22</v>
      </c>
      <c r="D486">
        <v>23</v>
      </c>
      <c r="H486">
        <v>17</v>
      </c>
      <c r="I486">
        <v>46</v>
      </c>
    </row>
    <row r="487" spans="1:9" x14ac:dyDescent="0.3">
      <c r="A487" t="s">
        <v>36</v>
      </c>
      <c r="B487">
        <v>21</v>
      </c>
      <c r="C487">
        <v>5</v>
      </c>
      <c r="D487">
        <v>4</v>
      </c>
      <c r="H487">
        <v>6</v>
      </c>
      <c r="I487">
        <v>6</v>
      </c>
    </row>
    <row r="488" spans="1:9" x14ac:dyDescent="0.3">
      <c r="A488" t="s">
        <v>503</v>
      </c>
      <c r="B488">
        <v>21</v>
      </c>
      <c r="C488" t="s">
        <v>751</v>
      </c>
      <c r="D488" t="s">
        <v>751</v>
      </c>
      <c r="H488" t="s">
        <v>749</v>
      </c>
      <c r="I488" t="s">
        <v>741</v>
      </c>
    </row>
    <row r="489" spans="1:9" x14ac:dyDescent="0.3">
      <c r="A489" t="s">
        <v>678</v>
      </c>
      <c r="B489">
        <v>21</v>
      </c>
      <c r="C489">
        <v>623</v>
      </c>
      <c r="D489">
        <v>452</v>
      </c>
      <c r="H489">
        <v>4722</v>
      </c>
      <c r="I489">
        <v>906</v>
      </c>
    </row>
    <row r="490" spans="1:9" x14ac:dyDescent="0.3">
      <c r="A490" t="s">
        <v>42</v>
      </c>
      <c r="B490">
        <v>21</v>
      </c>
      <c r="C490">
        <v>35</v>
      </c>
      <c r="D490">
        <v>35</v>
      </c>
      <c r="H490">
        <v>45</v>
      </c>
      <c r="I490">
        <v>45</v>
      </c>
    </row>
    <row r="491" spans="1:9" x14ac:dyDescent="0.3">
      <c r="A491" t="s">
        <v>679</v>
      </c>
      <c r="B491">
        <v>21</v>
      </c>
      <c r="C491">
        <v>12.1</v>
      </c>
      <c r="D491">
        <v>8.8000000000000007</v>
      </c>
      <c r="H491">
        <v>71.5</v>
      </c>
      <c r="I491">
        <v>13.7</v>
      </c>
    </row>
    <row r="492" spans="1:9" x14ac:dyDescent="0.3">
      <c r="A492" t="s">
        <v>41</v>
      </c>
      <c r="B492">
        <v>21</v>
      </c>
      <c r="C492">
        <v>0</v>
      </c>
      <c r="D492">
        <v>0</v>
      </c>
      <c r="H492">
        <v>0</v>
      </c>
      <c r="I492">
        <v>0</v>
      </c>
    </row>
    <row r="493" spans="1:9" x14ac:dyDescent="0.3">
      <c r="A493" t="s">
        <v>680</v>
      </c>
      <c r="B493">
        <v>21</v>
      </c>
      <c r="C493">
        <v>24</v>
      </c>
      <c r="D493">
        <v>24</v>
      </c>
      <c r="H493">
        <v>24</v>
      </c>
      <c r="I493">
        <v>24</v>
      </c>
    </row>
    <row r="494" spans="1:9" x14ac:dyDescent="0.3">
      <c r="A494" t="s">
        <v>563</v>
      </c>
      <c r="B494">
        <v>21</v>
      </c>
      <c r="C494">
        <v>0</v>
      </c>
      <c r="D494">
        <v>0</v>
      </c>
      <c r="H494">
        <v>0</v>
      </c>
      <c r="I494">
        <v>0</v>
      </c>
    </row>
    <row r="495" spans="1:9" x14ac:dyDescent="0.3">
      <c r="A495" t="s">
        <v>681</v>
      </c>
      <c r="B495">
        <v>21</v>
      </c>
      <c r="C495">
        <v>0</v>
      </c>
      <c r="D495">
        <v>0</v>
      </c>
      <c r="H495">
        <v>0</v>
      </c>
      <c r="I495">
        <v>0</v>
      </c>
    </row>
    <row r="496" spans="1:9" x14ac:dyDescent="0.3">
      <c r="A496" t="s">
        <v>682</v>
      </c>
      <c r="B496">
        <v>21</v>
      </c>
      <c r="C496">
        <v>16</v>
      </c>
      <c r="D496">
        <v>16</v>
      </c>
      <c r="H496">
        <v>16</v>
      </c>
      <c r="I496">
        <v>16</v>
      </c>
    </row>
    <row r="497" spans="1:9" x14ac:dyDescent="0.3">
      <c r="A497" t="s">
        <v>683</v>
      </c>
      <c r="B497">
        <v>21</v>
      </c>
      <c r="C497">
        <v>583</v>
      </c>
      <c r="D497">
        <v>583</v>
      </c>
      <c r="H497">
        <v>583</v>
      </c>
      <c r="I497">
        <v>583</v>
      </c>
    </row>
    <row r="498" spans="1:9" x14ac:dyDescent="0.3">
      <c r="A498" t="s">
        <v>684</v>
      </c>
      <c r="B498">
        <v>21</v>
      </c>
      <c r="C498">
        <v>1539</v>
      </c>
      <c r="D498">
        <v>1539</v>
      </c>
      <c r="H498">
        <v>1980</v>
      </c>
      <c r="I498">
        <v>1980</v>
      </c>
    </row>
    <row r="499" spans="1:9" x14ac:dyDescent="0.3">
      <c r="A499" t="s">
        <v>685</v>
      </c>
      <c r="B499">
        <v>21</v>
      </c>
      <c r="C499">
        <v>1026</v>
      </c>
      <c r="D499">
        <v>1026</v>
      </c>
      <c r="H499">
        <v>1320</v>
      </c>
      <c r="I499">
        <v>1320</v>
      </c>
    </row>
    <row r="500" spans="1:9" x14ac:dyDescent="0.3">
      <c r="A500" t="s">
        <v>686</v>
      </c>
      <c r="B500">
        <v>21</v>
      </c>
      <c r="C500">
        <v>2052</v>
      </c>
      <c r="D500">
        <v>2052</v>
      </c>
      <c r="H500">
        <v>2640</v>
      </c>
      <c r="I500">
        <v>2640</v>
      </c>
    </row>
    <row r="501" spans="1:9" x14ac:dyDescent="0.3">
      <c r="A501" t="s">
        <v>687</v>
      </c>
      <c r="B501">
        <v>21</v>
      </c>
    </row>
    <row r="502" spans="1:9" x14ac:dyDescent="0.3">
      <c r="A502" t="s">
        <v>688</v>
      </c>
      <c r="B502">
        <v>21</v>
      </c>
    </row>
    <row r="503" spans="1:9" x14ac:dyDescent="0.3">
      <c r="A503" t="s">
        <v>689</v>
      </c>
      <c r="B503">
        <v>21</v>
      </c>
    </row>
    <row r="504" spans="1:9" x14ac:dyDescent="0.3">
      <c r="A504" t="s">
        <v>690</v>
      </c>
      <c r="B504">
        <v>21</v>
      </c>
      <c r="C504" t="b">
        <v>0</v>
      </c>
      <c r="D504" t="b">
        <v>0</v>
      </c>
      <c r="H504" t="b">
        <v>0</v>
      </c>
      <c r="I504" t="b">
        <v>0</v>
      </c>
    </row>
    <row r="505" spans="1:9" x14ac:dyDescent="0.3">
      <c r="A505" t="s">
        <v>691</v>
      </c>
      <c r="B505">
        <v>21</v>
      </c>
      <c r="C505" t="b">
        <v>0</v>
      </c>
      <c r="D505" t="b">
        <v>0</v>
      </c>
      <c r="H505" t="b">
        <v>0</v>
      </c>
      <c r="I505" t="b">
        <v>0</v>
      </c>
    </row>
    <row r="506" spans="1:9" x14ac:dyDescent="0.3">
      <c r="A506" t="s">
        <v>677</v>
      </c>
      <c r="B506">
        <v>22</v>
      </c>
      <c r="D506">
        <v>21</v>
      </c>
    </row>
    <row r="507" spans="1:9" x14ac:dyDescent="0.3">
      <c r="A507" t="s">
        <v>36</v>
      </c>
      <c r="B507">
        <v>22</v>
      </c>
      <c r="D507">
        <v>2</v>
      </c>
    </row>
    <row r="508" spans="1:9" x14ac:dyDescent="0.3">
      <c r="A508" t="s">
        <v>503</v>
      </c>
      <c r="B508">
        <v>22</v>
      </c>
      <c r="D508" t="s">
        <v>751</v>
      </c>
    </row>
    <row r="509" spans="1:9" x14ac:dyDescent="0.3">
      <c r="A509" t="s">
        <v>678</v>
      </c>
      <c r="B509">
        <v>22</v>
      </c>
      <c r="D509">
        <v>623</v>
      </c>
    </row>
    <row r="510" spans="1:9" x14ac:dyDescent="0.3">
      <c r="A510" t="s">
        <v>42</v>
      </c>
      <c r="B510">
        <v>22</v>
      </c>
      <c r="D510">
        <v>30</v>
      </c>
    </row>
    <row r="511" spans="1:9" x14ac:dyDescent="0.3">
      <c r="A511" t="s">
        <v>679</v>
      </c>
      <c r="B511">
        <v>22</v>
      </c>
      <c r="D511">
        <v>14.2</v>
      </c>
    </row>
    <row r="512" spans="1:9" x14ac:dyDescent="0.3">
      <c r="A512" t="s">
        <v>41</v>
      </c>
      <c r="B512">
        <v>22</v>
      </c>
      <c r="D512">
        <v>0</v>
      </c>
    </row>
    <row r="513" spans="1:4" x14ac:dyDescent="0.3">
      <c r="A513" t="s">
        <v>680</v>
      </c>
      <c r="B513">
        <v>22</v>
      </c>
      <c r="D513">
        <v>24</v>
      </c>
    </row>
    <row r="514" spans="1:4" x14ac:dyDescent="0.3">
      <c r="A514" t="s">
        <v>563</v>
      </c>
      <c r="B514">
        <v>22</v>
      </c>
      <c r="D514">
        <v>0</v>
      </c>
    </row>
    <row r="515" spans="1:4" x14ac:dyDescent="0.3">
      <c r="A515" t="s">
        <v>681</v>
      </c>
      <c r="B515">
        <v>22</v>
      </c>
      <c r="D515">
        <v>0</v>
      </c>
    </row>
    <row r="516" spans="1:4" x14ac:dyDescent="0.3">
      <c r="A516" t="s">
        <v>682</v>
      </c>
      <c r="B516">
        <v>22</v>
      </c>
      <c r="D516">
        <v>16</v>
      </c>
    </row>
    <row r="517" spans="1:4" x14ac:dyDescent="0.3">
      <c r="A517" t="s">
        <v>683</v>
      </c>
      <c r="B517">
        <v>22</v>
      </c>
      <c r="D517">
        <v>200</v>
      </c>
    </row>
    <row r="518" spans="1:4" x14ac:dyDescent="0.3">
      <c r="A518" t="s">
        <v>684</v>
      </c>
      <c r="B518">
        <v>22</v>
      </c>
      <c r="D518">
        <v>1320</v>
      </c>
    </row>
    <row r="519" spans="1:4" x14ac:dyDescent="0.3">
      <c r="A519" t="s">
        <v>685</v>
      </c>
      <c r="B519">
        <v>22</v>
      </c>
      <c r="D519">
        <v>880</v>
      </c>
    </row>
    <row r="520" spans="1:4" x14ac:dyDescent="0.3">
      <c r="A520" t="s">
        <v>686</v>
      </c>
      <c r="B520">
        <v>22</v>
      </c>
      <c r="D520">
        <v>1760</v>
      </c>
    </row>
    <row r="521" spans="1:4" x14ac:dyDescent="0.3">
      <c r="A521" t="s">
        <v>687</v>
      </c>
      <c r="B521">
        <v>22</v>
      </c>
    </row>
    <row r="522" spans="1:4" x14ac:dyDescent="0.3">
      <c r="A522" t="s">
        <v>688</v>
      </c>
      <c r="B522">
        <v>22</v>
      </c>
    </row>
    <row r="523" spans="1:4" x14ac:dyDescent="0.3">
      <c r="A523" t="s">
        <v>689</v>
      </c>
      <c r="B523">
        <v>22</v>
      </c>
    </row>
    <row r="524" spans="1:4" x14ac:dyDescent="0.3">
      <c r="A524" t="s">
        <v>690</v>
      </c>
      <c r="B524">
        <v>22</v>
      </c>
      <c r="D524" t="b">
        <v>0</v>
      </c>
    </row>
    <row r="525" spans="1:4" x14ac:dyDescent="0.3">
      <c r="A525" t="s">
        <v>691</v>
      </c>
      <c r="B525">
        <v>22</v>
      </c>
      <c r="D525" t="b">
        <v>0</v>
      </c>
    </row>
    <row r="526" spans="1:4" x14ac:dyDescent="0.3">
      <c r="A526" t="s">
        <v>677</v>
      </c>
      <c r="B526">
        <v>23</v>
      </c>
      <c r="C526">
        <v>21</v>
      </c>
    </row>
    <row r="527" spans="1:4" x14ac:dyDescent="0.3">
      <c r="A527" t="s">
        <v>36</v>
      </c>
      <c r="B527">
        <v>23</v>
      </c>
      <c r="C527">
        <v>2</v>
      </c>
    </row>
    <row r="528" spans="1:4" x14ac:dyDescent="0.3">
      <c r="A528" t="s">
        <v>503</v>
      </c>
      <c r="B528">
        <v>23</v>
      </c>
      <c r="C528" t="s">
        <v>751</v>
      </c>
    </row>
    <row r="529" spans="1:3" x14ac:dyDescent="0.3">
      <c r="A529" t="s">
        <v>678</v>
      </c>
      <c r="B529">
        <v>23</v>
      </c>
      <c r="C529">
        <v>452</v>
      </c>
    </row>
    <row r="530" spans="1:3" x14ac:dyDescent="0.3">
      <c r="A530" t="s">
        <v>42</v>
      </c>
      <c r="B530">
        <v>23</v>
      </c>
      <c r="C530">
        <v>30</v>
      </c>
    </row>
    <row r="531" spans="1:3" x14ac:dyDescent="0.3">
      <c r="A531" t="s">
        <v>679</v>
      </c>
      <c r="B531">
        <v>23</v>
      </c>
      <c r="C531">
        <v>10.3</v>
      </c>
    </row>
    <row r="532" spans="1:3" x14ac:dyDescent="0.3">
      <c r="A532" t="s">
        <v>41</v>
      </c>
      <c r="B532">
        <v>23</v>
      </c>
      <c r="C532">
        <v>0</v>
      </c>
    </row>
    <row r="533" spans="1:3" x14ac:dyDescent="0.3">
      <c r="A533" t="s">
        <v>680</v>
      </c>
      <c r="B533">
        <v>23</v>
      </c>
      <c r="C533">
        <v>12</v>
      </c>
    </row>
    <row r="534" spans="1:3" x14ac:dyDescent="0.3">
      <c r="A534" t="s">
        <v>563</v>
      </c>
      <c r="B534">
        <v>23</v>
      </c>
      <c r="C534">
        <v>0</v>
      </c>
    </row>
    <row r="535" spans="1:3" x14ac:dyDescent="0.3">
      <c r="A535" t="s">
        <v>681</v>
      </c>
      <c r="B535">
        <v>23</v>
      </c>
      <c r="C535">
        <v>0</v>
      </c>
    </row>
    <row r="536" spans="1:3" x14ac:dyDescent="0.3">
      <c r="A536" t="s">
        <v>682</v>
      </c>
      <c r="B536">
        <v>23</v>
      </c>
      <c r="C536">
        <v>16</v>
      </c>
    </row>
    <row r="537" spans="1:3" x14ac:dyDescent="0.3">
      <c r="A537" t="s">
        <v>683</v>
      </c>
      <c r="B537">
        <v>23</v>
      </c>
      <c r="C537">
        <v>200</v>
      </c>
    </row>
    <row r="538" spans="1:3" x14ac:dyDescent="0.3">
      <c r="A538" t="s">
        <v>684</v>
      </c>
      <c r="B538">
        <v>23</v>
      </c>
      <c r="C538">
        <v>1320</v>
      </c>
    </row>
    <row r="539" spans="1:3" x14ac:dyDescent="0.3">
      <c r="A539" t="s">
        <v>685</v>
      </c>
      <c r="B539">
        <v>23</v>
      </c>
      <c r="C539">
        <v>880</v>
      </c>
    </row>
    <row r="540" spans="1:3" x14ac:dyDescent="0.3">
      <c r="A540" t="s">
        <v>686</v>
      </c>
      <c r="B540">
        <v>23</v>
      </c>
      <c r="C540">
        <v>1760</v>
      </c>
    </row>
    <row r="541" spans="1:3" x14ac:dyDescent="0.3">
      <c r="A541" t="s">
        <v>687</v>
      </c>
      <c r="B541">
        <v>23</v>
      </c>
    </row>
    <row r="542" spans="1:3" x14ac:dyDescent="0.3">
      <c r="A542" t="s">
        <v>688</v>
      </c>
      <c r="B542">
        <v>23</v>
      </c>
    </row>
    <row r="543" spans="1:3" x14ac:dyDescent="0.3">
      <c r="A543" t="s">
        <v>689</v>
      </c>
      <c r="B543">
        <v>23</v>
      </c>
    </row>
    <row r="544" spans="1:3" x14ac:dyDescent="0.3">
      <c r="A544" t="s">
        <v>690</v>
      </c>
      <c r="B544">
        <v>23</v>
      </c>
      <c r="C544" t="b">
        <v>0</v>
      </c>
    </row>
    <row r="545" spans="1:10" x14ac:dyDescent="0.3">
      <c r="A545" t="s">
        <v>691</v>
      </c>
      <c r="B545">
        <v>23</v>
      </c>
      <c r="C545" t="b">
        <v>0</v>
      </c>
    </row>
    <row r="546" spans="1:10" x14ac:dyDescent="0.3">
      <c r="A546" t="s">
        <v>677</v>
      </c>
      <c r="B546">
        <v>24</v>
      </c>
      <c r="J546">
        <v>28</v>
      </c>
    </row>
    <row r="547" spans="1:10" x14ac:dyDescent="0.3">
      <c r="A547" t="s">
        <v>36</v>
      </c>
      <c r="B547">
        <v>24</v>
      </c>
      <c r="J547">
        <v>1</v>
      </c>
    </row>
    <row r="548" spans="1:10" x14ac:dyDescent="0.3">
      <c r="A548" t="s">
        <v>503</v>
      </c>
      <c r="B548">
        <v>24</v>
      </c>
      <c r="J548" t="s">
        <v>752</v>
      </c>
    </row>
    <row r="549" spans="1:10" x14ac:dyDescent="0.3">
      <c r="A549" t="s">
        <v>678</v>
      </c>
      <c r="B549">
        <v>24</v>
      </c>
      <c r="J549">
        <v>274</v>
      </c>
    </row>
    <row r="550" spans="1:10" x14ac:dyDescent="0.3">
      <c r="A550" t="s">
        <v>42</v>
      </c>
      <c r="B550">
        <v>24</v>
      </c>
      <c r="J550">
        <v>25</v>
      </c>
    </row>
    <row r="551" spans="1:10" x14ac:dyDescent="0.3">
      <c r="A551" t="s">
        <v>679</v>
      </c>
      <c r="B551">
        <v>24</v>
      </c>
      <c r="J551">
        <v>7.5</v>
      </c>
    </row>
    <row r="552" spans="1:10" x14ac:dyDescent="0.3">
      <c r="A552" t="s">
        <v>41</v>
      </c>
      <c r="B552">
        <v>24</v>
      </c>
      <c r="J552">
        <v>0</v>
      </c>
    </row>
    <row r="553" spans="1:10" x14ac:dyDescent="0.3">
      <c r="A553" t="s">
        <v>680</v>
      </c>
      <c r="B553">
        <v>24</v>
      </c>
      <c r="J553">
        <v>0</v>
      </c>
    </row>
    <row r="554" spans="1:10" x14ac:dyDescent="0.3">
      <c r="A554" t="s">
        <v>563</v>
      </c>
      <c r="B554">
        <v>24</v>
      </c>
      <c r="J554">
        <v>0</v>
      </c>
    </row>
    <row r="555" spans="1:10" x14ac:dyDescent="0.3">
      <c r="A555" t="s">
        <v>681</v>
      </c>
      <c r="B555">
        <v>24</v>
      </c>
      <c r="J555">
        <v>0</v>
      </c>
    </row>
    <row r="556" spans="1:10" x14ac:dyDescent="0.3">
      <c r="A556" t="s">
        <v>682</v>
      </c>
      <c r="B556">
        <v>24</v>
      </c>
      <c r="J556">
        <v>16</v>
      </c>
    </row>
    <row r="557" spans="1:10" x14ac:dyDescent="0.3">
      <c r="A557" t="s">
        <v>683</v>
      </c>
      <c r="B557">
        <v>24</v>
      </c>
      <c r="J557">
        <v>200</v>
      </c>
    </row>
    <row r="558" spans="1:10" x14ac:dyDescent="0.3">
      <c r="A558" t="s">
        <v>684</v>
      </c>
      <c r="B558">
        <v>24</v>
      </c>
      <c r="J558">
        <v>1101</v>
      </c>
    </row>
    <row r="559" spans="1:10" x14ac:dyDescent="0.3">
      <c r="A559" t="s">
        <v>685</v>
      </c>
      <c r="B559">
        <v>24</v>
      </c>
      <c r="J559">
        <v>734</v>
      </c>
    </row>
    <row r="560" spans="1:10" x14ac:dyDescent="0.3">
      <c r="A560" t="s">
        <v>686</v>
      </c>
      <c r="B560">
        <v>24</v>
      </c>
      <c r="J560">
        <v>1468</v>
      </c>
    </row>
    <row r="561" spans="1:10" x14ac:dyDescent="0.3">
      <c r="A561" t="s">
        <v>687</v>
      </c>
      <c r="B561">
        <v>24</v>
      </c>
    </row>
    <row r="562" spans="1:10" x14ac:dyDescent="0.3">
      <c r="A562" t="s">
        <v>688</v>
      </c>
      <c r="B562">
        <v>24</v>
      </c>
    </row>
    <row r="563" spans="1:10" x14ac:dyDescent="0.3">
      <c r="A563" t="s">
        <v>689</v>
      </c>
      <c r="B563">
        <v>24</v>
      </c>
    </row>
    <row r="564" spans="1:10" x14ac:dyDescent="0.3">
      <c r="A564" t="s">
        <v>690</v>
      </c>
      <c r="B564">
        <v>24</v>
      </c>
      <c r="J564" t="b">
        <v>0</v>
      </c>
    </row>
    <row r="565" spans="1:10" x14ac:dyDescent="0.3">
      <c r="A565" t="s">
        <v>691</v>
      </c>
      <c r="B565">
        <v>24</v>
      </c>
      <c r="J565" t="b">
        <v>0</v>
      </c>
    </row>
    <row r="566" spans="1:10" x14ac:dyDescent="0.3">
      <c r="A566" t="s">
        <v>677</v>
      </c>
      <c r="B566">
        <v>25</v>
      </c>
      <c r="C566">
        <v>48</v>
      </c>
      <c r="E566">
        <v>18</v>
      </c>
      <c r="F566">
        <v>11</v>
      </c>
    </row>
    <row r="567" spans="1:10" x14ac:dyDescent="0.3">
      <c r="A567" t="s">
        <v>36</v>
      </c>
      <c r="B567">
        <v>25</v>
      </c>
      <c r="C567">
        <v>1</v>
      </c>
      <c r="E567">
        <v>3</v>
      </c>
      <c r="F567">
        <v>4</v>
      </c>
    </row>
    <row r="568" spans="1:10" x14ac:dyDescent="0.3">
      <c r="A568" t="s">
        <v>503</v>
      </c>
      <c r="B568">
        <v>25</v>
      </c>
      <c r="C568" t="s">
        <v>753</v>
      </c>
      <c r="E568" t="s">
        <v>741</v>
      </c>
      <c r="F568" t="s">
        <v>741</v>
      </c>
    </row>
    <row r="569" spans="1:10" x14ac:dyDescent="0.3">
      <c r="A569" t="s">
        <v>678</v>
      </c>
      <c r="B569">
        <v>25</v>
      </c>
      <c r="C569">
        <v>656</v>
      </c>
      <c r="E569">
        <v>3145</v>
      </c>
      <c r="F569">
        <v>1028</v>
      </c>
    </row>
    <row r="570" spans="1:10" x14ac:dyDescent="0.3">
      <c r="A570" t="s">
        <v>42</v>
      </c>
      <c r="B570">
        <v>25</v>
      </c>
      <c r="C570">
        <v>30</v>
      </c>
      <c r="E570">
        <v>45</v>
      </c>
      <c r="F570">
        <v>45</v>
      </c>
    </row>
    <row r="571" spans="1:10" x14ac:dyDescent="0.3">
      <c r="A571" t="s">
        <v>679</v>
      </c>
      <c r="B571">
        <v>25</v>
      </c>
      <c r="C571">
        <v>14.9</v>
      </c>
      <c r="E571">
        <v>47.7</v>
      </c>
      <c r="F571">
        <v>15.6</v>
      </c>
    </row>
    <row r="572" spans="1:10" x14ac:dyDescent="0.3">
      <c r="A572" t="s">
        <v>41</v>
      </c>
      <c r="B572">
        <v>25</v>
      </c>
      <c r="C572">
        <v>0</v>
      </c>
      <c r="E572">
        <v>0</v>
      </c>
      <c r="F572">
        <v>0</v>
      </c>
    </row>
    <row r="573" spans="1:10" x14ac:dyDescent="0.3">
      <c r="A573" t="s">
        <v>680</v>
      </c>
      <c r="B573">
        <v>25</v>
      </c>
      <c r="C573">
        <v>12</v>
      </c>
      <c r="E573">
        <v>12</v>
      </c>
      <c r="F573">
        <v>12</v>
      </c>
    </row>
    <row r="574" spans="1:10" x14ac:dyDescent="0.3">
      <c r="A574" t="s">
        <v>563</v>
      </c>
      <c r="B574">
        <v>25</v>
      </c>
      <c r="C574">
        <v>0</v>
      </c>
      <c r="E574">
        <v>0</v>
      </c>
      <c r="F574">
        <v>0</v>
      </c>
    </row>
    <row r="575" spans="1:10" x14ac:dyDescent="0.3">
      <c r="A575" t="s">
        <v>681</v>
      </c>
      <c r="B575">
        <v>25</v>
      </c>
      <c r="C575">
        <v>0</v>
      </c>
      <c r="E575">
        <v>0</v>
      </c>
      <c r="F575">
        <v>0</v>
      </c>
    </row>
    <row r="576" spans="1:10" x14ac:dyDescent="0.3">
      <c r="A576" t="s">
        <v>682</v>
      </c>
      <c r="B576">
        <v>25</v>
      </c>
      <c r="C576">
        <v>16</v>
      </c>
      <c r="E576">
        <v>16</v>
      </c>
      <c r="F576">
        <v>16</v>
      </c>
    </row>
    <row r="577" spans="1:9" x14ac:dyDescent="0.3">
      <c r="A577" t="s">
        <v>683</v>
      </c>
      <c r="B577">
        <v>25</v>
      </c>
      <c r="C577">
        <v>583</v>
      </c>
      <c r="E577">
        <v>583</v>
      </c>
      <c r="F577">
        <v>583</v>
      </c>
    </row>
    <row r="578" spans="1:9" x14ac:dyDescent="0.3">
      <c r="A578" t="s">
        <v>684</v>
      </c>
      <c r="B578">
        <v>25</v>
      </c>
      <c r="C578">
        <v>1320</v>
      </c>
      <c r="E578">
        <v>1980</v>
      </c>
      <c r="F578">
        <v>1980</v>
      </c>
    </row>
    <row r="579" spans="1:9" x14ac:dyDescent="0.3">
      <c r="A579" t="s">
        <v>685</v>
      </c>
      <c r="B579">
        <v>25</v>
      </c>
      <c r="C579">
        <v>880</v>
      </c>
      <c r="E579">
        <v>1320</v>
      </c>
      <c r="F579">
        <v>1320</v>
      </c>
    </row>
    <row r="580" spans="1:9" x14ac:dyDescent="0.3">
      <c r="A580" t="s">
        <v>686</v>
      </c>
      <c r="B580">
        <v>25</v>
      </c>
      <c r="C580">
        <v>1760</v>
      </c>
      <c r="E580">
        <v>2640</v>
      </c>
      <c r="F580">
        <v>2640</v>
      </c>
    </row>
    <row r="581" spans="1:9" x14ac:dyDescent="0.3">
      <c r="A581" t="s">
        <v>687</v>
      </c>
      <c r="B581">
        <v>25</v>
      </c>
    </row>
    <row r="582" spans="1:9" x14ac:dyDescent="0.3">
      <c r="A582" t="s">
        <v>688</v>
      </c>
      <c r="B582">
        <v>25</v>
      </c>
    </row>
    <row r="583" spans="1:9" x14ac:dyDescent="0.3">
      <c r="A583" t="s">
        <v>689</v>
      </c>
      <c r="B583">
        <v>25</v>
      </c>
    </row>
    <row r="584" spans="1:9" x14ac:dyDescent="0.3">
      <c r="A584" t="s">
        <v>690</v>
      </c>
      <c r="B584">
        <v>25</v>
      </c>
      <c r="C584" t="b">
        <v>0</v>
      </c>
      <c r="E584" t="b">
        <v>0</v>
      </c>
      <c r="F584" t="b">
        <v>0</v>
      </c>
    </row>
    <row r="585" spans="1:9" x14ac:dyDescent="0.3">
      <c r="A585" t="s">
        <v>691</v>
      </c>
      <c r="B585">
        <v>25</v>
      </c>
      <c r="C585" t="b">
        <v>0</v>
      </c>
      <c r="E585" t="b">
        <v>0</v>
      </c>
      <c r="F585" t="b">
        <v>0</v>
      </c>
    </row>
    <row r="586" spans="1:9" x14ac:dyDescent="0.3">
      <c r="A586" t="s">
        <v>677</v>
      </c>
      <c r="B586">
        <v>26</v>
      </c>
      <c r="G586">
        <v>29</v>
      </c>
      <c r="H586">
        <v>28</v>
      </c>
      <c r="I586">
        <v>27</v>
      </c>
    </row>
    <row r="587" spans="1:9" x14ac:dyDescent="0.3">
      <c r="A587" t="s">
        <v>36</v>
      </c>
      <c r="B587">
        <v>26</v>
      </c>
      <c r="G587">
        <v>2</v>
      </c>
      <c r="H587">
        <v>5</v>
      </c>
      <c r="I587">
        <v>4</v>
      </c>
    </row>
    <row r="588" spans="1:9" x14ac:dyDescent="0.3">
      <c r="A588" t="s">
        <v>503</v>
      </c>
      <c r="B588">
        <v>26</v>
      </c>
      <c r="G588" t="s">
        <v>754</v>
      </c>
      <c r="H588" t="s">
        <v>741</v>
      </c>
      <c r="I588" t="s">
        <v>741</v>
      </c>
    </row>
    <row r="589" spans="1:9" x14ac:dyDescent="0.3">
      <c r="A589" t="s">
        <v>678</v>
      </c>
      <c r="B589">
        <v>26</v>
      </c>
      <c r="G589">
        <v>298</v>
      </c>
      <c r="H589">
        <v>3236</v>
      </c>
      <c r="I589">
        <v>1261</v>
      </c>
    </row>
    <row r="590" spans="1:9" x14ac:dyDescent="0.3">
      <c r="A590" t="s">
        <v>42</v>
      </c>
      <c r="B590">
        <v>26</v>
      </c>
      <c r="G590">
        <v>25</v>
      </c>
      <c r="H590">
        <v>45</v>
      </c>
      <c r="I590">
        <v>45</v>
      </c>
    </row>
    <row r="591" spans="1:9" x14ac:dyDescent="0.3">
      <c r="A591" t="s">
        <v>679</v>
      </c>
      <c r="B591">
        <v>26</v>
      </c>
      <c r="G591">
        <v>8.1</v>
      </c>
      <c r="H591">
        <v>49</v>
      </c>
      <c r="I591">
        <v>19.100000000000001</v>
      </c>
    </row>
    <row r="592" spans="1:9" x14ac:dyDescent="0.3">
      <c r="A592" t="s">
        <v>41</v>
      </c>
      <c r="B592">
        <v>26</v>
      </c>
      <c r="G592">
        <v>0</v>
      </c>
      <c r="H592">
        <v>0</v>
      </c>
      <c r="I592">
        <v>0</v>
      </c>
    </row>
    <row r="593" spans="1:9" x14ac:dyDescent="0.3">
      <c r="A593" t="s">
        <v>680</v>
      </c>
      <c r="B593">
        <v>26</v>
      </c>
      <c r="G593">
        <v>12</v>
      </c>
      <c r="H593">
        <v>24</v>
      </c>
      <c r="I593">
        <v>24</v>
      </c>
    </row>
    <row r="594" spans="1:9" x14ac:dyDescent="0.3">
      <c r="A594" t="s">
        <v>563</v>
      </c>
      <c r="B594">
        <v>26</v>
      </c>
      <c r="G594">
        <v>0</v>
      </c>
      <c r="H594">
        <v>0</v>
      </c>
      <c r="I594">
        <v>0</v>
      </c>
    </row>
    <row r="595" spans="1:9" x14ac:dyDescent="0.3">
      <c r="A595" t="s">
        <v>681</v>
      </c>
      <c r="B595">
        <v>26</v>
      </c>
      <c r="G595">
        <v>0</v>
      </c>
      <c r="H595">
        <v>0</v>
      </c>
      <c r="I595">
        <v>0</v>
      </c>
    </row>
    <row r="596" spans="1:9" x14ac:dyDescent="0.3">
      <c r="A596" t="s">
        <v>682</v>
      </c>
      <c r="B596">
        <v>26</v>
      </c>
      <c r="G596">
        <v>16</v>
      </c>
      <c r="H596">
        <v>16</v>
      </c>
      <c r="I596">
        <v>16</v>
      </c>
    </row>
    <row r="597" spans="1:9" x14ac:dyDescent="0.3">
      <c r="A597" t="s">
        <v>683</v>
      </c>
      <c r="B597">
        <v>26</v>
      </c>
      <c r="G597">
        <v>583</v>
      </c>
      <c r="H597">
        <v>583</v>
      </c>
      <c r="I597">
        <v>583</v>
      </c>
    </row>
    <row r="598" spans="1:9" x14ac:dyDescent="0.3">
      <c r="A598" t="s">
        <v>684</v>
      </c>
      <c r="B598">
        <v>26</v>
      </c>
      <c r="G598">
        <v>1101</v>
      </c>
      <c r="H598">
        <v>1980</v>
      </c>
      <c r="I598">
        <v>1980</v>
      </c>
    </row>
    <row r="599" spans="1:9" x14ac:dyDescent="0.3">
      <c r="A599" t="s">
        <v>685</v>
      </c>
      <c r="B599">
        <v>26</v>
      </c>
      <c r="G599">
        <v>734</v>
      </c>
      <c r="H599">
        <v>1320</v>
      </c>
      <c r="I599">
        <v>1320</v>
      </c>
    </row>
    <row r="600" spans="1:9" x14ac:dyDescent="0.3">
      <c r="A600" t="s">
        <v>686</v>
      </c>
      <c r="B600">
        <v>26</v>
      </c>
      <c r="G600">
        <v>1468</v>
      </c>
      <c r="H600">
        <v>2640</v>
      </c>
      <c r="I600">
        <v>2640</v>
      </c>
    </row>
    <row r="601" spans="1:9" x14ac:dyDescent="0.3">
      <c r="A601" t="s">
        <v>687</v>
      </c>
      <c r="B601">
        <v>26</v>
      </c>
    </row>
    <row r="602" spans="1:9" x14ac:dyDescent="0.3">
      <c r="A602" t="s">
        <v>688</v>
      </c>
      <c r="B602">
        <v>26</v>
      </c>
    </row>
    <row r="603" spans="1:9" x14ac:dyDescent="0.3">
      <c r="A603" t="s">
        <v>689</v>
      </c>
      <c r="B603">
        <v>26</v>
      </c>
    </row>
    <row r="604" spans="1:9" x14ac:dyDescent="0.3">
      <c r="A604" t="s">
        <v>690</v>
      </c>
      <c r="B604">
        <v>26</v>
      </c>
      <c r="G604" t="b">
        <v>0</v>
      </c>
      <c r="H604" t="b">
        <v>0</v>
      </c>
      <c r="I604" t="b">
        <v>0</v>
      </c>
    </row>
    <row r="605" spans="1:9" x14ac:dyDescent="0.3">
      <c r="A605" t="s">
        <v>691</v>
      </c>
      <c r="B605">
        <v>26</v>
      </c>
      <c r="G605" t="b">
        <v>0</v>
      </c>
      <c r="H605" t="b">
        <v>0</v>
      </c>
      <c r="I605" t="b">
        <v>0</v>
      </c>
    </row>
    <row r="606" spans="1:9" x14ac:dyDescent="0.3">
      <c r="A606" t="s">
        <v>677</v>
      </c>
      <c r="B606">
        <v>27</v>
      </c>
      <c r="G606">
        <v>30</v>
      </c>
      <c r="H606">
        <v>26</v>
      </c>
      <c r="I606">
        <v>31</v>
      </c>
    </row>
    <row r="607" spans="1:9" x14ac:dyDescent="0.3">
      <c r="A607" t="s">
        <v>36</v>
      </c>
      <c r="B607">
        <v>27</v>
      </c>
      <c r="G607">
        <v>3</v>
      </c>
      <c r="H607">
        <v>5</v>
      </c>
      <c r="I607">
        <v>4</v>
      </c>
    </row>
    <row r="608" spans="1:9" x14ac:dyDescent="0.3">
      <c r="A608" t="s">
        <v>503</v>
      </c>
      <c r="B608">
        <v>27</v>
      </c>
      <c r="G608" t="s">
        <v>755</v>
      </c>
      <c r="H608" t="s">
        <v>741</v>
      </c>
      <c r="I608" t="s">
        <v>741</v>
      </c>
    </row>
    <row r="609" spans="1:9" x14ac:dyDescent="0.3">
      <c r="A609" t="s">
        <v>678</v>
      </c>
      <c r="B609">
        <v>27</v>
      </c>
      <c r="G609">
        <v>262</v>
      </c>
      <c r="H609">
        <v>1261</v>
      </c>
      <c r="I609">
        <v>2453</v>
      </c>
    </row>
    <row r="610" spans="1:9" x14ac:dyDescent="0.3">
      <c r="A610" t="s">
        <v>42</v>
      </c>
      <c r="B610">
        <v>27</v>
      </c>
      <c r="G610">
        <v>30</v>
      </c>
      <c r="H610">
        <v>45</v>
      </c>
      <c r="I610">
        <v>45</v>
      </c>
    </row>
    <row r="611" spans="1:9" x14ac:dyDescent="0.3">
      <c r="A611" t="s">
        <v>679</v>
      </c>
      <c r="B611">
        <v>27</v>
      </c>
      <c r="G611">
        <v>6</v>
      </c>
      <c r="H611">
        <v>19.100000000000001</v>
      </c>
      <c r="I611">
        <v>37.200000000000003</v>
      </c>
    </row>
    <row r="612" spans="1:9" x14ac:dyDescent="0.3">
      <c r="A612" t="s">
        <v>41</v>
      </c>
      <c r="B612">
        <v>27</v>
      </c>
      <c r="G612">
        <v>0</v>
      </c>
      <c r="H612">
        <v>0</v>
      </c>
      <c r="I612">
        <v>0</v>
      </c>
    </row>
    <row r="613" spans="1:9" x14ac:dyDescent="0.3">
      <c r="A613" t="s">
        <v>680</v>
      </c>
      <c r="B613">
        <v>27</v>
      </c>
      <c r="G613">
        <v>24</v>
      </c>
      <c r="H613">
        <v>24</v>
      </c>
      <c r="I613">
        <v>24</v>
      </c>
    </row>
    <row r="614" spans="1:9" x14ac:dyDescent="0.3">
      <c r="A614" t="s">
        <v>563</v>
      </c>
      <c r="B614">
        <v>27</v>
      </c>
      <c r="G614">
        <v>0</v>
      </c>
      <c r="H614">
        <v>0</v>
      </c>
      <c r="I614">
        <v>0</v>
      </c>
    </row>
    <row r="615" spans="1:9" x14ac:dyDescent="0.3">
      <c r="A615" t="s">
        <v>681</v>
      </c>
      <c r="B615">
        <v>27</v>
      </c>
      <c r="G615">
        <v>0</v>
      </c>
      <c r="H615">
        <v>0</v>
      </c>
      <c r="I615">
        <v>0</v>
      </c>
    </row>
    <row r="616" spans="1:9" x14ac:dyDescent="0.3">
      <c r="A616" t="s">
        <v>682</v>
      </c>
      <c r="B616">
        <v>27</v>
      </c>
      <c r="G616">
        <v>16</v>
      </c>
      <c r="H616">
        <v>16</v>
      </c>
      <c r="I616">
        <v>16</v>
      </c>
    </row>
    <row r="617" spans="1:9" x14ac:dyDescent="0.3">
      <c r="A617" t="s">
        <v>683</v>
      </c>
      <c r="B617">
        <v>27</v>
      </c>
      <c r="G617">
        <v>583</v>
      </c>
      <c r="H617">
        <v>583</v>
      </c>
      <c r="I617">
        <v>583</v>
      </c>
    </row>
    <row r="618" spans="1:9" x14ac:dyDescent="0.3">
      <c r="A618" t="s">
        <v>684</v>
      </c>
      <c r="B618">
        <v>27</v>
      </c>
      <c r="G618">
        <v>1320</v>
      </c>
      <c r="H618">
        <v>1980</v>
      </c>
      <c r="I618">
        <v>1980</v>
      </c>
    </row>
    <row r="619" spans="1:9" x14ac:dyDescent="0.3">
      <c r="A619" t="s">
        <v>685</v>
      </c>
      <c r="B619">
        <v>27</v>
      </c>
      <c r="G619">
        <v>880</v>
      </c>
      <c r="H619">
        <v>1320</v>
      </c>
      <c r="I619">
        <v>1320</v>
      </c>
    </row>
    <row r="620" spans="1:9" x14ac:dyDescent="0.3">
      <c r="A620" t="s">
        <v>686</v>
      </c>
      <c r="B620">
        <v>27</v>
      </c>
      <c r="G620">
        <v>1760</v>
      </c>
      <c r="H620">
        <v>2640</v>
      </c>
      <c r="I620">
        <v>2640</v>
      </c>
    </row>
    <row r="621" spans="1:9" x14ac:dyDescent="0.3">
      <c r="A621" t="s">
        <v>687</v>
      </c>
      <c r="B621">
        <v>27</v>
      </c>
    </row>
    <row r="622" spans="1:9" x14ac:dyDescent="0.3">
      <c r="A622" t="s">
        <v>688</v>
      </c>
      <c r="B622">
        <v>27</v>
      </c>
    </row>
    <row r="623" spans="1:9" x14ac:dyDescent="0.3">
      <c r="A623" t="s">
        <v>689</v>
      </c>
      <c r="B623">
        <v>27</v>
      </c>
    </row>
    <row r="624" spans="1:9" x14ac:dyDescent="0.3">
      <c r="A624" t="s">
        <v>690</v>
      </c>
      <c r="B624">
        <v>27</v>
      </c>
      <c r="G624" t="b">
        <v>0</v>
      </c>
      <c r="H624" t="b">
        <v>0</v>
      </c>
      <c r="I624" t="b">
        <v>0</v>
      </c>
    </row>
    <row r="625" spans="1:9" x14ac:dyDescent="0.3">
      <c r="A625" t="s">
        <v>691</v>
      </c>
      <c r="B625">
        <v>27</v>
      </c>
      <c r="G625" t="b">
        <v>0</v>
      </c>
      <c r="H625" t="b">
        <v>0</v>
      </c>
      <c r="I625" t="b">
        <v>0</v>
      </c>
    </row>
    <row r="626" spans="1:9" x14ac:dyDescent="0.3">
      <c r="A626" t="s">
        <v>677</v>
      </c>
      <c r="B626">
        <v>28</v>
      </c>
      <c r="G626">
        <v>24</v>
      </c>
      <c r="H626">
        <v>46</v>
      </c>
      <c r="I626">
        <v>26</v>
      </c>
    </row>
    <row r="627" spans="1:9" x14ac:dyDescent="0.3">
      <c r="A627" t="s">
        <v>36</v>
      </c>
      <c r="B627">
        <v>28</v>
      </c>
      <c r="G627">
        <v>2</v>
      </c>
      <c r="H627">
        <v>4</v>
      </c>
      <c r="I627">
        <v>4</v>
      </c>
    </row>
    <row r="628" spans="1:9" x14ac:dyDescent="0.3">
      <c r="A628" t="s">
        <v>503</v>
      </c>
      <c r="B628">
        <v>28</v>
      </c>
      <c r="G628" t="s">
        <v>752</v>
      </c>
      <c r="H628" t="s">
        <v>741</v>
      </c>
      <c r="I628" t="s">
        <v>741</v>
      </c>
    </row>
    <row r="629" spans="1:9" x14ac:dyDescent="0.3">
      <c r="A629" t="s">
        <v>678</v>
      </c>
      <c r="B629">
        <v>28</v>
      </c>
      <c r="G629">
        <v>274</v>
      </c>
      <c r="H629">
        <v>1161</v>
      </c>
      <c r="I629">
        <v>3236</v>
      </c>
    </row>
    <row r="630" spans="1:9" x14ac:dyDescent="0.3">
      <c r="A630" t="s">
        <v>42</v>
      </c>
      <c r="B630">
        <v>28</v>
      </c>
      <c r="G630">
        <v>25</v>
      </c>
      <c r="H630">
        <v>45</v>
      </c>
      <c r="I630">
        <v>45</v>
      </c>
    </row>
    <row r="631" spans="1:9" x14ac:dyDescent="0.3">
      <c r="A631" t="s">
        <v>679</v>
      </c>
      <c r="B631">
        <v>28</v>
      </c>
      <c r="G631">
        <v>7.5</v>
      </c>
      <c r="H631">
        <v>17.600000000000001</v>
      </c>
      <c r="I631">
        <v>49</v>
      </c>
    </row>
    <row r="632" spans="1:9" x14ac:dyDescent="0.3">
      <c r="A632" t="s">
        <v>41</v>
      </c>
      <c r="B632">
        <v>28</v>
      </c>
      <c r="G632">
        <v>0</v>
      </c>
      <c r="H632">
        <v>0</v>
      </c>
      <c r="I632">
        <v>0</v>
      </c>
    </row>
    <row r="633" spans="1:9" x14ac:dyDescent="0.3">
      <c r="A633" t="s">
        <v>680</v>
      </c>
      <c r="B633">
        <v>28</v>
      </c>
      <c r="G633">
        <v>12</v>
      </c>
      <c r="H633">
        <v>24</v>
      </c>
      <c r="I633">
        <v>24</v>
      </c>
    </row>
    <row r="634" spans="1:9" x14ac:dyDescent="0.3">
      <c r="A634" t="s">
        <v>563</v>
      </c>
      <c r="B634">
        <v>28</v>
      </c>
      <c r="G634">
        <v>0</v>
      </c>
      <c r="H634">
        <v>0</v>
      </c>
      <c r="I634">
        <v>0</v>
      </c>
    </row>
    <row r="635" spans="1:9" x14ac:dyDescent="0.3">
      <c r="A635" t="s">
        <v>681</v>
      </c>
      <c r="B635">
        <v>28</v>
      </c>
      <c r="G635">
        <v>0</v>
      </c>
      <c r="H635">
        <v>0</v>
      </c>
      <c r="I635">
        <v>0</v>
      </c>
    </row>
    <row r="636" spans="1:9" x14ac:dyDescent="0.3">
      <c r="A636" t="s">
        <v>682</v>
      </c>
      <c r="B636">
        <v>28</v>
      </c>
      <c r="G636">
        <v>16</v>
      </c>
      <c r="H636">
        <v>16</v>
      </c>
      <c r="I636">
        <v>16</v>
      </c>
    </row>
    <row r="637" spans="1:9" x14ac:dyDescent="0.3">
      <c r="A637" t="s">
        <v>683</v>
      </c>
      <c r="B637">
        <v>28</v>
      </c>
      <c r="G637">
        <v>583</v>
      </c>
      <c r="H637">
        <v>583</v>
      </c>
      <c r="I637">
        <v>583</v>
      </c>
    </row>
    <row r="638" spans="1:9" x14ac:dyDescent="0.3">
      <c r="A638" t="s">
        <v>684</v>
      </c>
      <c r="B638">
        <v>28</v>
      </c>
      <c r="G638">
        <v>1101</v>
      </c>
      <c r="H638">
        <v>1980</v>
      </c>
      <c r="I638">
        <v>1980</v>
      </c>
    </row>
    <row r="639" spans="1:9" x14ac:dyDescent="0.3">
      <c r="A639" t="s">
        <v>685</v>
      </c>
      <c r="B639">
        <v>28</v>
      </c>
      <c r="G639">
        <v>734</v>
      </c>
      <c r="H639">
        <v>1320</v>
      </c>
      <c r="I639">
        <v>1320</v>
      </c>
    </row>
    <row r="640" spans="1:9" x14ac:dyDescent="0.3">
      <c r="A640" t="s">
        <v>686</v>
      </c>
      <c r="B640">
        <v>28</v>
      </c>
      <c r="G640">
        <v>1468</v>
      </c>
      <c r="H640">
        <v>2640</v>
      </c>
      <c r="I640">
        <v>2640</v>
      </c>
    </row>
    <row r="641" spans="1:10" x14ac:dyDescent="0.3">
      <c r="A641" t="s">
        <v>687</v>
      </c>
      <c r="B641">
        <v>28</v>
      </c>
    </row>
    <row r="642" spans="1:10" x14ac:dyDescent="0.3">
      <c r="A642" t="s">
        <v>688</v>
      </c>
      <c r="B642">
        <v>28</v>
      </c>
    </row>
    <row r="643" spans="1:10" x14ac:dyDescent="0.3">
      <c r="A643" t="s">
        <v>689</v>
      </c>
      <c r="B643">
        <v>28</v>
      </c>
    </row>
    <row r="644" spans="1:10" x14ac:dyDescent="0.3">
      <c r="A644" t="s">
        <v>690</v>
      </c>
      <c r="B644">
        <v>28</v>
      </c>
      <c r="G644" t="b">
        <v>0</v>
      </c>
      <c r="H644" t="b">
        <v>0</v>
      </c>
      <c r="I644" t="b">
        <v>0</v>
      </c>
    </row>
    <row r="645" spans="1:10" x14ac:dyDescent="0.3">
      <c r="A645" t="s">
        <v>691</v>
      </c>
      <c r="B645">
        <v>28</v>
      </c>
      <c r="G645" t="b">
        <v>0</v>
      </c>
      <c r="H645" t="b">
        <v>0</v>
      </c>
      <c r="I645" t="b">
        <v>0</v>
      </c>
    </row>
    <row r="646" spans="1:10" x14ac:dyDescent="0.3">
      <c r="A646" t="s">
        <v>677</v>
      </c>
      <c r="B646">
        <v>29</v>
      </c>
      <c r="J646">
        <v>26</v>
      </c>
    </row>
    <row r="647" spans="1:10" x14ac:dyDescent="0.3">
      <c r="A647" t="s">
        <v>36</v>
      </c>
      <c r="B647">
        <v>29</v>
      </c>
      <c r="J647">
        <v>2</v>
      </c>
    </row>
    <row r="648" spans="1:10" x14ac:dyDescent="0.3">
      <c r="A648" t="s">
        <v>503</v>
      </c>
      <c r="B648">
        <v>29</v>
      </c>
      <c r="J648" t="s">
        <v>754</v>
      </c>
    </row>
    <row r="649" spans="1:10" x14ac:dyDescent="0.3">
      <c r="A649" t="s">
        <v>678</v>
      </c>
      <c r="B649">
        <v>29</v>
      </c>
      <c r="J649">
        <v>298</v>
      </c>
    </row>
    <row r="650" spans="1:10" x14ac:dyDescent="0.3">
      <c r="A650" t="s">
        <v>42</v>
      </c>
      <c r="B650">
        <v>29</v>
      </c>
      <c r="J650">
        <v>30</v>
      </c>
    </row>
    <row r="651" spans="1:10" x14ac:dyDescent="0.3">
      <c r="A651" t="s">
        <v>679</v>
      </c>
      <c r="B651">
        <v>29</v>
      </c>
      <c r="J651">
        <v>6.8</v>
      </c>
    </row>
    <row r="652" spans="1:10" x14ac:dyDescent="0.3">
      <c r="A652" t="s">
        <v>41</v>
      </c>
      <c r="B652">
        <v>29</v>
      </c>
      <c r="J652">
        <v>0</v>
      </c>
    </row>
    <row r="653" spans="1:10" x14ac:dyDescent="0.3">
      <c r="A653" t="s">
        <v>680</v>
      </c>
      <c r="B653">
        <v>29</v>
      </c>
      <c r="J653">
        <v>0</v>
      </c>
    </row>
    <row r="654" spans="1:10" x14ac:dyDescent="0.3">
      <c r="A654" t="s">
        <v>563</v>
      </c>
      <c r="B654">
        <v>29</v>
      </c>
      <c r="J654">
        <v>0</v>
      </c>
    </row>
    <row r="655" spans="1:10" x14ac:dyDescent="0.3">
      <c r="A655" t="s">
        <v>681</v>
      </c>
      <c r="B655">
        <v>29</v>
      </c>
      <c r="J655">
        <v>0</v>
      </c>
    </row>
    <row r="656" spans="1:10" x14ac:dyDescent="0.3">
      <c r="A656" t="s">
        <v>682</v>
      </c>
      <c r="B656">
        <v>29</v>
      </c>
      <c r="J656">
        <v>16</v>
      </c>
    </row>
    <row r="657" spans="1:10" x14ac:dyDescent="0.3">
      <c r="A657" t="s">
        <v>683</v>
      </c>
      <c r="B657">
        <v>29</v>
      </c>
      <c r="J657">
        <v>200</v>
      </c>
    </row>
    <row r="658" spans="1:10" x14ac:dyDescent="0.3">
      <c r="A658" t="s">
        <v>684</v>
      </c>
      <c r="B658">
        <v>29</v>
      </c>
      <c r="J658">
        <v>1320</v>
      </c>
    </row>
    <row r="659" spans="1:10" x14ac:dyDescent="0.3">
      <c r="A659" t="s">
        <v>685</v>
      </c>
      <c r="B659">
        <v>29</v>
      </c>
      <c r="J659">
        <v>880</v>
      </c>
    </row>
    <row r="660" spans="1:10" x14ac:dyDescent="0.3">
      <c r="A660" t="s">
        <v>686</v>
      </c>
      <c r="B660">
        <v>29</v>
      </c>
      <c r="J660">
        <v>1760</v>
      </c>
    </row>
    <row r="661" spans="1:10" x14ac:dyDescent="0.3">
      <c r="A661" t="s">
        <v>687</v>
      </c>
      <c r="B661">
        <v>29</v>
      </c>
    </row>
    <row r="662" spans="1:10" x14ac:dyDescent="0.3">
      <c r="A662" t="s">
        <v>688</v>
      </c>
      <c r="B662">
        <v>29</v>
      </c>
    </row>
    <row r="663" spans="1:10" x14ac:dyDescent="0.3">
      <c r="A663" t="s">
        <v>689</v>
      </c>
      <c r="B663">
        <v>29</v>
      </c>
    </row>
    <row r="664" spans="1:10" x14ac:dyDescent="0.3">
      <c r="A664" t="s">
        <v>690</v>
      </c>
      <c r="B664">
        <v>29</v>
      </c>
      <c r="J664" t="b">
        <v>0</v>
      </c>
    </row>
    <row r="665" spans="1:10" x14ac:dyDescent="0.3">
      <c r="A665" t="s">
        <v>691</v>
      </c>
      <c r="B665">
        <v>29</v>
      </c>
      <c r="J665" t="b">
        <v>0</v>
      </c>
    </row>
    <row r="666" spans="1:10" x14ac:dyDescent="0.3">
      <c r="A666" t="s">
        <v>677</v>
      </c>
      <c r="B666">
        <v>30</v>
      </c>
      <c r="J666">
        <v>27</v>
      </c>
    </row>
    <row r="667" spans="1:10" x14ac:dyDescent="0.3">
      <c r="A667" t="s">
        <v>36</v>
      </c>
      <c r="B667">
        <v>30</v>
      </c>
      <c r="J667">
        <v>2</v>
      </c>
    </row>
    <row r="668" spans="1:10" x14ac:dyDescent="0.3">
      <c r="A668" t="s">
        <v>503</v>
      </c>
      <c r="B668">
        <v>30</v>
      </c>
      <c r="J668" t="s">
        <v>755</v>
      </c>
    </row>
    <row r="669" spans="1:10" x14ac:dyDescent="0.3">
      <c r="A669" t="s">
        <v>678</v>
      </c>
      <c r="B669">
        <v>30</v>
      </c>
      <c r="J669">
        <v>262</v>
      </c>
    </row>
    <row r="670" spans="1:10" x14ac:dyDescent="0.3">
      <c r="A670" t="s">
        <v>42</v>
      </c>
      <c r="B670">
        <v>30</v>
      </c>
      <c r="J670">
        <v>30</v>
      </c>
    </row>
    <row r="671" spans="1:10" x14ac:dyDescent="0.3">
      <c r="A671" t="s">
        <v>679</v>
      </c>
      <c r="B671">
        <v>30</v>
      </c>
      <c r="J671">
        <v>6</v>
      </c>
    </row>
    <row r="672" spans="1:10" x14ac:dyDescent="0.3">
      <c r="A672" t="s">
        <v>41</v>
      </c>
      <c r="B672">
        <v>30</v>
      </c>
      <c r="J672">
        <v>0</v>
      </c>
    </row>
    <row r="673" spans="1:10" x14ac:dyDescent="0.3">
      <c r="A673" t="s">
        <v>680</v>
      </c>
      <c r="B673">
        <v>30</v>
      </c>
      <c r="J673">
        <v>0</v>
      </c>
    </row>
    <row r="674" spans="1:10" x14ac:dyDescent="0.3">
      <c r="A674" t="s">
        <v>563</v>
      </c>
      <c r="B674">
        <v>30</v>
      </c>
      <c r="J674">
        <v>0</v>
      </c>
    </row>
    <row r="675" spans="1:10" x14ac:dyDescent="0.3">
      <c r="A675" t="s">
        <v>681</v>
      </c>
      <c r="B675">
        <v>30</v>
      </c>
      <c r="J675">
        <v>0</v>
      </c>
    </row>
    <row r="676" spans="1:10" x14ac:dyDescent="0.3">
      <c r="A676" t="s">
        <v>682</v>
      </c>
      <c r="B676">
        <v>30</v>
      </c>
      <c r="J676">
        <v>16</v>
      </c>
    </row>
    <row r="677" spans="1:10" x14ac:dyDescent="0.3">
      <c r="A677" t="s">
        <v>683</v>
      </c>
      <c r="B677">
        <v>30</v>
      </c>
      <c r="J677">
        <v>200</v>
      </c>
    </row>
    <row r="678" spans="1:10" x14ac:dyDescent="0.3">
      <c r="A678" t="s">
        <v>684</v>
      </c>
      <c r="B678">
        <v>30</v>
      </c>
      <c r="J678">
        <v>1320</v>
      </c>
    </row>
    <row r="679" spans="1:10" x14ac:dyDescent="0.3">
      <c r="A679" t="s">
        <v>685</v>
      </c>
      <c r="B679">
        <v>30</v>
      </c>
      <c r="J679">
        <v>880</v>
      </c>
    </row>
    <row r="680" spans="1:10" x14ac:dyDescent="0.3">
      <c r="A680" t="s">
        <v>686</v>
      </c>
      <c r="B680">
        <v>30</v>
      </c>
      <c r="J680">
        <v>1760</v>
      </c>
    </row>
    <row r="681" spans="1:10" x14ac:dyDescent="0.3">
      <c r="A681" t="s">
        <v>687</v>
      </c>
      <c r="B681">
        <v>30</v>
      </c>
    </row>
    <row r="682" spans="1:10" x14ac:dyDescent="0.3">
      <c r="A682" t="s">
        <v>688</v>
      </c>
      <c r="B682">
        <v>30</v>
      </c>
    </row>
    <row r="683" spans="1:10" x14ac:dyDescent="0.3">
      <c r="A683" t="s">
        <v>689</v>
      </c>
      <c r="B683">
        <v>30</v>
      </c>
    </row>
    <row r="684" spans="1:10" x14ac:dyDescent="0.3">
      <c r="A684" t="s">
        <v>690</v>
      </c>
      <c r="B684">
        <v>30</v>
      </c>
      <c r="J684" t="b">
        <v>0</v>
      </c>
    </row>
    <row r="685" spans="1:10" x14ac:dyDescent="0.3">
      <c r="A685" t="s">
        <v>691</v>
      </c>
      <c r="B685">
        <v>30</v>
      </c>
      <c r="J685" t="b">
        <v>0</v>
      </c>
    </row>
    <row r="686" spans="1:10" x14ac:dyDescent="0.3">
      <c r="A686" t="s">
        <v>677</v>
      </c>
      <c r="B686">
        <v>31</v>
      </c>
      <c r="G686">
        <v>32</v>
      </c>
      <c r="H686">
        <v>27</v>
      </c>
      <c r="I686">
        <v>33</v>
      </c>
    </row>
    <row r="687" spans="1:10" x14ac:dyDescent="0.3">
      <c r="A687" t="s">
        <v>36</v>
      </c>
      <c r="B687">
        <v>31</v>
      </c>
      <c r="G687">
        <v>3</v>
      </c>
      <c r="H687">
        <v>5</v>
      </c>
      <c r="I687">
        <v>4</v>
      </c>
    </row>
    <row r="688" spans="1:10" x14ac:dyDescent="0.3">
      <c r="A688" t="s">
        <v>503</v>
      </c>
      <c r="B688">
        <v>31</v>
      </c>
      <c r="G688" t="s">
        <v>756</v>
      </c>
      <c r="H688" t="s">
        <v>741</v>
      </c>
      <c r="I688" t="s">
        <v>741</v>
      </c>
    </row>
    <row r="689" spans="1:9" x14ac:dyDescent="0.3">
      <c r="A689" t="s">
        <v>678</v>
      </c>
      <c r="B689">
        <v>31</v>
      </c>
      <c r="G689">
        <v>456</v>
      </c>
      <c r="H689">
        <v>2453</v>
      </c>
      <c r="I689">
        <v>2608</v>
      </c>
    </row>
    <row r="690" spans="1:9" x14ac:dyDescent="0.3">
      <c r="A690" t="s">
        <v>42</v>
      </c>
      <c r="B690">
        <v>31</v>
      </c>
      <c r="G690">
        <v>25</v>
      </c>
      <c r="H690">
        <v>45</v>
      </c>
      <c r="I690">
        <v>45</v>
      </c>
    </row>
    <row r="691" spans="1:9" x14ac:dyDescent="0.3">
      <c r="A691" t="s">
        <v>679</v>
      </c>
      <c r="B691">
        <v>31</v>
      </c>
      <c r="G691">
        <v>12.4</v>
      </c>
      <c r="H691">
        <v>37.200000000000003</v>
      </c>
      <c r="I691">
        <v>39.5</v>
      </c>
    </row>
    <row r="692" spans="1:9" x14ac:dyDescent="0.3">
      <c r="A692" t="s">
        <v>41</v>
      </c>
      <c r="B692">
        <v>31</v>
      </c>
      <c r="G692">
        <v>0</v>
      </c>
      <c r="H692">
        <v>0</v>
      </c>
      <c r="I692">
        <v>0</v>
      </c>
    </row>
    <row r="693" spans="1:9" x14ac:dyDescent="0.3">
      <c r="A693" t="s">
        <v>680</v>
      </c>
      <c r="B693">
        <v>31</v>
      </c>
      <c r="G693">
        <v>24</v>
      </c>
      <c r="H693">
        <v>24</v>
      </c>
      <c r="I693">
        <v>24</v>
      </c>
    </row>
    <row r="694" spans="1:9" x14ac:dyDescent="0.3">
      <c r="A694" t="s">
        <v>563</v>
      </c>
      <c r="B694">
        <v>31</v>
      </c>
      <c r="G694">
        <v>0</v>
      </c>
      <c r="H694">
        <v>0</v>
      </c>
      <c r="I694">
        <v>0</v>
      </c>
    </row>
    <row r="695" spans="1:9" x14ac:dyDescent="0.3">
      <c r="A695" t="s">
        <v>681</v>
      </c>
      <c r="B695">
        <v>31</v>
      </c>
      <c r="G695">
        <v>0</v>
      </c>
      <c r="H695">
        <v>0</v>
      </c>
      <c r="I695">
        <v>0</v>
      </c>
    </row>
    <row r="696" spans="1:9" x14ac:dyDescent="0.3">
      <c r="A696" t="s">
        <v>682</v>
      </c>
      <c r="B696">
        <v>31</v>
      </c>
      <c r="G696">
        <v>16</v>
      </c>
      <c r="H696">
        <v>16</v>
      </c>
      <c r="I696">
        <v>16</v>
      </c>
    </row>
    <row r="697" spans="1:9" x14ac:dyDescent="0.3">
      <c r="A697" t="s">
        <v>683</v>
      </c>
      <c r="B697">
        <v>31</v>
      </c>
      <c r="G697">
        <v>583</v>
      </c>
      <c r="H697">
        <v>583</v>
      </c>
      <c r="I697">
        <v>583</v>
      </c>
    </row>
    <row r="698" spans="1:9" x14ac:dyDescent="0.3">
      <c r="A698" t="s">
        <v>684</v>
      </c>
      <c r="B698">
        <v>31</v>
      </c>
      <c r="G698">
        <v>1101</v>
      </c>
      <c r="H698">
        <v>1980</v>
      </c>
      <c r="I698">
        <v>1980</v>
      </c>
    </row>
    <row r="699" spans="1:9" x14ac:dyDescent="0.3">
      <c r="A699" t="s">
        <v>685</v>
      </c>
      <c r="B699">
        <v>31</v>
      </c>
      <c r="G699">
        <v>734</v>
      </c>
      <c r="H699">
        <v>1320</v>
      </c>
      <c r="I699">
        <v>1320</v>
      </c>
    </row>
    <row r="700" spans="1:9" x14ac:dyDescent="0.3">
      <c r="A700" t="s">
        <v>686</v>
      </c>
      <c r="B700">
        <v>31</v>
      </c>
      <c r="G700">
        <v>1468</v>
      </c>
      <c r="H700">
        <v>2640</v>
      </c>
      <c r="I700">
        <v>2640</v>
      </c>
    </row>
    <row r="701" spans="1:9" x14ac:dyDescent="0.3">
      <c r="A701" t="s">
        <v>687</v>
      </c>
      <c r="B701">
        <v>31</v>
      </c>
    </row>
    <row r="702" spans="1:9" x14ac:dyDescent="0.3">
      <c r="A702" t="s">
        <v>688</v>
      </c>
      <c r="B702">
        <v>31</v>
      </c>
    </row>
    <row r="703" spans="1:9" x14ac:dyDescent="0.3">
      <c r="A703" t="s">
        <v>689</v>
      </c>
      <c r="B703">
        <v>31</v>
      </c>
    </row>
    <row r="704" spans="1:9" x14ac:dyDescent="0.3">
      <c r="A704" t="s">
        <v>690</v>
      </c>
      <c r="B704">
        <v>31</v>
      </c>
      <c r="G704" t="b">
        <v>0</v>
      </c>
      <c r="H704" t="b">
        <v>0</v>
      </c>
      <c r="I704" t="b">
        <v>0</v>
      </c>
    </row>
    <row r="705" spans="1:10" x14ac:dyDescent="0.3">
      <c r="A705" t="s">
        <v>691</v>
      </c>
      <c r="B705">
        <v>31</v>
      </c>
      <c r="G705" t="b">
        <v>0</v>
      </c>
      <c r="H705" t="b">
        <v>0</v>
      </c>
      <c r="I705" t="b">
        <v>0</v>
      </c>
    </row>
    <row r="706" spans="1:10" x14ac:dyDescent="0.3">
      <c r="A706" t="s">
        <v>677</v>
      </c>
      <c r="B706">
        <v>32</v>
      </c>
      <c r="J706">
        <v>31</v>
      </c>
    </row>
    <row r="707" spans="1:10" x14ac:dyDescent="0.3">
      <c r="A707" t="s">
        <v>36</v>
      </c>
      <c r="B707">
        <v>32</v>
      </c>
      <c r="J707">
        <v>2</v>
      </c>
    </row>
    <row r="708" spans="1:10" x14ac:dyDescent="0.3">
      <c r="A708" t="s">
        <v>503</v>
      </c>
      <c r="B708">
        <v>32</v>
      </c>
      <c r="J708" t="s">
        <v>756</v>
      </c>
    </row>
    <row r="709" spans="1:10" x14ac:dyDescent="0.3">
      <c r="A709" t="s">
        <v>678</v>
      </c>
      <c r="B709">
        <v>32</v>
      </c>
      <c r="J709">
        <v>456</v>
      </c>
    </row>
    <row r="710" spans="1:10" x14ac:dyDescent="0.3">
      <c r="A710" t="s">
        <v>42</v>
      </c>
      <c r="B710">
        <v>32</v>
      </c>
      <c r="J710">
        <v>30</v>
      </c>
    </row>
    <row r="711" spans="1:10" x14ac:dyDescent="0.3">
      <c r="A711" t="s">
        <v>679</v>
      </c>
      <c r="B711">
        <v>32</v>
      </c>
      <c r="J711">
        <v>10.4</v>
      </c>
    </row>
    <row r="712" spans="1:10" x14ac:dyDescent="0.3">
      <c r="A712" t="s">
        <v>41</v>
      </c>
      <c r="B712">
        <v>32</v>
      </c>
      <c r="J712">
        <v>0</v>
      </c>
    </row>
    <row r="713" spans="1:10" x14ac:dyDescent="0.3">
      <c r="A713" t="s">
        <v>680</v>
      </c>
      <c r="B713">
        <v>32</v>
      </c>
      <c r="J713">
        <v>12</v>
      </c>
    </row>
    <row r="714" spans="1:10" x14ac:dyDescent="0.3">
      <c r="A714" t="s">
        <v>563</v>
      </c>
      <c r="B714">
        <v>32</v>
      </c>
      <c r="J714">
        <v>0</v>
      </c>
    </row>
    <row r="715" spans="1:10" x14ac:dyDescent="0.3">
      <c r="A715" t="s">
        <v>681</v>
      </c>
      <c r="B715">
        <v>32</v>
      </c>
      <c r="J715">
        <v>0</v>
      </c>
    </row>
    <row r="716" spans="1:10" x14ac:dyDescent="0.3">
      <c r="A716" t="s">
        <v>682</v>
      </c>
      <c r="B716">
        <v>32</v>
      </c>
      <c r="J716">
        <v>16</v>
      </c>
    </row>
    <row r="717" spans="1:10" x14ac:dyDescent="0.3">
      <c r="A717" t="s">
        <v>683</v>
      </c>
      <c r="B717">
        <v>32</v>
      </c>
      <c r="J717">
        <v>200</v>
      </c>
    </row>
    <row r="718" spans="1:10" x14ac:dyDescent="0.3">
      <c r="A718" t="s">
        <v>684</v>
      </c>
      <c r="B718">
        <v>32</v>
      </c>
      <c r="J718">
        <v>1320</v>
      </c>
    </row>
    <row r="719" spans="1:10" x14ac:dyDescent="0.3">
      <c r="A719" t="s">
        <v>685</v>
      </c>
      <c r="B719">
        <v>32</v>
      </c>
      <c r="J719">
        <v>880</v>
      </c>
    </row>
    <row r="720" spans="1:10" x14ac:dyDescent="0.3">
      <c r="A720" t="s">
        <v>686</v>
      </c>
      <c r="B720">
        <v>32</v>
      </c>
      <c r="J720">
        <v>1760</v>
      </c>
    </row>
    <row r="721" spans="1:10" x14ac:dyDescent="0.3">
      <c r="A721" t="s">
        <v>687</v>
      </c>
      <c r="B721">
        <v>32</v>
      </c>
    </row>
    <row r="722" spans="1:10" x14ac:dyDescent="0.3">
      <c r="A722" t="s">
        <v>688</v>
      </c>
      <c r="B722">
        <v>32</v>
      </c>
    </row>
    <row r="723" spans="1:10" x14ac:dyDescent="0.3">
      <c r="A723" t="s">
        <v>689</v>
      </c>
      <c r="B723">
        <v>32</v>
      </c>
    </row>
    <row r="724" spans="1:10" x14ac:dyDescent="0.3">
      <c r="A724" t="s">
        <v>690</v>
      </c>
      <c r="B724">
        <v>32</v>
      </c>
      <c r="J724" t="b">
        <v>0</v>
      </c>
    </row>
    <row r="725" spans="1:10" x14ac:dyDescent="0.3">
      <c r="A725" t="s">
        <v>691</v>
      </c>
      <c r="B725">
        <v>32</v>
      </c>
      <c r="J725" t="b">
        <v>0</v>
      </c>
    </row>
    <row r="726" spans="1:10" x14ac:dyDescent="0.3">
      <c r="A726" t="s">
        <v>677</v>
      </c>
      <c r="B726">
        <v>33</v>
      </c>
      <c r="G726">
        <v>35</v>
      </c>
      <c r="H726">
        <v>31</v>
      </c>
      <c r="I726">
        <v>34</v>
      </c>
    </row>
    <row r="727" spans="1:10" x14ac:dyDescent="0.3">
      <c r="A727" t="s">
        <v>36</v>
      </c>
      <c r="B727">
        <v>33</v>
      </c>
      <c r="G727">
        <v>2</v>
      </c>
      <c r="H727">
        <v>4</v>
      </c>
      <c r="I727">
        <v>4</v>
      </c>
    </row>
    <row r="728" spans="1:10" x14ac:dyDescent="0.3">
      <c r="A728" t="s">
        <v>503</v>
      </c>
      <c r="B728">
        <v>33</v>
      </c>
      <c r="G728" t="s">
        <v>757</v>
      </c>
      <c r="H728" t="s">
        <v>741</v>
      </c>
      <c r="I728" t="s">
        <v>741</v>
      </c>
    </row>
    <row r="729" spans="1:10" x14ac:dyDescent="0.3">
      <c r="A729" t="s">
        <v>678</v>
      </c>
      <c r="B729">
        <v>33</v>
      </c>
      <c r="G729">
        <v>375</v>
      </c>
      <c r="H729">
        <v>2608</v>
      </c>
      <c r="I729">
        <v>1440</v>
      </c>
    </row>
    <row r="730" spans="1:10" x14ac:dyDescent="0.3">
      <c r="A730" t="s">
        <v>42</v>
      </c>
      <c r="B730">
        <v>33</v>
      </c>
      <c r="G730">
        <v>25</v>
      </c>
      <c r="H730">
        <v>45</v>
      </c>
      <c r="I730">
        <v>45</v>
      </c>
    </row>
    <row r="731" spans="1:10" x14ac:dyDescent="0.3">
      <c r="A731" t="s">
        <v>679</v>
      </c>
      <c r="B731">
        <v>33</v>
      </c>
      <c r="G731">
        <v>10.199999999999999</v>
      </c>
      <c r="H731">
        <v>39.5</v>
      </c>
      <c r="I731">
        <v>21.8</v>
      </c>
    </row>
    <row r="732" spans="1:10" x14ac:dyDescent="0.3">
      <c r="A732" t="s">
        <v>41</v>
      </c>
      <c r="B732">
        <v>33</v>
      </c>
      <c r="G732">
        <v>0</v>
      </c>
      <c r="H732">
        <v>0</v>
      </c>
      <c r="I732">
        <v>0</v>
      </c>
    </row>
    <row r="733" spans="1:10" x14ac:dyDescent="0.3">
      <c r="A733" t="s">
        <v>680</v>
      </c>
      <c r="B733">
        <v>33</v>
      </c>
      <c r="G733">
        <v>12</v>
      </c>
      <c r="H733">
        <v>24</v>
      </c>
      <c r="I733">
        <v>24</v>
      </c>
    </row>
    <row r="734" spans="1:10" x14ac:dyDescent="0.3">
      <c r="A734" t="s">
        <v>563</v>
      </c>
      <c r="B734">
        <v>33</v>
      </c>
      <c r="G734">
        <v>0</v>
      </c>
      <c r="H734">
        <v>0</v>
      </c>
      <c r="I734">
        <v>0</v>
      </c>
    </row>
    <row r="735" spans="1:10" x14ac:dyDescent="0.3">
      <c r="A735" t="s">
        <v>681</v>
      </c>
      <c r="B735">
        <v>33</v>
      </c>
      <c r="G735">
        <v>1</v>
      </c>
      <c r="H735">
        <v>0</v>
      </c>
      <c r="I735">
        <v>0</v>
      </c>
    </row>
    <row r="736" spans="1:10" x14ac:dyDescent="0.3">
      <c r="A736" t="s">
        <v>682</v>
      </c>
      <c r="B736">
        <v>33</v>
      </c>
      <c r="G736">
        <v>16</v>
      </c>
      <c r="H736">
        <v>16</v>
      </c>
      <c r="I736">
        <v>16</v>
      </c>
    </row>
    <row r="737" spans="1:10" x14ac:dyDescent="0.3">
      <c r="A737" t="s">
        <v>683</v>
      </c>
      <c r="B737">
        <v>33</v>
      </c>
      <c r="G737">
        <v>583</v>
      </c>
      <c r="H737">
        <v>583</v>
      </c>
      <c r="I737">
        <v>583</v>
      </c>
    </row>
    <row r="738" spans="1:10" x14ac:dyDescent="0.3">
      <c r="A738" t="s">
        <v>684</v>
      </c>
      <c r="B738">
        <v>33</v>
      </c>
      <c r="G738">
        <v>1101</v>
      </c>
      <c r="H738">
        <v>1980</v>
      </c>
      <c r="I738">
        <v>1980</v>
      </c>
    </row>
    <row r="739" spans="1:10" x14ac:dyDescent="0.3">
      <c r="A739" t="s">
        <v>685</v>
      </c>
      <c r="B739">
        <v>33</v>
      </c>
      <c r="G739">
        <v>734</v>
      </c>
      <c r="H739">
        <v>1320</v>
      </c>
      <c r="I739">
        <v>1320</v>
      </c>
    </row>
    <row r="740" spans="1:10" x14ac:dyDescent="0.3">
      <c r="A740" t="s">
        <v>686</v>
      </c>
      <c r="B740">
        <v>33</v>
      </c>
      <c r="G740">
        <v>1468</v>
      </c>
      <c r="H740">
        <v>2640</v>
      </c>
      <c r="I740">
        <v>2640</v>
      </c>
    </row>
    <row r="741" spans="1:10" x14ac:dyDescent="0.3">
      <c r="A741" t="s">
        <v>687</v>
      </c>
      <c r="B741">
        <v>33</v>
      </c>
    </row>
    <row r="742" spans="1:10" x14ac:dyDescent="0.3">
      <c r="A742" t="s">
        <v>688</v>
      </c>
      <c r="B742">
        <v>33</v>
      </c>
    </row>
    <row r="743" spans="1:10" x14ac:dyDescent="0.3">
      <c r="A743" t="s">
        <v>689</v>
      </c>
      <c r="B743">
        <v>33</v>
      </c>
    </row>
    <row r="744" spans="1:10" x14ac:dyDescent="0.3">
      <c r="A744" t="s">
        <v>690</v>
      </c>
      <c r="B744">
        <v>33</v>
      </c>
      <c r="G744" t="b">
        <v>0</v>
      </c>
      <c r="H744" t="b">
        <v>0</v>
      </c>
      <c r="I744" t="b">
        <v>0</v>
      </c>
    </row>
    <row r="745" spans="1:10" x14ac:dyDescent="0.3">
      <c r="A745" t="s">
        <v>691</v>
      </c>
      <c r="B745">
        <v>33</v>
      </c>
      <c r="G745" t="b">
        <v>0</v>
      </c>
      <c r="H745" t="b">
        <v>0</v>
      </c>
      <c r="I745" t="b">
        <v>0</v>
      </c>
    </row>
    <row r="746" spans="1:10" x14ac:dyDescent="0.3">
      <c r="A746" t="s">
        <v>677</v>
      </c>
      <c r="B746">
        <v>34</v>
      </c>
      <c r="G746">
        <v>37</v>
      </c>
      <c r="H746">
        <v>33</v>
      </c>
      <c r="I746">
        <v>36</v>
      </c>
      <c r="J746">
        <v>38</v>
      </c>
    </row>
    <row r="747" spans="1:10" x14ac:dyDescent="0.3">
      <c r="A747" t="s">
        <v>36</v>
      </c>
      <c r="B747">
        <v>34</v>
      </c>
      <c r="G747">
        <v>4</v>
      </c>
      <c r="H747">
        <v>6</v>
      </c>
      <c r="I747">
        <v>6</v>
      </c>
      <c r="J747">
        <v>4</v>
      </c>
    </row>
    <row r="748" spans="1:10" x14ac:dyDescent="0.3">
      <c r="A748" t="s">
        <v>503</v>
      </c>
      <c r="B748">
        <v>34</v>
      </c>
      <c r="G748" t="s">
        <v>758</v>
      </c>
      <c r="H748" t="s">
        <v>741</v>
      </c>
      <c r="I748" t="s">
        <v>741</v>
      </c>
      <c r="J748" t="s">
        <v>759</v>
      </c>
    </row>
    <row r="749" spans="1:10" x14ac:dyDescent="0.3">
      <c r="A749" t="s">
        <v>678</v>
      </c>
      <c r="B749">
        <v>34</v>
      </c>
      <c r="G749">
        <v>363</v>
      </c>
      <c r="H749">
        <v>1440</v>
      </c>
      <c r="I749">
        <v>6910</v>
      </c>
      <c r="J749">
        <v>590</v>
      </c>
    </row>
    <row r="750" spans="1:10" x14ac:dyDescent="0.3">
      <c r="A750" t="s">
        <v>42</v>
      </c>
      <c r="B750">
        <v>34</v>
      </c>
      <c r="G750">
        <v>35</v>
      </c>
      <c r="H750">
        <v>45</v>
      </c>
      <c r="I750">
        <v>45</v>
      </c>
      <c r="J750">
        <v>35</v>
      </c>
    </row>
    <row r="751" spans="1:10" x14ac:dyDescent="0.3">
      <c r="A751" t="s">
        <v>679</v>
      </c>
      <c r="B751">
        <v>34</v>
      </c>
      <c r="G751">
        <v>7.1</v>
      </c>
      <c r="H751">
        <v>21.8</v>
      </c>
      <c r="I751">
        <v>104.7</v>
      </c>
      <c r="J751">
        <v>11.5</v>
      </c>
    </row>
    <row r="752" spans="1:10" x14ac:dyDescent="0.3">
      <c r="A752" t="s">
        <v>41</v>
      </c>
      <c r="B752">
        <v>34</v>
      </c>
      <c r="G752">
        <v>0</v>
      </c>
      <c r="H752">
        <v>0</v>
      </c>
      <c r="I752">
        <v>0</v>
      </c>
      <c r="J752">
        <v>0</v>
      </c>
    </row>
    <row r="753" spans="1:10" x14ac:dyDescent="0.3">
      <c r="A753" t="s">
        <v>680</v>
      </c>
      <c r="B753">
        <v>34</v>
      </c>
      <c r="G753">
        <v>24</v>
      </c>
      <c r="H753">
        <v>24</v>
      </c>
      <c r="I753">
        <v>24</v>
      </c>
      <c r="J753">
        <v>24</v>
      </c>
    </row>
    <row r="754" spans="1:10" x14ac:dyDescent="0.3">
      <c r="A754" t="s">
        <v>563</v>
      </c>
      <c r="B754">
        <v>34</v>
      </c>
      <c r="G754">
        <v>0</v>
      </c>
      <c r="H754">
        <v>0</v>
      </c>
      <c r="I754">
        <v>0</v>
      </c>
      <c r="J754">
        <v>0</v>
      </c>
    </row>
    <row r="755" spans="1:10" x14ac:dyDescent="0.3">
      <c r="A755" t="s">
        <v>681</v>
      </c>
      <c r="B755">
        <v>34</v>
      </c>
      <c r="G755">
        <v>0</v>
      </c>
      <c r="H755">
        <v>0</v>
      </c>
      <c r="I755">
        <v>0</v>
      </c>
      <c r="J755">
        <v>0</v>
      </c>
    </row>
    <row r="756" spans="1:10" x14ac:dyDescent="0.3">
      <c r="A756" t="s">
        <v>682</v>
      </c>
      <c r="B756">
        <v>34</v>
      </c>
      <c r="G756">
        <v>16</v>
      </c>
      <c r="H756">
        <v>16</v>
      </c>
      <c r="I756">
        <v>16</v>
      </c>
      <c r="J756">
        <v>16</v>
      </c>
    </row>
    <row r="757" spans="1:10" x14ac:dyDescent="0.3">
      <c r="A757" t="s">
        <v>683</v>
      </c>
      <c r="B757">
        <v>34</v>
      </c>
      <c r="G757">
        <v>583</v>
      </c>
      <c r="H757">
        <v>583</v>
      </c>
      <c r="I757">
        <v>583</v>
      </c>
      <c r="J757">
        <v>583</v>
      </c>
    </row>
    <row r="758" spans="1:10" x14ac:dyDescent="0.3">
      <c r="A758" t="s">
        <v>684</v>
      </c>
      <c r="B758">
        <v>34</v>
      </c>
      <c r="G758">
        <v>1539</v>
      </c>
      <c r="H758">
        <v>1980</v>
      </c>
      <c r="I758">
        <v>1980</v>
      </c>
      <c r="J758">
        <v>1539</v>
      </c>
    </row>
    <row r="759" spans="1:10" x14ac:dyDescent="0.3">
      <c r="A759" t="s">
        <v>685</v>
      </c>
      <c r="B759">
        <v>34</v>
      </c>
      <c r="G759">
        <v>1026</v>
      </c>
      <c r="H759">
        <v>1320</v>
      </c>
      <c r="I759">
        <v>1320</v>
      </c>
      <c r="J759">
        <v>1026</v>
      </c>
    </row>
    <row r="760" spans="1:10" x14ac:dyDescent="0.3">
      <c r="A760" t="s">
        <v>686</v>
      </c>
      <c r="B760">
        <v>34</v>
      </c>
      <c r="G760">
        <v>2052</v>
      </c>
      <c r="H760">
        <v>2640</v>
      </c>
      <c r="I760">
        <v>2640</v>
      </c>
      <c r="J760">
        <v>2052</v>
      </c>
    </row>
    <row r="761" spans="1:10" x14ac:dyDescent="0.3">
      <c r="A761" t="s">
        <v>687</v>
      </c>
      <c r="B761">
        <v>34</v>
      </c>
      <c r="I761">
        <v>-379224</v>
      </c>
    </row>
    <row r="762" spans="1:10" x14ac:dyDescent="0.3">
      <c r="A762" t="s">
        <v>688</v>
      </c>
      <c r="B762">
        <v>34</v>
      </c>
      <c r="I762">
        <v>33055</v>
      </c>
    </row>
    <row r="763" spans="1:10" x14ac:dyDescent="0.3">
      <c r="A763" t="s">
        <v>689</v>
      </c>
      <c r="B763">
        <v>34</v>
      </c>
      <c r="I763">
        <v>0</v>
      </c>
    </row>
    <row r="764" spans="1:10" x14ac:dyDescent="0.3">
      <c r="A764" t="s">
        <v>690</v>
      </c>
      <c r="B764">
        <v>34</v>
      </c>
      <c r="G764" t="b">
        <v>0</v>
      </c>
      <c r="H764" t="b">
        <v>0</v>
      </c>
      <c r="I764" t="b">
        <v>0</v>
      </c>
      <c r="J764" t="b">
        <v>0</v>
      </c>
    </row>
    <row r="765" spans="1:10" x14ac:dyDescent="0.3">
      <c r="A765" t="s">
        <v>691</v>
      </c>
      <c r="B765">
        <v>34</v>
      </c>
      <c r="G765" t="b">
        <v>0</v>
      </c>
      <c r="H765" t="b">
        <v>0</v>
      </c>
      <c r="I765" t="b">
        <v>0</v>
      </c>
      <c r="J765" t="b">
        <v>0</v>
      </c>
    </row>
    <row r="766" spans="1:10" x14ac:dyDescent="0.3">
      <c r="A766" t="s">
        <v>677</v>
      </c>
      <c r="B766">
        <v>35</v>
      </c>
      <c r="J766">
        <v>33</v>
      </c>
    </row>
    <row r="767" spans="1:10" x14ac:dyDescent="0.3">
      <c r="A767" t="s">
        <v>36</v>
      </c>
      <c r="B767">
        <v>35</v>
      </c>
      <c r="J767">
        <v>1</v>
      </c>
    </row>
    <row r="768" spans="1:10" x14ac:dyDescent="0.3">
      <c r="A768" t="s">
        <v>503</v>
      </c>
      <c r="B768">
        <v>35</v>
      </c>
      <c r="J768" t="s">
        <v>757</v>
      </c>
    </row>
    <row r="769" spans="1:10" x14ac:dyDescent="0.3">
      <c r="A769" t="s">
        <v>678</v>
      </c>
      <c r="B769">
        <v>35</v>
      </c>
      <c r="J769">
        <v>375</v>
      </c>
    </row>
    <row r="770" spans="1:10" x14ac:dyDescent="0.3">
      <c r="A770" t="s">
        <v>42</v>
      </c>
      <c r="B770">
        <v>35</v>
      </c>
      <c r="J770">
        <v>30</v>
      </c>
    </row>
    <row r="771" spans="1:10" x14ac:dyDescent="0.3">
      <c r="A771" t="s">
        <v>679</v>
      </c>
      <c r="B771">
        <v>35</v>
      </c>
      <c r="J771">
        <v>8.5</v>
      </c>
    </row>
    <row r="772" spans="1:10" x14ac:dyDescent="0.3">
      <c r="A772" t="s">
        <v>41</v>
      </c>
      <c r="B772">
        <v>35</v>
      </c>
      <c r="J772">
        <v>0</v>
      </c>
    </row>
    <row r="773" spans="1:10" x14ac:dyDescent="0.3">
      <c r="A773" t="s">
        <v>680</v>
      </c>
      <c r="B773">
        <v>35</v>
      </c>
      <c r="J773">
        <v>12</v>
      </c>
    </row>
    <row r="774" spans="1:10" x14ac:dyDescent="0.3">
      <c r="A774" t="s">
        <v>563</v>
      </c>
      <c r="B774">
        <v>35</v>
      </c>
      <c r="J774">
        <v>0</v>
      </c>
    </row>
    <row r="775" spans="1:10" x14ac:dyDescent="0.3">
      <c r="A775" t="s">
        <v>681</v>
      </c>
      <c r="B775">
        <v>35</v>
      </c>
      <c r="J775">
        <v>1</v>
      </c>
    </row>
    <row r="776" spans="1:10" x14ac:dyDescent="0.3">
      <c r="A776" t="s">
        <v>682</v>
      </c>
      <c r="B776">
        <v>35</v>
      </c>
      <c r="J776">
        <v>16</v>
      </c>
    </row>
    <row r="777" spans="1:10" x14ac:dyDescent="0.3">
      <c r="A777" t="s">
        <v>683</v>
      </c>
      <c r="B777">
        <v>35</v>
      </c>
      <c r="J777">
        <v>200</v>
      </c>
    </row>
    <row r="778" spans="1:10" x14ac:dyDescent="0.3">
      <c r="A778" t="s">
        <v>684</v>
      </c>
      <c r="B778">
        <v>35</v>
      </c>
      <c r="J778">
        <v>1320</v>
      </c>
    </row>
    <row r="779" spans="1:10" x14ac:dyDescent="0.3">
      <c r="A779" t="s">
        <v>685</v>
      </c>
      <c r="B779">
        <v>35</v>
      </c>
      <c r="J779">
        <v>880</v>
      </c>
    </row>
    <row r="780" spans="1:10" x14ac:dyDescent="0.3">
      <c r="A780" t="s">
        <v>686</v>
      </c>
      <c r="B780">
        <v>35</v>
      </c>
      <c r="J780">
        <v>1760</v>
      </c>
    </row>
    <row r="781" spans="1:10" x14ac:dyDescent="0.3">
      <c r="A781" t="s">
        <v>687</v>
      </c>
      <c r="B781">
        <v>35</v>
      </c>
    </row>
    <row r="782" spans="1:10" x14ac:dyDescent="0.3">
      <c r="A782" t="s">
        <v>688</v>
      </c>
      <c r="B782">
        <v>35</v>
      </c>
    </row>
    <row r="783" spans="1:10" x14ac:dyDescent="0.3">
      <c r="A783" t="s">
        <v>689</v>
      </c>
      <c r="B783">
        <v>35</v>
      </c>
    </row>
    <row r="784" spans="1:10" x14ac:dyDescent="0.3">
      <c r="A784" t="s">
        <v>690</v>
      </c>
      <c r="B784">
        <v>35</v>
      </c>
      <c r="J784" t="b">
        <v>0</v>
      </c>
    </row>
    <row r="785" spans="1:10" x14ac:dyDescent="0.3">
      <c r="A785" t="s">
        <v>691</v>
      </c>
      <c r="B785">
        <v>35</v>
      </c>
      <c r="J785" t="b">
        <v>0</v>
      </c>
    </row>
    <row r="786" spans="1:10" x14ac:dyDescent="0.3">
      <c r="A786" t="s">
        <v>677</v>
      </c>
      <c r="B786">
        <v>36</v>
      </c>
      <c r="G786">
        <v>40</v>
      </c>
      <c r="H786">
        <v>34</v>
      </c>
      <c r="I786">
        <v>39</v>
      </c>
      <c r="J786">
        <v>41</v>
      </c>
    </row>
    <row r="787" spans="1:10" x14ac:dyDescent="0.3">
      <c r="A787" t="s">
        <v>36</v>
      </c>
      <c r="B787">
        <v>36</v>
      </c>
      <c r="G787">
        <v>4</v>
      </c>
      <c r="H787">
        <v>6</v>
      </c>
      <c r="I787">
        <v>6</v>
      </c>
      <c r="J787">
        <v>3</v>
      </c>
    </row>
    <row r="788" spans="1:10" x14ac:dyDescent="0.3">
      <c r="A788" t="s">
        <v>503</v>
      </c>
      <c r="B788">
        <v>36</v>
      </c>
      <c r="G788" t="s">
        <v>760</v>
      </c>
      <c r="H788" t="s">
        <v>741</v>
      </c>
      <c r="I788" t="s">
        <v>741</v>
      </c>
      <c r="J788" t="s">
        <v>761</v>
      </c>
    </row>
    <row r="789" spans="1:10" x14ac:dyDescent="0.3">
      <c r="A789" t="s">
        <v>678</v>
      </c>
      <c r="B789">
        <v>36</v>
      </c>
      <c r="G789">
        <v>640</v>
      </c>
      <c r="H789">
        <v>6910</v>
      </c>
      <c r="I789">
        <v>5039</v>
      </c>
      <c r="J789">
        <v>378</v>
      </c>
    </row>
    <row r="790" spans="1:10" x14ac:dyDescent="0.3">
      <c r="A790" t="s">
        <v>42</v>
      </c>
      <c r="B790">
        <v>36</v>
      </c>
      <c r="G790">
        <v>35</v>
      </c>
      <c r="H790">
        <v>45</v>
      </c>
      <c r="I790">
        <v>55</v>
      </c>
      <c r="J790">
        <v>35</v>
      </c>
    </row>
    <row r="791" spans="1:10" x14ac:dyDescent="0.3">
      <c r="A791" t="s">
        <v>679</v>
      </c>
      <c r="B791">
        <v>36</v>
      </c>
      <c r="G791">
        <v>12.5</v>
      </c>
      <c r="H791">
        <v>104.7</v>
      </c>
      <c r="I791">
        <v>62.5</v>
      </c>
      <c r="J791">
        <v>7.4</v>
      </c>
    </row>
    <row r="792" spans="1:10" x14ac:dyDescent="0.3">
      <c r="A792" t="s">
        <v>41</v>
      </c>
      <c r="B792">
        <v>36</v>
      </c>
      <c r="G792">
        <v>0</v>
      </c>
      <c r="H792">
        <v>0</v>
      </c>
      <c r="I792">
        <v>0</v>
      </c>
      <c r="J792">
        <v>0</v>
      </c>
    </row>
    <row r="793" spans="1:10" x14ac:dyDescent="0.3">
      <c r="A793" t="s">
        <v>680</v>
      </c>
      <c r="B793">
        <v>36</v>
      </c>
      <c r="G793">
        <v>12</v>
      </c>
      <c r="H793">
        <v>24</v>
      </c>
      <c r="I793">
        <v>24</v>
      </c>
      <c r="J793">
        <v>12</v>
      </c>
    </row>
    <row r="794" spans="1:10" x14ac:dyDescent="0.3">
      <c r="A794" t="s">
        <v>563</v>
      </c>
      <c r="B794">
        <v>36</v>
      </c>
      <c r="G794">
        <v>0</v>
      </c>
      <c r="H794">
        <v>0</v>
      </c>
      <c r="I794">
        <v>0</v>
      </c>
      <c r="J794">
        <v>0</v>
      </c>
    </row>
    <row r="795" spans="1:10" x14ac:dyDescent="0.3">
      <c r="A795" t="s">
        <v>681</v>
      </c>
      <c r="B795">
        <v>36</v>
      </c>
      <c r="G795">
        <v>0</v>
      </c>
      <c r="H795">
        <v>0</v>
      </c>
      <c r="I795">
        <v>0</v>
      </c>
      <c r="J795">
        <v>0</v>
      </c>
    </row>
    <row r="796" spans="1:10" x14ac:dyDescent="0.3">
      <c r="A796" t="s">
        <v>682</v>
      </c>
      <c r="B796">
        <v>36</v>
      </c>
      <c r="G796">
        <v>16</v>
      </c>
      <c r="H796">
        <v>16</v>
      </c>
      <c r="I796">
        <v>16</v>
      </c>
      <c r="J796">
        <v>16</v>
      </c>
    </row>
    <row r="797" spans="1:10" x14ac:dyDescent="0.3">
      <c r="A797" t="s">
        <v>683</v>
      </c>
      <c r="B797">
        <v>36</v>
      </c>
      <c r="G797">
        <v>583</v>
      </c>
      <c r="H797">
        <v>583</v>
      </c>
      <c r="I797">
        <v>583</v>
      </c>
      <c r="J797">
        <v>583</v>
      </c>
    </row>
    <row r="798" spans="1:10" x14ac:dyDescent="0.3">
      <c r="A798" t="s">
        <v>684</v>
      </c>
      <c r="B798">
        <v>36</v>
      </c>
      <c r="G798">
        <v>1539</v>
      </c>
      <c r="H798">
        <v>1980</v>
      </c>
      <c r="I798">
        <v>2421</v>
      </c>
      <c r="J798">
        <v>1539</v>
      </c>
    </row>
    <row r="799" spans="1:10" x14ac:dyDescent="0.3">
      <c r="A799" t="s">
        <v>685</v>
      </c>
      <c r="B799">
        <v>36</v>
      </c>
      <c r="G799">
        <v>1026</v>
      </c>
      <c r="H799">
        <v>1320</v>
      </c>
      <c r="I799">
        <v>1614</v>
      </c>
      <c r="J799">
        <v>1026</v>
      </c>
    </row>
    <row r="800" spans="1:10" x14ac:dyDescent="0.3">
      <c r="A800" t="s">
        <v>686</v>
      </c>
      <c r="B800">
        <v>36</v>
      </c>
      <c r="G800">
        <v>2052</v>
      </c>
      <c r="H800">
        <v>2640</v>
      </c>
      <c r="I800">
        <v>3228</v>
      </c>
      <c r="J800">
        <v>2052</v>
      </c>
    </row>
    <row r="801" spans="1:10" x14ac:dyDescent="0.3">
      <c r="A801" t="s">
        <v>687</v>
      </c>
      <c r="B801">
        <v>36</v>
      </c>
      <c r="H801">
        <v>-380938</v>
      </c>
    </row>
    <row r="802" spans="1:10" x14ac:dyDescent="0.3">
      <c r="A802" t="s">
        <v>688</v>
      </c>
      <c r="B802">
        <v>36</v>
      </c>
      <c r="H802">
        <v>34593</v>
      </c>
    </row>
    <row r="803" spans="1:10" x14ac:dyDescent="0.3">
      <c r="A803" t="s">
        <v>689</v>
      </c>
      <c r="B803">
        <v>36</v>
      </c>
      <c r="H803">
        <v>0</v>
      </c>
    </row>
    <row r="804" spans="1:10" x14ac:dyDescent="0.3">
      <c r="A804" t="s">
        <v>690</v>
      </c>
      <c r="B804">
        <v>36</v>
      </c>
      <c r="G804" t="b">
        <v>0</v>
      </c>
      <c r="H804" t="b">
        <v>0</v>
      </c>
      <c r="I804" t="b">
        <v>0</v>
      </c>
      <c r="J804" t="b">
        <v>0</v>
      </c>
    </row>
    <row r="805" spans="1:10" x14ac:dyDescent="0.3">
      <c r="A805" t="s">
        <v>691</v>
      </c>
      <c r="B805">
        <v>36</v>
      </c>
      <c r="G805" t="b">
        <v>0</v>
      </c>
      <c r="H805" t="b">
        <v>0</v>
      </c>
      <c r="I805" t="b">
        <v>0</v>
      </c>
      <c r="J805" t="b">
        <v>0</v>
      </c>
    </row>
    <row r="806" spans="1:10" x14ac:dyDescent="0.3">
      <c r="A806" t="s">
        <v>677</v>
      </c>
      <c r="B806">
        <v>37</v>
      </c>
      <c r="J806">
        <v>34</v>
      </c>
    </row>
    <row r="807" spans="1:10" x14ac:dyDescent="0.3">
      <c r="A807" t="s">
        <v>36</v>
      </c>
      <c r="B807">
        <v>37</v>
      </c>
      <c r="J807" t="s">
        <v>693</v>
      </c>
    </row>
    <row r="808" spans="1:10" x14ac:dyDescent="0.3">
      <c r="A808" t="s">
        <v>503</v>
      </c>
      <c r="B808">
        <v>37</v>
      </c>
      <c r="J808" t="s">
        <v>758</v>
      </c>
    </row>
    <row r="809" spans="1:10" x14ac:dyDescent="0.3">
      <c r="A809" t="s">
        <v>678</v>
      </c>
      <c r="B809">
        <v>37</v>
      </c>
      <c r="J809">
        <v>363</v>
      </c>
    </row>
    <row r="810" spans="1:10" x14ac:dyDescent="0.3">
      <c r="A810" t="s">
        <v>42</v>
      </c>
      <c r="B810">
        <v>37</v>
      </c>
      <c r="J810">
        <v>35</v>
      </c>
    </row>
    <row r="811" spans="1:10" x14ac:dyDescent="0.3">
      <c r="A811" t="s">
        <v>679</v>
      </c>
      <c r="B811">
        <v>37</v>
      </c>
      <c r="J811">
        <v>7.1</v>
      </c>
    </row>
    <row r="812" spans="1:10" x14ac:dyDescent="0.3">
      <c r="A812" t="s">
        <v>41</v>
      </c>
      <c r="B812">
        <v>37</v>
      </c>
      <c r="J812">
        <v>0</v>
      </c>
    </row>
    <row r="813" spans="1:10" x14ac:dyDescent="0.3">
      <c r="A813" t="s">
        <v>680</v>
      </c>
      <c r="B813">
        <v>37</v>
      </c>
      <c r="J813">
        <v>12</v>
      </c>
    </row>
    <row r="814" spans="1:10" x14ac:dyDescent="0.3">
      <c r="A814" t="s">
        <v>563</v>
      </c>
      <c r="B814">
        <v>37</v>
      </c>
      <c r="J814">
        <v>0</v>
      </c>
    </row>
    <row r="815" spans="1:10" x14ac:dyDescent="0.3">
      <c r="A815" t="s">
        <v>681</v>
      </c>
      <c r="B815">
        <v>37</v>
      </c>
      <c r="J815">
        <v>0</v>
      </c>
    </row>
    <row r="816" spans="1:10" x14ac:dyDescent="0.3">
      <c r="A816" t="s">
        <v>682</v>
      </c>
      <c r="B816">
        <v>37</v>
      </c>
      <c r="J816">
        <v>16</v>
      </c>
    </row>
    <row r="817" spans="1:10" x14ac:dyDescent="0.3">
      <c r="A817" t="s">
        <v>683</v>
      </c>
      <c r="B817">
        <v>37</v>
      </c>
      <c r="J817">
        <v>200</v>
      </c>
    </row>
    <row r="818" spans="1:10" x14ac:dyDescent="0.3">
      <c r="A818" t="s">
        <v>684</v>
      </c>
      <c r="B818">
        <v>37</v>
      </c>
      <c r="J818">
        <v>1539</v>
      </c>
    </row>
    <row r="819" spans="1:10" x14ac:dyDescent="0.3">
      <c r="A819" t="s">
        <v>685</v>
      </c>
      <c r="B819">
        <v>37</v>
      </c>
      <c r="J819">
        <v>1026</v>
      </c>
    </row>
    <row r="820" spans="1:10" x14ac:dyDescent="0.3">
      <c r="A820" t="s">
        <v>686</v>
      </c>
      <c r="B820">
        <v>37</v>
      </c>
      <c r="J820">
        <v>2052</v>
      </c>
    </row>
    <row r="821" spans="1:10" x14ac:dyDescent="0.3">
      <c r="A821" t="s">
        <v>687</v>
      </c>
      <c r="B821">
        <v>37</v>
      </c>
    </row>
    <row r="822" spans="1:10" x14ac:dyDescent="0.3">
      <c r="A822" t="s">
        <v>688</v>
      </c>
      <c r="B822">
        <v>37</v>
      </c>
    </row>
    <row r="823" spans="1:10" x14ac:dyDescent="0.3">
      <c r="A823" t="s">
        <v>689</v>
      </c>
      <c r="B823">
        <v>37</v>
      </c>
    </row>
    <row r="824" spans="1:10" x14ac:dyDescent="0.3">
      <c r="A824" t="s">
        <v>690</v>
      </c>
      <c r="B824">
        <v>37</v>
      </c>
      <c r="J824" t="b">
        <v>0</v>
      </c>
    </row>
    <row r="825" spans="1:10" x14ac:dyDescent="0.3">
      <c r="A825" t="s">
        <v>691</v>
      </c>
      <c r="B825">
        <v>37</v>
      </c>
      <c r="J825" t="b">
        <v>0</v>
      </c>
    </row>
    <row r="826" spans="1:10" x14ac:dyDescent="0.3">
      <c r="A826" t="s">
        <v>677</v>
      </c>
      <c r="B826">
        <v>38</v>
      </c>
      <c r="G826">
        <v>34</v>
      </c>
    </row>
    <row r="827" spans="1:10" x14ac:dyDescent="0.3">
      <c r="A827" t="s">
        <v>36</v>
      </c>
      <c r="B827">
        <v>38</v>
      </c>
      <c r="G827" t="s">
        <v>693</v>
      </c>
    </row>
    <row r="828" spans="1:10" x14ac:dyDescent="0.3">
      <c r="A828" t="s">
        <v>503</v>
      </c>
      <c r="B828">
        <v>38</v>
      </c>
      <c r="G828" t="s">
        <v>759</v>
      </c>
    </row>
    <row r="829" spans="1:10" x14ac:dyDescent="0.3">
      <c r="A829" t="s">
        <v>678</v>
      </c>
      <c r="B829">
        <v>38</v>
      </c>
      <c r="G829">
        <v>590</v>
      </c>
    </row>
    <row r="830" spans="1:10" x14ac:dyDescent="0.3">
      <c r="A830" t="s">
        <v>42</v>
      </c>
      <c r="B830">
        <v>38</v>
      </c>
      <c r="G830">
        <v>30</v>
      </c>
    </row>
    <row r="831" spans="1:10" x14ac:dyDescent="0.3">
      <c r="A831" t="s">
        <v>679</v>
      </c>
      <c r="B831">
        <v>38</v>
      </c>
      <c r="G831">
        <v>13.4</v>
      </c>
    </row>
    <row r="832" spans="1:10" x14ac:dyDescent="0.3">
      <c r="A832" t="s">
        <v>41</v>
      </c>
      <c r="B832">
        <v>38</v>
      </c>
      <c r="G832">
        <v>0</v>
      </c>
    </row>
    <row r="833" spans="1:9" x14ac:dyDescent="0.3">
      <c r="A833" t="s">
        <v>680</v>
      </c>
      <c r="B833">
        <v>38</v>
      </c>
      <c r="G833">
        <v>12</v>
      </c>
    </row>
    <row r="834" spans="1:9" x14ac:dyDescent="0.3">
      <c r="A834" t="s">
        <v>563</v>
      </c>
      <c r="B834">
        <v>38</v>
      </c>
      <c r="G834">
        <v>0</v>
      </c>
    </row>
    <row r="835" spans="1:9" x14ac:dyDescent="0.3">
      <c r="A835" t="s">
        <v>681</v>
      </c>
      <c r="B835">
        <v>38</v>
      </c>
      <c r="G835">
        <v>0</v>
      </c>
    </row>
    <row r="836" spans="1:9" x14ac:dyDescent="0.3">
      <c r="A836" t="s">
        <v>682</v>
      </c>
      <c r="B836">
        <v>38</v>
      </c>
      <c r="G836">
        <v>16</v>
      </c>
    </row>
    <row r="837" spans="1:9" x14ac:dyDescent="0.3">
      <c r="A837" t="s">
        <v>683</v>
      </c>
      <c r="B837">
        <v>38</v>
      </c>
      <c r="G837">
        <v>200</v>
      </c>
    </row>
    <row r="838" spans="1:9" x14ac:dyDescent="0.3">
      <c r="A838" t="s">
        <v>684</v>
      </c>
      <c r="B838">
        <v>38</v>
      </c>
      <c r="G838">
        <v>1320</v>
      </c>
    </row>
    <row r="839" spans="1:9" x14ac:dyDescent="0.3">
      <c r="A839" t="s">
        <v>685</v>
      </c>
      <c r="B839">
        <v>38</v>
      </c>
      <c r="G839">
        <v>880</v>
      </c>
    </row>
    <row r="840" spans="1:9" x14ac:dyDescent="0.3">
      <c r="A840" t="s">
        <v>686</v>
      </c>
      <c r="B840">
        <v>38</v>
      </c>
      <c r="G840">
        <v>1760</v>
      </c>
    </row>
    <row r="841" spans="1:9" x14ac:dyDescent="0.3">
      <c r="A841" t="s">
        <v>687</v>
      </c>
      <c r="B841">
        <v>38</v>
      </c>
    </row>
    <row r="842" spans="1:9" x14ac:dyDescent="0.3">
      <c r="A842" t="s">
        <v>688</v>
      </c>
      <c r="B842">
        <v>38</v>
      </c>
    </row>
    <row r="843" spans="1:9" x14ac:dyDescent="0.3">
      <c r="A843" t="s">
        <v>689</v>
      </c>
      <c r="B843">
        <v>38</v>
      </c>
    </row>
    <row r="844" spans="1:9" x14ac:dyDescent="0.3">
      <c r="A844" t="s">
        <v>690</v>
      </c>
      <c r="B844">
        <v>38</v>
      </c>
      <c r="G844" t="b">
        <v>0</v>
      </c>
    </row>
    <row r="845" spans="1:9" x14ac:dyDescent="0.3">
      <c r="A845" t="s">
        <v>691</v>
      </c>
      <c r="B845">
        <v>38</v>
      </c>
      <c r="G845" t="b">
        <v>0</v>
      </c>
    </row>
    <row r="846" spans="1:9" x14ac:dyDescent="0.3">
      <c r="A846" t="s">
        <v>677</v>
      </c>
      <c r="B846">
        <v>39</v>
      </c>
      <c r="G846">
        <v>42</v>
      </c>
      <c r="H846">
        <v>36</v>
      </c>
      <c r="I846">
        <v>43</v>
      </c>
    </row>
    <row r="847" spans="1:9" x14ac:dyDescent="0.3">
      <c r="A847" t="s">
        <v>36</v>
      </c>
      <c r="B847">
        <v>39</v>
      </c>
      <c r="G847">
        <v>3</v>
      </c>
      <c r="H847">
        <v>5</v>
      </c>
      <c r="I847">
        <v>4</v>
      </c>
    </row>
    <row r="848" spans="1:9" x14ac:dyDescent="0.3">
      <c r="A848" t="s">
        <v>503</v>
      </c>
      <c r="B848">
        <v>39</v>
      </c>
      <c r="G848" t="s">
        <v>762</v>
      </c>
      <c r="H848" t="s">
        <v>741</v>
      </c>
      <c r="I848" t="s">
        <v>741</v>
      </c>
    </row>
    <row r="849" spans="1:9" x14ac:dyDescent="0.3">
      <c r="A849" t="s">
        <v>678</v>
      </c>
      <c r="B849">
        <v>39</v>
      </c>
      <c r="G849">
        <v>610</v>
      </c>
      <c r="H849">
        <v>5039</v>
      </c>
      <c r="I849">
        <v>1361</v>
      </c>
    </row>
    <row r="850" spans="1:9" x14ac:dyDescent="0.3">
      <c r="A850" t="s">
        <v>42</v>
      </c>
      <c r="B850">
        <v>39</v>
      </c>
      <c r="G850">
        <v>45</v>
      </c>
      <c r="H850">
        <v>55</v>
      </c>
      <c r="I850">
        <v>55</v>
      </c>
    </row>
    <row r="851" spans="1:9" x14ac:dyDescent="0.3">
      <c r="A851" t="s">
        <v>679</v>
      </c>
      <c r="B851">
        <v>39</v>
      </c>
      <c r="G851">
        <v>9.1999999999999993</v>
      </c>
      <c r="H851">
        <v>62.5</v>
      </c>
      <c r="I851">
        <v>16.899999999999999</v>
      </c>
    </row>
    <row r="852" spans="1:9" x14ac:dyDescent="0.3">
      <c r="A852" t="s">
        <v>41</v>
      </c>
      <c r="B852">
        <v>39</v>
      </c>
      <c r="G852">
        <v>0</v>
      </c>
      <c r="H852">
        <v>0</v>
      </c>
      <c r="I852">
        <v>0</v>
      </c>
    </row>
    <row r="853" spans="1:9" x14ac:dyDescent="0.3">
      <c r="A853" t="s">
        <v>680</v>
      </c>
      <c r="B853">
        <v>39</v>
      </c>
      <c r="G853">
        <v>24</v>
      </c>
      <c r="H853">
        <v>24</v>
      </c>
      <c r="I853">
        <v>24</v>
      </c>
    </row>
    <row r="854" spans="1:9" x14ac:dyDescent="0.3">
      <c r="A854" t="s">
        <v>563</v>
      </c>
      <c r="B854">
        <v>39</v>
      </c>
      <c r="G854">
        <v>0</v>
      </c>
      <c r="H854">
        <v>0</v>
      </c>
      <c r="I854">
        <v>0</v>
      </c>
    </row>
    <row r="855" spans="1:9" x14ac:dyDescent="0.3">
      <c r="A855" t="s">
        <v>681</v>
      </c>
      <c r="B855">
        <v>39</v>
      </c>
      <c r="G855">
        <v>0</v>
      </c>
      <c r="H855">
        <v>0</v>
      </c>
      <c r="I855">
        <v>0</v>
      </c>
    </row>
    <row r="856" spans="1:9" x14ac:dyDescent="0.3">
      <c r="A856" t="s">
        <v>682</v>
      </c>
      <c r="B856">
        <v>39</v>
      </c>
      <c r="G856">
        <v>16</v>
      </c>
      <c r="H856">
        <v>16</v>
      </c>
      <c r="I856">
        <v>16</v>
      </c>
    </row>
    <row r="857" spans="1:9" x14ac:dyDescent="0.3">
      <c r="A857" t="s">
        <v>683</v>
      </c>
      <c r="B857">
        <v>39</v>
      </c>
      <c r="G857">
        <v>583</v>
      </c>
      <c r="H857">
        <v>583</v>
      </c>
      <c r="I857">
        <v>583</v>
      </c>
    </row>
    <row r="858" spans="1:9" x14ac:dyDescent="0.3">
      <c r="A858" t="s">
        <v>684</v>
      </c>
      <c r="B858">
        <v>39</v>
      </c>
      <c r="G858">
        <v>1980</v>
      </c>
      <c r="H858">
        <v>2421</v>
      </c>
      <c r="I858">
        <v>2421</v>
      </c>
    </row>
    <row r="859" spans="1:9" x14ac:dyDescent="0.3">
      <c r="A859" t="s">
        <v>685</v>
      </c>
      <c r="B859">
        <v>39</v>
      </c>
      <c r="G859">
        <v>1320</v>
      </c>
      <c r="H859">
        <v>1614</v>
      </c>
      <c r="I859">
        <v>1614</v>
      </c>
    </row>
    <row r="860" spans="1:9" x14ac:dyDescent="0.3">
      <c r="A860" t="s">
        <v>686</v>
      </c>
      <c r="B860">
        <v>39</v>
      </c>
      <c r="G860">
        <v>2640</v>
      </c>
      <c r="H860">
        <v>3228</v>
      </c>
      <c r="I860">
        <v>3228</v>
      </c>
    </row>
    <row r="861" spans="1:9" x14ac:dyDescent="0.3">
      <c r="A861" t="s">
        <v>687</v>
      </c>
      <c r="B861">
        <v>39</v>
      </c>
    </row>
    <row r="862" spans="1:9" x14ac:dyDescent="0.3">
      <c r="A862" t="s">
        <v>688</v>
      </c>
      <c r="B862">
        <v>39</v>
      </c>
    </row>
    <row r="863" spans="1:9" x14ac:dyDescent="0.3">
      <c r="A863" t="s">
        <v>689</v>
      </c>
      <c r="B863">
        <v>39</v>
      </c>
    </row>
    <row r="864" spans="1:9" x14ac:dyDescent="0.3">
      <c r="A864" t="s">
        <v>690</v>
      </c>
      <c r="B864">
        <v>39</v>
      </c>
      <c r="G864" t="b">
        <v>0</v>
      </c>
      <c r="H864" t="b">
        <v>0</v>
      </c>
      <c r="I864" t="b">
        <v>0</v>
      </c>
    </row>
    <row r="865" spans="1:10" x14ac:dyDescent="0.3">
      <c r="A865" t="s">
        <v>691</v>
      </c>
      <c r="B865">
        <v>39</v>
      </c>
      <c r="G865" t="b">
        <v>0</v>
      </c>
      <c r="H865" t="b">
        <v>0</v>
      </c>
      <c r="I865" t="b">
        <v>0</v>
      </c>
    </row>
    <row r="866" spans="1:10" x14ac:dyDescent="0.3">
      <c r="A866" t="s">
        <v>677</v>
      </c>
      <c r="B866">
        <v>40</v>
      </c>
      <c r="J866">
        <v>36</v>
      </c>
    </row>
    <row r="867" spans="1:10" x14ac:dyDescent="0.3">
      <c r="A867" t="s">
        <v>36</v>
      </c>
      <c r="B867">
        <v>40</v>
      </c>
      <c r="J867">
        <v>2</v>
      </c>
    </row>
    <row r="868" spans="1:10" x14ac:dyDescent="0.3">
      <c r="A868" t="s">
        <v>503</v>
      </c>
      <c r="B868">
        <v>40</v>
      </c>
      <c r="J868" t="s">
        <v>760</v>
      </c>
    </row>
    <row r="869" spans="1:10" x14ac:dyDescent="0.3">
      <c r="A869" t="s">
        <v>678</v>
      </c>
      <c r="B869">
        <v>40</v>
      </c>
      <c r="J869">
        <v>640</v>
      </c>
    </row>
    <row r="870" spans="1:10" x14ac:dyDescent="0.3">
      <c r="A870" t="s">
        <v>42</v>
      </c>
      <c r="B870">
        <v>40</v>
      </c>
      <c r="J870">
        <v>30</v>
      </c>
    </row>
    <row r="871" spans="1:10" x14ac:dyDescent="0.3">
      <c r="A871" t="s">
        <v>679</v>
      </c>
      <c r="B871">
        <v>40</v>
      </c>
      <c r="J871">
        <v>14.5</v>
      </c>
    </row>
    <row r="872" spans="1:10" x14ac:dyDescent="0.3">
      <c r="A872" t="s">
        <v>41</v>
      </c>
      <c r="B872">
        <v>40</v>
      </c>
      <c r="J872">
        <v>0</v>
      </c>
    </row>
    <row r="873" spans="1:10" x14ac:dyDescent="0.3">
      <c r="A873" t="s">
        <v>680</v>
      </c>
      <c r="B873">
        <v>40</v>
      </c>
      <c r="J873">
        <v>12</v>
      </c>
    </row>
    <row r="874" spans="1:10" x14ac:dyDescent="0.3">
      <c r="A874" t="s">
        <v>563</v>
      </c>
      <c r="B874">
        <v>40</v>
      </c>
      <c r="J874">
        <v>0</v>
      </c>
    </row>
    <row r="875" spans="1:10" x14ac:dyDescent="0.3">
      <c r="A875" t="s">
        <v>681</v>
      </c>
      <c r="B875">
        <v>40</v>
      </c>
      <c r="J875">
        <v>0</v>
      </c>
    </row>
    <row r="876" spans="1:10" x14ac:dyDescent="0.3">
      <c r="A876" t="s">
        <v>682</v>
      </c>
      <c r="B876">
        <v>40</v>
      </c>
      <c r="J876">
        <v>16</v>
      </c>
    </row>
    <row r="877" spans="1:10" x14ac:dyDescent="0.3">
      <c r="A877" t="s">
        <v>683</v>
      </c>
      <c r="B877">
        <v>40</v>
      </c>
      <c r="J877">
        <v>200</v>
      </c>
    </row>
    <row r="878" spans="1:10" x14ac:dyDescent="0.3">
      <c r="A878" t="s">
        <v>684</v>
      </c>
      <c r="B878">
        <v>40</v>
      </c>
      <c r="J878">
        <v>1320</v>
      </c>
    </row>
    <row r="879" spans="1:10" x14ac:dyDescent="0.3">
      <c r="A879" t="s">
        <v>685</v>
      </c>
      <c r="B879">
        <v>40</v>
      </c>
      <c r="J879">
        <v>880</v>
      </c>
    </row>
    <row r="880" spans="1:10" x14ac:dyDescent="0.3">
      <c r="A880" t="s">
        <v>686</v>
      </c>
      <c r="B880">
        <v>40</v>
      </c>
      <c r="J880">
        <v>1760</v>
      </c>
    </row>
    <row r="881" spans="1:10" x14ac:dyDescent="0.3">
      <c r="A881" t="s">
        <v>687</v>
      </c>
      <c r="B881">
        <v>40</v>
      </c>
    </row>
    <row r="882" spans="1:10" x14ac:dyDescent="0.3">
      <c r="A882" t="s">
        <v>688</v>
      </c>
      <c r="B882">
        <v>40</v>
      </c>
    </row>
    <row r="883" spans="1:10" x14ac:dyDescent="0.3">
      <c r="A883" t="s">
        <v>689</v>
      </c>
      <c r="B883">
        <v>40</v>
      </c>
    </row>
    <row r="884" spans="1:10" x14ac:dyDescent="0.3">
      <c r="A884" t="s">
        <v>690</v>
      </c>
      <c r="B884">
        <v>40</v>
      </c>
      <c r="J884" t="b">
        <v>0</v>
      </c>
    </row>
    <row r="885" spans="1:10" x14ac:dyDescent="0.3">
      <c r="A885" t="s">
        <v>691</v>
      </c>
      <c r="B885">
        <v>40</v>
      </c>
      <c r="J885" t="b">
        <v>0</v>
      </c>
    </row>
    <row r="886" spans="1:10" x14ac:dyDescent="0.3">
      <c r="A886" t="s">
        <v>677</v>
      </c>
      <c r="B886">
        <v>41</v>
      </c>
      <c r="G886">
        <v>36</v>
      </c>
    </row>
    <row r="887" spans="1:10" x14ac:dyDescent="0.3">
      <c r="A887" t="s">
        <v>36</v>
      </c>
      <c r="B887">
        <v>41</v>
      </c>
      <c r="G887">
        <v>2</v>
      </c>
    </row>
    <row r="888" spans="1:10" x14ac:dyDescent="0.3">
      <c r="A888" t="s">
        <v>503</v>
      </c>
      <c r="B888">
        <v>41</v>
      </c>
      <c r="G888" t="s">
        <v>761</v>
      </c>
    </row>
    <row r="889" spans="1:10" x14ac:dyDescent="0.3">
      <c r="A889" t="s">
        <v>678</v>
      </c>
      <c r="B889">
        <v>41</v>
      </c>
      <c r="G889">
        <v>378</v>
      </c>
    </row>
    <row r="890" spans="1:10" x14ac:dyDescent="0.3">
      <c r="A890" t="s">
        <v>42</v>
      </c>
      <c r="B890">
        <v>41</v>
      </c>
      <c r="G890">
        <v>35</v>
      </c>
    </row>
    <row r="891" spans="1:10" x14ac:dyDescent="0.3">
      <c r="A891" t="s">
        <v>679</v>
      </c>
      <c r="B891">
        <v>41</v>
      </c>
      <c r="G891">
        <v>7.4</v>
      </c>
    </row>
    <row r="892" spans="1:10" x14ac:dyDescent="0.3">
      <c r="A892" t="s">
        <v>41</v>
      </c>
      <c r="B892">
        <v>41</v>
      </c>
      <c r="G892">
        <v>0</v>
      </c>
    </row>
    <row r="893" spans="1:10" x14ac:dyDescent="0.3">
      <c r="A893" t="s">
        <v>680</v>
      </c>
      <c r="B893">
        <v>41</v>
      </c>
      <c r="G893">
        <v>12</v>
      </c>
    </row>
    <row r="894" spans="1:10" x14ac:dyDescent="0.3">
      <c r="A894" t="s">
        <v>563</v>
      </c>
      <c r="B894">
        <v>41</v>
      </c>
      <c r="G894">
        <v>0</v>
      </c>
    </row>
    <row r="895" spans="1:10" x14ac:dyDescent="0.3">
      <c r="A895" t="s">
        <v>681</v>
      </c>
      <c r="B895">
        <v>41</v>
      </c>
      <c r="G895">
        <v>0</v>
      </c>
    </row>
    <row r="896" spans="1:10" x14ac:dyDescent="0.3">
      <c r="A896" t="s">
        <v>682</v>
      </c>
      <c r="B896">
        <v>41</v>
      </c>
      <c r="G896">
        <v>16</v>
      </c>
    </row>
    <row r="897" spans="1:10" x14ac:dyDescent="0.3">
      <c r="A897" t="s">
        <v>683</v>
      </c>
      <c r="B897">
        <v>41</v>
      </c>
      <c r="G897">
        <v>200</v>
      </c>
    </row>
    <row r="898" spans="1:10" x14ac:dyDescent="0.3">
      <c r="A898" t="s">
        <v>684</v>
      </c>
      <c r="B898">
        <v>41</v>
      </c>
      <c r="G898">
        <v>1539</v>
      </c>
    </row>
    <row r="899" spans="1:10" x14ac:dyDescent="0.3">
      <c r="A899" t="s">
        <v>685</v>
      </c>
      <c r="B899">
        <v>41</v>
      </c>
      <c r="G899">
        <v>1026</v>
      </c>
    </row>
    <row r="900" spans="1:10" x14ac:dyDescent="0.3">
      <c r="A900" t="s">
        <v>686</v>
      </c>
      <c r="B900">
        <v>41</v>
      </c>
      <c r="G900">
        <v>2052</v>
      </c>
    </row>
    <row r="901" spans="1:10" x14ac:dyDescent="0.3">
      <c r="A901" t="s">
        <v>687</v>
      </c>
      <c r="B901">
        <v>41</v>
      </c>
    </row>
    <row r="902" spans="1:10" x14ac:dyDescent="0.3">
      <c r="A902" t="s">
        <v>688</v>
      </c>
      <c r="B902">
        <v>41</v>
      </c>
    </row>
    <row r="903" spans="1:10" x14ac:dyDescent="0.3">
      <c r="A903" t="s">
        <v>689</v>
      </c>
      <c r="B903">
        <v>41</v>
      </c>
    </row>
    <row r="904" spans="1:10" x14ac:dyDescent="0.3">
      <c r="A904" t="s">
        <v>690</v>
      </c>
      <c r="B904">
        <v>41</v>
      </c>
      <c r="G904" t="b">
        <v>0</v>
      </c>
    </row>
    <row r="905" spans="1:10" x14ac:dyDescent="0.3">
      <c r="A905" t="s">
        <v>691</v>
      </c>
      <c r="B905">
        <v>41</v>
      </c>
      <c r="G905" t="b">
        <v>0</v>
      </c>
    </row>
    <row r="906" spans="1:10" x14ac:dyDescent="0.3">
      <c r="A906" t="s">
        <v>677</v>
      </c>
      <c r="B906">
        <v>42</v>
      </c>
      <c r="J906">
        <v>39</v>
      </c>
    </row>
    <row r="907" spans="1:10" x14ac:dyDescent="0.3">
      <c r="A907" t="s">
        <v>36</v>
      </c>
      <c r="B907">
        <v>42</v>
      </c>
      <c r="J907">
        <v>2</v>
      </c>
    </row>
    <row r="908" spans="1:10" x14ac:dyDescent="0.3">
      <c r="A908" t="s">
        <v>503</v>
      </c>
      <c r="B908">
        <v>42</v>
      </c>
      <c r="J908" t="s">
        <v>762</v>
      </c>
    </row>
    <row r="909" spans="1:10" x14ac:dyDescent="0.3">
      <c r="A909" t="s">
        <v>678</v>
      </c>
      <c r="B909">
        <v>42</v>
      </c>
      <c r="J909">
        <v>610</v>
      </c>
    </row>
    <row r="910" spans="1:10" x14ac:dyDescent="0.3">
      <c r="A910" t="s">
        <v>42</v>
      </c>
      <c r="B910">
        <v>42</v>
      </c>
      <c r="J910">
        <v>30</v>
      </c>
    </row>
    <row r="911" spans="1:10" x14ac:dyDescent="0.3">
      <c r="A911" t="s">
        <v>679</v>
      </c>
      <c r="B911">
        <v>42</v>
      </c>
      <c r="J911">
        <v>13.9</v>
      </c>
    </row>
    <row r="912" spans="1:10" x14ac:dyDescent="0.3">
      <c r="A912" t="s">
        <v>41</v>
      </c>
      <c r="B912">
        <v>42</v>
      </c>
      <c r="J912">
        <v>0</v>
      </c>
    </row>
    <row r="913" spans="1:10" x14ac:dyDescent="0.3">
      <c r="A913" t="s">
        <v>680</v>
      </c>
      <c r="B913">
        <v>42</v>
      </c>
      <c r="J913">
        <v>0</v>
      </c>
    </row>
    <row r="914" spans="1:10" x14ac:dyDescent="0.3">
      <c r="A914" t="s">
        <v>563</v>
      </c>
      <c r="B914">
        <v>42</v>
      </c>
      <c r="J914">
        <v>0</v>
      </c>
    </row>
    <row r="915" spans="1:10" x14ac:dyDescent="0.3">
      <c r="A915" t="s">
        <v>681</v>
      </c>
      <c r="B915">
        <v>42</v>
      </c>
      <c r="J915">
        <v>0</v>
      </c>
    </row>
    <row r="916" spans="1:10" x14ac:dyDescent="0.3">
      <c r="A916" t="s">
        <v>682</v>
      </c>
      <c r="B916">
        <v>42</v>
      </c>
      <c r="J916">
        <v>16</v>
      </c>
    </row>
    <row r="917" spans="1:10" x14ac:dyDescent="0.3">
      <c r="A917" t="s">
        <v>683</v>
      </c>
      <c r="B917">
        <v>42</v>
      </c>
      <c r="J917">
        <v>200</v>
      </c>
    </row>
    <row r="918" spans="1:10" x14ac:dyDescent="0.3">
      <c r="A918" t="s">
        <v>684</v>
      </c>
      <c r="B918">
        <v>42</v>
      </c>
      <c r="J918">
        <v>1320</v>
      </c>
    </row>
    <row r="919" spans="1:10" x14ac:dyDescent="0.3">
      <c r="A919" t="s">
        <v>685</v>
      </c>
      <c r="B919">
        <v>42</v>
      </c>
      <c r="J919">
        <v>880</v>
      </c>
    </row>
    <row r="920" spans="1:10" x14ac:dyDescent="0.3">
      <c r="A920" t="s">
        <v>686</v>
      </c>
      <c r="B920">
        <v>42</v>
      </c>
      <c r="J920">
        <v>1760</v>
      </c>
    </row>
    <row r="921" spans="1:10" x14ac:dyDescent="0.3">
      <c r="A921" t="s">
        <v>687</v>
      </c>
      <c r="B921">
        <v>42</v>
      </c>
    </row>
    <row r="922" spans="1:10" x14ac:dyDescent="0.3">
      <c r="A922" t="s">
        <v>688</v>
      </c>
      <c r="B922">
        <v>42</v>
      </c>
    </row>
    <row r="923" spans="1:10" x14ac:dyDescent="0.3">
      <c r="A923" t="s">
        <v>689</v>
      </c>
      <c r="B923">
        <v>42</v>
      </c>
    </row>
    <row r="924" spans="1:10" x14ac:dyDescent="0.3">
      <c r="A924" t="s">
        <v>690</v>
      </c>
      <c r="B924">
        <v>42</v>
      </c>
      <c r="J924" t="b">
        <v>0</v>
      </c>
    </row>
    <row r="925" spans="1:10" x14ac:dyDescent="0.3">
      <c r="A925" t="s">
        <v>691</v>
      </c>
      <c r="B925">
        <v>42</v>
      </c>
      <c r="J925" t="b">
        <v>0</v>
      </c>
    </row>
    <row r="926" spans="1:10" x14ac:dyDescent="0.3">
      <c r="A926" t="s">
        <v>677</v>
      </c>
      <c r="B926">
        <v>43</v>
      </c>
      <c r="G926">
        <v>45</v>
      </c>
      <c r="H926">
        <v>39</v>
      </c>
      <c r="I926">
        <v>44</v>
      </c>
    </row>
    <row r="927" spans="1:10" x14ac:dyDescent="0.3">
      <c r="A927" t="s">
        <v>36</v>
      </c>
      <c r="B927">
        <v>43</v>
      </c>
      <c r="G927">
        <v>3</v>
      </c>
      <c r="H927">
        <v>5</v>
      </c>
      <c r="I927">
        <v>4</v>
      </c>
    </row>
    <row r="928" spans="1:10" x14ac:dyDescent="0.3">
      <c r="A928" t="s">
        <v>503</v>
      </c>
      <c r="B928">
        <v>43</v>
      </c>
      <c r="G928" t="s">
        <v>763</v>
      </c>
      <c r="H928" t="s">
        <v>741</v>
      </c>
      <c r="I928" t="s">
        <v>741</v>
      </c>
    </row>
    <row r="929" spans="1:9" x14ac:dyDescent="0.3">
      <c r="A929" t="s">
        <v>678</v>
      </c>
      <c r="B929">
        <v>43</v>
      </c>
      <c r="G929">
        <v>666</v>
      </c>
      <c r="H929">
        <v>1361</v>
      </c>
      <c r="I929">
        <v>2677</v>
      </c>
    </row>
    <row r="930" spans="1:9" x14ac:dyDescent="0.3">
      <c r="A930" t="s">
        <v>42</v>
      </c>
      <c r="B930">
        <v>43</v>
      </c>
      <c r="G930">
        <v>45</v>
      </c>
      <c r="H930">
        <v>55</v>
      </c>
      <c r="I930">
        <v>55</v>
      </c>
    </row>
    <row r="931" spans="1:9" x14ac:dyDescent="0.3">
      <c r="A931" t="s">
        <v>679</v>
      </c>
      <c r="B931">
        <v>43</v>
      </c>
      <c r="G931">
        <v>10.1</v>
      </c>
      <c r="H931">
        <v>16.899999999999999</v>
      </c>
      <c r="I931">
        <v>33.200000000000003</v>
      </c>
    </row>
    <row r="932" spans="1:9" x14ac:dyDescent="0.3">
      <c r="A932" t="s">
        <v>41</v>
      </c>
      <c r="B932">
        <v>43</v>
      </c>
      <c r="G932">
        <v>0</v>
      </c>
      <c r="H932">
        <v>0</v>
      </c>
      <c r="I932">
        <v>0</v>
      </c>
    </row>
    <row r="933" spans="1:9" x14ac:dyDescent="0.3">
      <c r="A933" t="s">
        <v>680</v>
      </c>
      <c r="B933">
        <v>43</v>
      </c>
      <c r="G933">
        <v>24</v>
      </c>
      <c r="H933">
        <v>24</v>
      </c>
      <c r="I933">
        <v>24</v>
      </c>
    </row>
    <row r="934" spans="1:9" x14ac:dyDescent="0.3">
      <c r="A934" t="s">
        <v>563</v>
      </c>
      <c r="B934">
        <v>43</v>
      </c>
      <c r="G934">
        <v>0</v>
      </c>
      <c r="H934">
        <v>0</v>
      </c>
      <c r="I934">
        <v>0</v>
      </c>
    </row>
    <row r="935" spans="1:9" x14ac:dyDescent="0.3">
      <c r="A935" t="s">
        <v>681</v>
      </c>
      <c r="B935">
        <v>43</v>
      </c>
      <c r="G935">
        <v>0</v>
      </c>
      <c r="H935">
        <v>0</v>
      </c>
      <c r="I935">
        <v>0</v>
      </c>
    </row>
    <row r="936" spans="1:9" x14ac:dyDescent="0.3">
      <c r="A936" t="s">
        <v>682</v>
      </c>
      <c r="B936">
        <v>43</v>
      </c>
      <c r="G936">
        <v>16</v>
      </c>
      <c r="H936">
        <v>16</v>
      </c>
      <c r="I936">
        <v>16</v>
      </c>
    </row>
    <row r="937" spans="1:9" x14ac:dyDescent="0.3">
      <c r="A937" t="s">
        <v>683</v>
      </c>
      <c r="B937">
        <v>43</v>
      </c>
      <c r="G937">
        <v>583</v>
      </c>
      <c r="H937">
        <v>583</v>
      </c>
      <c r="I937">
        <v>583</v>
      </c>
    </row>
    <row r="938" spans="1:9" x14ac:dyDescent="0.3">
      <c r="A938" t="s">
        <v>684</v>
      </c>
      <c r="B938">
        <v>43</v>
      </c>
      <c r="G938">
        <v>1980</v>
      </c>
      <c r="H938">
        <v>2421</v>
      </c>
      <c r="I938">
        <v>2421</v>
      </c>
    </row>
    <row r="939" spans="1:9" x14ac:dyDescent="0.3">
      <c r="A939" t="s">
        <v>685</v>
      </c>
      <c r="B939">
        <v>43</v>
      </c>
      <c r="G939">
        <v>1320</v>
      </c>
      <c r="H939">
        <v>1614</v>
      </c>
      <c r="I939">
        <v>1614</v>
      </c>
    </row>
    <row r="940" spans="1:9" x14ac:dyDescent="0.3">
      <c r="A940" t="s">
        <v>686</v>
      </c>
      <c r="B940">
        <v>43</v>
      </c>
      <c r="G940">
        <v>2640</v>
      </c>
      <c r="H940">
        <v>3228</v>
      </c>
      <c r="I940">
        <v>3228</v>
      </c>
    </row>
    <row r="941" spans="1:9" x14ac:dyDescent="0.3">
      <c r="A941" t="s">
        <v>687</v>
      </c>
      <c r="B941">
        <v>43</v>
      </c>
    </row>
    <row r="942" spans="1:9" x14ac:dyDescent="0.3">
      <c r="A942" t="s">
        <v>688</v>
      </c>
      <c r="B942">
        <v>43</v>
      </c>
    </row>
    <row r="943" spans="1:9" x14ac:dyDescent="0.3">
      <c r="A943" t="s">
        <v>689</v>
      </c>
      <c r="B943">
        <v>43</v>
      </c>
    </row>
    <row r="944" spans="1:9" x14ac:dyDescent="0.3">
      <c r="A944" t="s">
        <v>690</v>
      </c>
      <c r="B944">
        <v>43</v>
      </c>
      <c r="G944" t="b">
        <v>0</v>
      </c>
      <c r="H944" t="b">
        <v>0</v>
      </c>
      <c r="I944" t="b">
        <v>0</v>
      </c>
    </row>
    <row r="945" spans="1:10" x14ac:dyDescent="0.3">
      <c r="A945" t="s">
        <v>691</v>
      </c>
      <c r="B945">
        <v>43</v>
      </c>
      <c r="G945" t="b">
        <v>0</v>
      </c>
      <c r="H945" t="b">
        <v>0</v>
      </c>
      <c r="I945" t="b">
        <v>0</v>
      </c>
    </row>
    <row r="946" spans="1:10" x14ac:dyDescent="0.3">
      <c r="A946" t="s">
        <v>677</v>
      </c>
      <c r="B946">
        <v>44</v>
      </c>
      <c r="G946">
        <v>51</v>
      </c>
      <c r="H946">
        <v>43</v>
      </c>
      <c r="I946">
        <v>52</v>
      </c>
      <c r="J946">
        <v>53</v>
      </c>
    </row>
    <row r="947" spans="1:10" x14ac:dyDescent="0.3">
      <c r="A947" t="s">
        <v>36</v>
      </c>
      <c r="B947">
        <v>44</v>
      </c>
      <c r="G947">
        <v>2</v>
      </c>
      <c r="H947">
        <v>4</v>
      </c>
      <c r="I947">
        <v>3</v>
      </c>
      <c r="J947">
        <v>4</v>
      </c>
    </row>
    <row r="948" spans="1:10" x14ac:dyDescent="0.3">
      <c r="A948" t="s">
        <v>503</v>
      </c>
      <c r="B948">
        <v>44</v>
      </c>
      <c r="G948" t="s">
        <v>764</v>
      </c>
      <c r="H948" t="s">
        <v>741</v>
      </c>
      <c r="I948" t="s">
        <v>741</v>
      </c>
      <c r="J948" t="s">
        <v>764</v>
      </c>
    </row>
    <row r="949" spans="1:10" x14ac:dyDescent="0.3">
      <c r="A949" t="s">
        <v>678</v>
      </c>
      <c r="B949">
        <v>44</v>
      </c>
      <c r="G949">
        <v>385</v>
      </c>
      <c r="H949">
        <v>2677</v>
      </c>
      <c r="I949">
        <v>809</v>
      </c>
      <c r="J949">
        <v>601</v>
      </c>
    </row>
    <row r="950" spans="1:10" x14ac:dyDescent="0.3">
      <c r="A950" t="s">
        <v>42</v>
      </c>
      <c r="B950">
        <v>44</v>
      </c>
      <c r="G950">
        <v>30</v>
      </c>
      <c r="H950">
        <v>55</v>
      </c>
      <c r="I950">
        <v>55</v>
      </c>
      <c r="J950">
        <v>45</v>
      </c>
    </row>
    <row r="951" spans="1:10" x14ac:dyDescent="0.3">
      <c r="A951" t="s">
        <v>679</v>
      </c>
      <c r="B951">
        <v>44</v>
      </c>
      <c r="G951">
        <v>8.8000000000000007</v>
      </c>
      <c r="H951">
        <v>33.200000000000003</v>
      </c>
      <c r="I951">
        <v>10</v>
      </c>
      <c r="J951">
        <v>9.1</v>
      </c>
    </row>
    <row r="952" spans="1:10" x14ac:dyDescent="0.3">
      <c r="A952" t="s">
        <v>41</v>
      </c>
      <c r="B952">
        <v>44</v>
      </c>
      <c r="G952">
        <v>0</v>
      </c>
      <c r="H952">
        <v>0</v>
      </c>
      <c r="I952">
        <v>0</v>
      </c>
      <c r="J952">
        <v>0</v>
      </c>
    </row>
    <row r="953" spans="1:10" x14ac:dyDescent="0.3">
      <c r="A953" t="s">
        <v>680</v>
      </c>
      <c r="B953">
        <v>44</v>
      </c>
      <c r="G953">
        <v>24</v>
      </c>
      <c r="H953">
        <v>12</v>
      </c>
      <c r="I953">
        <v>12</v>
      </c>
      <c r="J953">
        <v>24</v>
      </c>
    </row>
    <row r="954" spans="1:10" x14ac:dyDescent="0.3">
      <c r="A954" t="s">
        <v>563</v>
      </c>
      <c r="B954">
        <v>44</v>
      </c>
      <c r="G954">
        <v>0</v>
      </c>
      <c r="H954">
        <v>0</v>
      </c>
      <c r="I954">
        <v>0</v>
      </c>
      <c r="J954">
        <v>0</v>
      </c>
    </row>
    <row r="955" spans="1:10" x14ac:dyDescent="0.3">
      <c r="A955" t="s">
        <v>681</v>
      </c>
      <c r="B955">
        <v>44</v>
      </c>
      <c r="G955">
        <v>0</v>
      </c>
      <c r="H955">
        <v>0</v>
      </c>
      <c r="I955">
        <v>0</v>
      </c>
      <c r="J955">
        <v>0</v>
      </c>
    </row>
    <row r="956" spans="1:10" x14ac:dyDescent="0.3">
      <c r="A956" t="s">
        <v>682</v>
      </c>
      <c r="B956">
        <v>44</v>
      </c>
      <c r="G956">
        <v>16</v>
      </c>
      <c r="H956">
        <v>16</v>
      </c>
      <c r="I956">
        <v>16</v>
      </c>
      <c r="J956">
        <v>16</v>
      </c>
    </row>
    <row r="957" spans="1:10" x14ac:dyDescent="0.3">
      <c r="A957" t="s">
        <v>683</v>
      </c>
      <c r="B957">
        <v>44</v>
      </c>
      <c r="G957">
        <v>708</v>
      </c>
      <c r="H957">
        <v>708</v>
      </c>
      <c r="I957">
        <v>708</v>
      </c>
      <c r="J957">
        <v>708</v>
      </c>
    </row>
    <row r="958" spans="1:10" x14ac:dyDescent="0.3">
      <c r="A958" t="s">
        <v>684</v>
      </c>
      <c r="B958">
        <v>44</v>
      </c>
      <c r="G958">
        <v>1320</v>
      </c>
      <c r="H958">
        <v>2421</v>
      </c>
      <c r="I958">
        <v>2421</v>
      </c>
      <c r="J958">
        <v>1980</v>
      </c>
    </row>
    <row r="959" spans="1:10" x14ac:dyDescent="0.3">
      <c r="A959" t="s">
        <v>685</v>
      </c>
      <c r="B959">
        <v>44</v>
      </c>
      <c r="G959">
        <v>880</v>
      </c>
      <c r="H959">
        <v>1614</v>
      </c>
      <c r="I959">
        <v>1614</v>
      </c>
      <c r="J959">
        <v>1320</v>
      </c>
    </row>
    <row r="960" spans="1:10" x14ac:dyDescent="0.3">
      <c r="A960" t="s">
        <v>686</v>
      </c>
      <c r="B960">
        <v>44</v>
      </c>
      <c r="G960">
        <v>1760</v>
      </c>
      <c r="H960">
        <v>3228</v>
      </c>
      <c r="I960">
        <v>3228</v>
      </c>
      <c r="J960">
        <v>2640</v>
      </c>
    </row>
    <row r="961" spans="1:10" x14ac:dyDescent="0.3">
      <c r="A961" t="s">
        <v>687</v>
      </c>
      <c r="B961">
        <v>44</v>
      </c>
    </row>
    <row r="962" spans="1:10" x14ac:dyDescent="0.3">
      <c r="A962" t="s">
        <v>688</v>
      </c>
      <c r="B962">
        <v>44</v>
      </c>
    </row>
    <row r="963" spans="1:10" x14ac:dyDescent="0.3">
      <c r="A963" t="s">
        <v>689</v>
      </c>
      <c r="B963">
        <v>44</v>
      </c>
    </row>
    <row r="964" spans="1:10" x14ac:dyDescent="0.3">
      <c r="A964" t="s">
        <v>690</v>
      </c>
      <c r="B964">
        <v>44</v>
      </c>
      <c r="G964" t="b">
        <v>0</v>
      </c>
      <c r="H964" t="b">
        <v>0</v>
      </c>
      <c r="I964" t="b">
        <v>0</v>
      </c>
      <c r="J964" t="b">
        <v>0</v>
      </c>
    </row>
    <row r="965" spans="1:10" x14ac:dyDescent="0.3">
      <c r="A965" t="s">
        <v>691</v>
      </c>
      <c r="B965">
        <v>44</v>
      </c>
      <c r="G965" t="b">
        <v>0</v>
      </c>
      <c r="H965" t="b">
        <v>0</v>
      </c>
      <c r="I965" t="b">
        <v>0</v>
      </c>
      <c r="J965" t="b">
        <v>0</v>
      </c>
    </row>
    <row r="966" spans="1:10" x14ac:dyDescent="0.3">
      <c r="A966" t="s">
        <v>677</v>
      </c>
      <c r="B966">
        <v>45</v>
      </c>
      <c r="J966">
        <v>43</v>
      </c>
    </row>
    <row r="967" spans="1:10" x14ac:dyDescent="0.3">
      <c r="A967" t="s">
        <v>36</v>
      </c>
      <c r="B967">
        <v>45</v>
      </c>
      <c r="J967">
        <v>2</v>
      </c>
    </row>
    <row r="968" spans="1:10" x14ac:dyDescent="0.3">
      <c r="A968" t="s">
        <v>503</v>
      </c>
      <c r="B968">
        <v>45</v>
      </c>
      <c r="J968" t="s">
        <v>763</v>
      </c>
    </row>
    <row r="969" spans="1:10" x14ac:dyDescent="0.3">
      <c r="A969" t="s">
        <v>678</v>
      </c>
      <c r="B969">
        <v>45</v>
      </c>
      <c r="J969">
        <v>666</v>
      </c>
    </row>
    <row r="970" spans="1:10" x14ac:dyDescent="0.3">
      <c r="A970" t="s">
        <v>42</v>
      </c>
      <c r="B970">
        <v>45</v>
      </c>
      <c r="J970">
        <v>30</v>
      </c>
    </row>
    <row r="971" spans="1:10" x14ac:dyDescent="0.3">
      <c r="A971" t="s">
        <v>679</v>
      </c>
      <c r="B971">
        <v>45</v>
      </c>
      <c r="J971">
        <v>15.1</v>
      </c>
    </row>
    <row r="972" spans="1:10" x14ac:dyDescent="0.3">
      <c r="A972" t="s">
        <v>41</v>
      </c>
      <c r="B972">
        <v>45</v>
      </c>
      <c r="J972">
        <v>0</v>
      </c>
    </row>
    <row r="973" spans="1:10" x14ac:dyDescent="0.3">
      <c r="A973" t="s">
        <v>680</v>
      </c>
      <c r="B973">
        <v>45</v>
      </c>
      <c r="J973">
        <v>0</v>
      </c>
    </row>
    <row r="974" spans="1:10" x14ac:dyDescent="0.3">
      <c r="A974" t="s">
        <v>563</v>
      </c>
      <c r="B974">
        <v>45</v>
      </c>
      <c r="J974">
        <v>0</v>
      </c>
    </row>
    <row r="975" spans="1:10" x14ac:dyDescent="0.3">
      <c r="A975" t="s">
        <v>681</v>
      </c>
      <c r="B975">
        <v>45</v>
      </c>
      <c r="J975">
        <v>0</v>
      </c>
    </row>
    <row r="976" spans="1:10" x14ac:dyDescent="0.3">
      <c r="A976" t="s">
        <v>682</v>
      </c>
      <c r="B976">
        <v>45</v>
      </c>
      <c r="J976">
        <v>16</v>
      </c>
    </row>
    <row r="977" spans="1:10" x14ac:dyDescent="0.3">
      <c r="A977" t="s">
        <v>683</v>
      </c>
      <c r="B977">
        <v>45</v>
      </c>
      <c r="J977">
        <v>200</v>
      </c>
    </row>
    <row r="978" spans="1:10" x14ac:dyDescent="0.3">
      <c r="A978" t="s">
        <v>684</v>
      </c>
      <c r="B978">
        <v>45</v>
      </c>
      <c r="J978">
        <v>1320</v>
      </c>
    </row>
    <row r="979" spans="1:10" x14ac:dyDescent="0.3">
      <c r="A979" t="s">
        <v>685</v>
      </c>
      <c r="B979">
        <v>45</v>
      </c>
      <c r="J979">
        <v>880</v>
      </c>
    </row>
    <row r="980" spans="1:10" x14ac:dyDescent="0.3">
      <c r="A980" t="s">
        <v>686</v>
      </c>
      <c r="B980">
        <v>45</v>
      </c>
      <c r="J980">
        <v>1760</v>
      </c>
    </row>
    <row r="981" spans="1:10" x14ac:dyDescent="0.3">
      <c r="A981" t="s">
        <v>687</v>
      </c>
      <c r="B981">
        <v>45</v>
      </c>
    </row>
    <row r="982" spans="1:10" x14ac:dyDescent="0.3">
      <c r="A982" t="s">
        <v>688</v>
      </c>
      <c r="B982">
        <v>45</v>
      </c>
    </row>
    <row r="983" spans="1:10" x14ac:dyDescent="0.3">
      <c r="A983" t="s">
        <v>689</v>
      </c>
      <c r="B983">
        <v>45</v>
      </c>
    </row>
    <row r="984" spans="1:10" x14ac:dyDescent="0.3">
      <c r="A984" t="s">
        <v>690</v>
      </c>
      <c r="B984">
        <v>45</v>
      </c>
      <c r="J984" t="b">
        <v>0</v>
      </c>
    </row>
    <row r="985" spans="1:10" x14ac:dyDescent="0.3">
      <c r="A985" t="s">
        <v>691</v>
      </c>
      <c r="B985">
        <v>45</v>
      </c>
      <c r="J985" t="b">
        <v>0</v>
      </c>
    </row>
    <row r="986" spans="1:10" x14ac:dyDescent="0.3">
      <c r="A986" t="s">
        <v>677</v>
      </c>
      <c r="B986">
        <v>46</v>
      </c>
      <c r="G986">
        <v>47</v>
      </c>
      <c r="H986">
        <v>21</v>
      </c>
      <c r="I986">
        <v>28</v>
      </c>
    </row>
    <row r="987" spans="1:10" x14ac:dyDescent="0.3">
      <c r="A987" t="s">
        <v>36</v>
      </c>
      <c r="B987">
        <v>46</v>
      </c>
      <c r="G987">
        <v>3</v>
      </c>
      <c r="H987">
        <v>4</v>
      </c>
      <c r="I987">
        <v>4</v>
      </c>
    </row>
    <row r="988" spans="1:10" x14ac:dyDescent="0.3">
      <c r="A988" t="s">
        <v>503</v>
      </c>
      <c r="B988">
        <v>46</v>
      </c>
      <c r="G988" t="s">
        <v>765</v>
      </c>
      <c r="H988" t="s">
        <v>741</v>
      </c>
      <c r="I988" t="s">
        <v>741</v>
      </c>
    </row>
    <row r="989" spans="1:10" x14ac:dyDescent="0.3">
      <c r="A989" t="s">
        <v>678</v>
      </c>
      <c r="B989">
        <v>46</v>
      </c>
      <c r="G989">
        <v>276</v>
      </c>
      <c r="H989">
        <v>906</v>
      </c>
      <c r="I989">
        <v>1161</v>
      </c>
    </row>
    <row r="990" spans="1:10" x14ac:dyDescent="0.3">
      <c r="A990" t="s">
        <v>42</v>
      </c>
      <c r="B990">
        <v>46</v>
      </c>
      <c r="G990">
        <v>25</v>
      </c>
      <c r="H990">
        <v>45</v>
      </c>
      <c r="I990">
        <v>45</v>
      </c>
    </row>
    <row r="991" spans="1:10" x14ac:dyDescent="0.3">
      <c r="A991" t="s">
        <v>679</v>
      </c>
      <c r="B991">
        <v>46</v>
      </c>
      <c r="G991">
        <v>7.5</v>
      </c>
      <c r="H991">
        <v>13.7</v>
      </c>
      <c r="I991">
        <v>17.600000000000001</v>
      </c>
    </row>
    <row r="992" spans="1:10" x14ac:dyDescent="0.3">
      <c r="A992" t="s">
        <v>41</v>
      </c>
      <c r="B992">
        <v>46</v>
      </c>
      <c r="G992">
        <v>0</v>
      </c>
      <c r="H992">
        <v>0</v>
      </c>
      <c r="I992">
        <v>0</v>
      </c>
    </row>
    <row r="993" spans="1:10" x14ac:dyDescent="0.3">
      <c r="A993" t="s">
        <v>680</v>
      </c>
      <c r="B993">
        <v>46</v>
      </c>
      <c r="G993">
        <v>24</v>
      </c>
      <c r="H993">
        <v>24</v>
      </c>
      <c r="I993">
        <v>24</v>
      </c>
    </row>
    <row r="994" spans="1:10" x14ac:dyDescent="0.3">
      <c r="A994" t="s">
        <v>563</v>
      </c>
      <c r="B994">
        <v>46</v>
      </c>
      <c r="G994">
        <v>0</v>
      </c>
      <c r="H994">
        <v>0</v>
      </c>
      <c r="I994">
        <v>0</v>
      </c>
    </row>
    <row r="995" spans="1:10" x14ac:dyDescent="0.3">
      <c r="A995" t="s">
        <v>681</v>
      </c>
      <c r="B995">
        <v>46</v>
      </c>
      <c r="G995">
        <v>0</v>
      </c>
      <c r="H995">
        <v>0</v>
      </c>
      <c r="I995">
        <v>0</v>
      </c>
    </row>
    <row r="996" spans="1:10" x14ac:dyDescent="0.3">
      <c r="A996" t="s">
        <v>682</v>
      </c>
      <c r="B996">
        <v>46</v>
      </c>
      <c r="G996">
        <v>16</v>
      </c>
      <c r="H996">
        <v>16</v>
      </c>
      <c r="I996">
        <v>16</v>
      </c>
    </row>
    <row r="997" spans="1:10" x14ac:dyDescent="0.3">
      <c r="A997" t="s">
        <v>683</v>
      </c>
      <c r="B997">
        <v>46</v>
      </c>
      <c r="G997">
        <v>583</v>
      </c>
      <c r="H997">
        <v>583</v>
      </c>
      <c r="I997">
        <v>583</v>
      </c>
    </row>
    <row r="998" spans="1:10" x14ac:dyDescent="0.3">
      <c r="A998" t="s">
        <v>684</v>
      </c>
      <c r="B998">
        <v>46</v>
      </c>
      <c r="G998">
        <v>1101</v>
      </c>
      <c r="H998">
        <v>1980</v>
      </c>
      <c r="I998">
        <v>1980</v>
      </c>
    </row>
    <row r="999" spans="1:10" x14ac:dyDescent="0.3">
      <c r="A999" t="s">
        <v>685</v>
      </c>
      <c r="B999">
        <v>46</v>
      </c>
      <c r="G999">
        <v>734</v>
      </c>
      <c r="H999">
        <v>1320</v>
      </c>
      <c r="I999">
        <v>1320</v>
      </c>
    </row>
    <row r="1000" spans="1:10" x14ac:dyDescent="0.3">
      <c r="A1000" t="s">
        <v>686</v>
      </c>
      <c r="B1000">
        <v>46</v>
      </c>
      <c r="G1000">
        <v>1468</v>
      </c>
      <c r="H1000">
        <v>2640</v>
      </c>
      <c r="I1000">
        <v>2640</v>
      </c>
    </row>
    <row r="1001" spans="1:10" x14ac:dyDescent="0.3">
      <c r="A1001" t="s">
        <v>687</v>
      </c>
      <c r="B1001">
        <v>46</v>
      </c>
    </row>
    <row r="1002" spans="1:10" x14ac:dyDescent="0.3">
      <c r="A1002" t="s">
        <v>688</v>
      </c>
      <c r="B1002">
        <v>46</v>
      </c>
    </row>
    <row r="1003" spans="1:10" x14ac:dyDescent="0.3">
      <c r="A1003" t="s">
        <v>689</v>
      </c>
      <c r="B1003">
        <v>46</v>
      </c>
    </row>
    <row r="1004" spans="1:10" x14ac:dyDescent="0.3">
      <c r="A1004" t="s">
        <v>690</v>
      </c>
      <c r="B1004">
        <v>46</v>
      </c>
      <c r="G1004" t="b">
        <v>0</v>
      </c>
      <c r="H1004" t="b">
        <v>0</v>
      </c>
      <c r="I1004" t="b">
        <v>0</v>
      </c>
    </row>
    <row r="1005" spans="1:10" x14ac:dyDescent="0.3">
      <c r="A1005" t="s">
        <v>691</v>
      </c>
      <c r="B1005">
        <v>46</v>
      </c>
      <c r="G1005" t="b">
        <v>0</v>
      </c>
      <c r="H1005" t="b">
        <v>0</v>
      </c>
      <c r="I1005" t="b">
        <v>0</v>
      </c>
    </row>
    <row r="1006" spans="1:10" x14ac:dyDescent="0.3">
      <c r="A1006" t="s">
        <v>677</v>
      </c>
      <c r="B1006">
        <v>47</v>
      </c>
      <c r="J1006">
        <v>46</v>
      </c>
    </row>
    <row r="1007" spans="1:10" x14ac:dyDescent="0.3">
      <c r="A1007" t="s">
        <v>36</v>
      </c>
      <c r="B1007">
        <v>47</v>
      </c>
      <c r="J1007" t="s">
        <v>692</v>
      </c>
    </row>
    <row r="1008" spans="1:10" x14ac:dyDescent="0.3">
      <c r="A1008" t="s">
        <v>503</v>
      </c>
      <c r="B1008">
        <v>47</v>
      </c>
      <c r="J1008" t="s">
        <v>765</v>
      </c>
    </row>
    <row r="1009" spans="1:10" x14ac:dyDescent="0.3">
      <c r="A1009" t="s">
        <v>678</v>
      </c>
      <c r="B1009">
        <v>47</v>
      </c>
      <c r="J1009">
        <v>276</v>
      </c>
    </row>
    <row r="1010" spans="1:10" x14ac:dyDescent="0.3">
      <c r="A1010" t="s">
        <v>42</v>
      </c>
      <c r="B1010">
        <v>47</v>
      </c>
      <c r="J1010">
        <v>30</v>
      </c>
    </row>
    <row r="1011" spans="1:10" x14ac:dyDescent="0.3">
      <c r="A1011" t="s">
        <v>679</v>
      </c>
      <c r="B1011">
        <v>47</v>
      </c>
      <c r="J1011">
        <v>6.3</v>
      </c>
    </row>
    <row r="1012" spans="1:10" x14ac:dyDescent="0.3">
      <c r="A1012" t="s">
        <v>41</v>
      </c>
      <c r="B1012">
        <v>47</v>
      </c>
      <c r="J1012">
        <v>0</v>
      </c>
    </row>
    <row r="1013" spans="1:10" x14ac:dyDescent="0.3">
      <c r="A1013" t="s">
        <v>680</v>
      </c>
      <c r="B1013">
        <v>47</v>
      </c>
      <c r="J1013">
        <v>0</v>
      </c>
    </row>
    <row r="1014" spans="1:10" x14ac:dyDescent="0.3">
      <c r="A1014" t="s">
        <v>563</v>
      </c>
      <c r="B1014">
        <v>47</v>
      </c>
      <c r="J1014">
        <v>0</v>
      </c>
    </row>
    <row r="1015" spans="1:10" x14ac:dyDescent="0.3">
      <c r="A1015" t="s">
        <v>681</v>
      </c>
      <c r="B1015">
        <v>47</v>
      </c>
      <c r="J1015">
        <v>0</v>
      </c>
    </row>
    <row r="1016" spans="1:10" x14ac:dyDescent="0.3">
      <c r="A1016" t="s">
        <v>682</v>
      </c>
      <c r="B1016">
        <v>47</v>
      </c>
      <c r="J1016">
        <v>16</v>
      </c>
    </row>
    <row r="1017" spans="1:10" x14ac:dyDescent="0.3">
      <c r="A1017" t="s">
        <v>683</v>
      </c>
      <c r="B1017">
        <v>47</v>
      </c>
      <c r="J1017">
        <v>200</v>
      </c>
    </row>
    <row r="1018" spans="1:10" x14ac:dyDescent="0.3">
      <c r="A1018" t="s">
        <v>684</v>
      </c>
      <c r="B1018">
        <v>47</v>
      </c>
      <c r="J1018">
        <v>1320</v>
      </c>
    </row>
    <row r="1019" spans="1:10" x14ac:dyDescent="0.3">
      <c r="A1019" t="s">
        <v>685</v>
      </c>
      <c r="B1019">
        <v>47</v>
      </c>
      <c r="J1019">
        <v>880</v>
      </c>
    </row>
    <row r="1020" spans="1:10" x14ac:dyDescent="0.3">
      <c r="A1020" t="s">
        <v>686</v>
      </c>
      <c r="B1020">
        <v>47</v>
      </c>
      <c r="J1020">
        <v>1760</v>
      </c>
    </row>
    <row r="1021" spans="1:10" x14ac:dyDescent="0.3">
      <c r="A1021" t="s">
        <v>687</v>
      </c>
      <c r="B1021">
        <v>47</v>
      </c>
    </row>
    <row r="1022" spans="1:10" x14ac:dyDescent="0.3">
      <c r="A1022" t="s">
        <v>688</v>
      </c>
      <c r="B1022">
        <v>47</v>
      </c>
    </row>
    <row r="1023" spans="1:10" x14ac:dyDescent="0.3">
      <c r="A1023" t="s">
        <v>689</v>
      </c>
      <c r="B1023">
        <v>47</v>
      </c>
    </row>
    <row r="1024" spans="1:10" x14ac:dyDescent="0.3">
      <c r="A1024" t="s">
        <v>690</v>
      </c>
      <c r="B1024">
        <v>47</v>
      </c>
      <c r="J1024" t="b">
        <v>0</v>
      </c>
    </row>
    <row r="1025" spans="1:10" x14ac:dyDescent="0.3">
      <c r="A1025" t="s">
        <v>691</v>
      </c>
      <c r="B1025">
        <v>47</v>
      </c>
      <c r="J1025" t="b">
        <v>0</v>
      </c>
    </row>
    <row r="1026" spans="1:10" x14ac:dyDescent="0.3">
      <c r="A1026" t="s">
        <v>677</v>
      </c>
      <c r="B1026">
        <v>48</v>
      </c>
      <c r="D1026">
        <v>25</v>
      </c>
    </row>
    <row r="1027" spans="1:10" x14ac:dyDescent="0.3">
      <c r="A1027" t="s">
        <v>36</v>
      </c>
      <c r="B1027">
        <v>48</v>
      </c>
      <c r="D1027">
        <v>1</v>
      </c>
    </row>
    <row r="1028" spans="1:10" x14ac:dyDescent="0.3">
      <c r="A1028" t="s">
        <v>503</v>
      </c>
      <c r="B1028">
        <v>48</v>
      </c>
      <c r="D1028" t="s">
        <v>753</v>
      </c>
    </row>
    <row r="1029" spans="1:10" x14ac:dyDescent="0.3">
      <c r="A1029" t="s">
        <v>678</v>
      </c>
      <c r="B1029">
        <v>48</v>
      </c>
      <c r="D1029">
        <v>656</v>
      </c>
    </row>
    <row r="1030" spans="1:10" x14ac:dyDescent="0.3">
      <c r="A1030" t="s">
        <v>42</v>
      </c>
      <c r="B1030">
        <v>48</v>
      </c>
      <c r="D1030">
        <v>30</v>
      </c>
    </row>
    <row r="1031" spans="1:10" x14ac:dyDescent="0.3">
      <c r="A1031" t="s">
        <v>679</v>
      </c>
      <c r="B1031">
        <v>48</v>
      </c>
      <c r="D1031">
        <v>14.9</v>
      </c>
    </row>
    <row r="1032" spans="1:10" x14ac:dyDescent="0.3">
      <c r="A1032" t="s">
        <v>41</v>
      </c>
      <c r="B1032">
        <v>48</v>
      </c>
      <c r="D1032">
        <v>0</v>
      </c>
    </row>
    <row r="1033" spans="1:10" x14ac:dyDescent="0.3">
      <c r="A1033" t="s">
        <v>680</v>
      </c>
      <c r="B1033">
        <v>48</v>
      </c>
      <c r="D1033">
        <v>0</v>
      </c>
    </row>
    <row r="1034" spans="1:10" x14ac:dyDescent="0.3">
      <c r="A1034" t="s">
        <v>563</v>
      </c>
      <c r="B1034">
        <v>48</v>
      </c>
      <c r="D1034">
        <v>0</v>
      </c>
    </row>
    <row r="1035" spans="1:10" x14ac:dyDescent="0.3">
      <c r="A1035" t="s">
        <v>681</v>
      </c>
      <c r="B1035">
        <v>48</v>
      </c>
      <c r="D1035">
        <v>0</v>
      </c>
    </row>
    <row r="1036" spans="1:10" x14ac:dyDescent="0.3">
      <c r="A1036" t="s">
        <v>682</v>
      </c>
      <c r="B1036">
        <v>48</v>
      </c>
      <c r="D1036">
        <v>16</v>
      </c>
    </row>
    <row r="1037" spans="1:10" x14ac:dyDescent="0.3">
      <c r="A1037" t="s">
        <v>683</v>
      </c>
      <c r="B1037">
        <v>48</v>
      </c>
      <c r="D1037">
        <v>200</v>
      </c>
    </row>
    <row r="1038" spans="1:10" x14ac:dyDescent="0.3">
      <c r="A1038" t="s">
        <v>684</v>
      </c>
      <c r="B1038">
        <v>48</v>
      </c>
      <c r="D1038">
        <v>1320</v>
      </c>
    </row>
    <row r="1039" spans="1:10" x14ac:dyDescent="0.3">
      <c r="A1039" t="s">
        <v>685</v>
      </c>
      <c r="B1039">
        <v>48</v>
      </c>
      <c r="D1039">
        <v>880</v>
      </c>
    </row>
    <row r="1040" spans="1:10" x14ac:dyDescent="0.3">
      <c r="A1040" t="s">
        <v>686</v>
      </c>
      <c r="B1040">
        <v>48</v>
      </c>
      <c r="D1040">
        <v>1760</v>
      </c>
    </row>
    <row r="1041" spans="1:9" x14ac:dyDescent="0.3">
      <c r="A1041" t="s">
        <v>687</v>
      </c>
      <c r="B1041">
        <v>48</v>
      </c>
    </row>
    <row r="1042" spans="1:9" x14ac:dyDescent="0.3">
      <c r="A1042" t="s">
        <v>688</v>
      </c>
      <c r="B1042">
        <v>48</v>
      </c>
    </row>
    <row r="1043" spans="1:9" x14ac:dyDescent="0.3">
      <c r="A1043" t="s">
        <v>689</v>
      </c>
      <c r="B1043">
        <v>48</v>
      </c>
    </row>
    <row r="1044" spans="1:9" x14ac:dyDescent="0.3">
      <c r="A1044" t="s">
        <v>690</v>
      </c>
      <c r="B1044">
        <v>48</v>
      </c>
      <c r="D1044" t="b">
        <v>0</v>
      </c>
    </row>
    <row r="1045" spans="1:9" x14ac:dyDescent="0.3">
      <c r="A1045" t="s">
        <v>691</v>
      </c>
      <c r="B1045">
        <v>48</v>
      </c>
      <c r="D1045" t="b">
        <v>0</v>
      </c>
    </row>
    <row r="1046" spans="1:9" x14ac:dyDescent="0.3">
      <c r="A1046" t="s">
        <v>677</v>
      </c>
      <c r="B1046">
        <v>49</v>
      </c>
      <c r="G1046">
        <v>50</v>
      </c>
      <c r="H1046">
        <v>13</v>
      </c>
      <c r="I1046">
        <v>17</v>
      </c>
    </row>
    <row r="1047" spans="1:9" x14ac:dyDescent="0.3">
      <c r="A1047" t="s">
        <v>36</v>
      </c>
      <c r="B1047">
        <v>49</v>
      </c>
      <c r="G1047">
        <v>2</v>
      </c>
      <c r="H1047">
        <v>4</v>
      </c>
      <c r="I1047">
        <v>3</v>
      </c>
    </row>
    <row r="1048" spans="1:9" x14ac:dyDescent="0.3">
      <c r="A1048" t="s">
        <v>503</v>
      </c>
      <c r="B1048">
        <v>49</v>
      </c>
      <c r="G1048" t="s">
        <v>766</v>
      </c>
      <c r="H1048" t="s">
        <v>741</v>
      </c>
      <c r="I1048" t="s">
        <v>741</v>
      </c>
    </row>
    <row r="1049" spans="1:9" x14ac:dyDescent="0.3">
      <c r="A1049" t="s">
        <v>678</v>
      </c>
      <c r="B1049">
        <v>49</v>
      </c>
      <c r="G1049">
        <v>299</v>
      </c>
      <c r="H1049">
        <v>2934</v>
      </c>
      <c r="I1049">
        <v>4063</v>
      </c>
    </row>
    <row r="1050" spans="1:9" x14ac:dyDescent="0.3">
      <c r="A1050" t="s">
        <v>42</v>
      </c>
      <c r="B1050">
        <v>49</v>
      </c>
      <c r="G1050">
        <v>30</v>
      </c>
      <c r="H1050">
        <v>45</v>
      </c>
      <c r="I1050">
        <v>45</v>
      </c>
    </row>
    <row r="1051" spans="1:9" x14ac:dyDescent="0.3">
      <c r="A1051" t="s">
        <v>679</v>
      </c>
      <c r="B1051">
        <v>49</v>
      </c>
      <c r="G1051">
        <v>6.8</v>
      </c>
      <c r="H1051">
        <v>44.5</v>
      </c>
      <c r="I1051">
        <v>61.6</v>
      </c>
    </row>
    <row r="1052" spans="1:9" x14ac:dyDescent="0.3">
      <c r="A1052" t="s">
        <v>41</v>
      </c>
      <c r="B1052">
        <v>49</v>
      </c>
      <c r="G1052">
        <v>0</v>
      </c>
      <c r="H1052">
        <v>0</v>
      </c>
      <c r="I1052">
        <v>0</v>
      </c>
    </row>
    <row r="1053" spans="1:9" x14ac:dyDescent="0.3">
      <c r="A1053" t="s">
        <v>680</v>
      </c>
      <c r="B1053">
        <v>49</v>
      </c>
      <c r="G1053">
        <v>12</v>
      </c>
      <c r="H1053">
        <v>24</v>
      </c>
      <c r="I1053">
        <v>24</v>
      </c>
    </row>
    <row r="1054" spans="1:9" x14ac:dyDescent="0.3">
      <c r="A1054" t="s">
        <v>563</v>
      </c>
      <c r="B1054">
        <v>49</v>
      </c>
      <c r="G1054">
        <v>0</v>
      </c>
      <c r="H1054">
        <v>0</v>
      </c>
      <c r="I1054">
        <v>0</v>
      </c>
    </row>
    <row r="1055" spans="1:9" x14ac:dyDescent="0.3">
      <c r="A1055" t="s">
        <v>681</v>
      </c>
      <c r="B1055">
        <v>49</v>
      </c>
      <c r="G1055">
        <v>0</v>
      </c>
      <c r="H1055">
        <v>0</v>
      </c>
      <c r="I1055">
        <v>0</v>
      </c>
    </row>
    <row r="1056" spans="1:9" x14ac:dyDescent="0.3">
      <c r="A1056" t="s">
        <v>682</v>
      </c>
      <c r="B1056">
        <v>49</v>
      </c>
      <c r="G1056">
        <v>16</v>
      </c>
      <c r="H1056">
        <v>16</v>
      </c>
      <c r="I1056">
        <v>16</v>
      </c>
    </row>
    <row r="1057" spans="1:10" x14ac:dyDescent="0.3">
      <c r="A1057" t="s">
        <v>683</v>
      </c>
      <c r="B1057">
        <v>49</v>
      </c>
      <c r="G1057">
        <v>583</v>
      </c>
      <c r="H1057">
        <v>583</v>
      </c>
      <c r="I1057">
        <v>583</v>
      </c>
    </row>
    <row r="1058" spans="1:10" x14ac:dyDescent="0.3">
      <c r="A1058" t="s">
        <v>684</v>
      </c>
      <c r="B1058">
        <v>49</v>
      </c>
      <c r="G1058">
        <v>1320</v>
      </c>
      <c r="H1058">
        <v>1980</v>
      </c>
      <c r="I1058">
        <v>1980</v>
      </c>
    </row>
    <row r="1059" spans="1:10" x14ac:dyDescent="0.3">
      <c r="A1059" t="s">
        <v>685</v>
      </c>
      <c r="B1059">
        <v>49</v>
      </c>
      <c r="G1059">
        <v>880</v>
      </c>
      <c r="H1059">
        <v>1320</v>
      </c>
      <c r="I1059">
        <v>1320</v>
      </c>
    </row>
    <row r="1060" spans="1:10" x14ac:dyDescent="0.3">
      <c r="A1060" t="s">
        <v>686</v>
      </c>
      <c r="B1060">
        <v>49</v>
      </c>
      <c r="G1060">
        <v>1760</v>
      </c>
      <c r="H1060">
        <v>2640</v>
      </c>
      <c r="I1060">
        <v>2640</v>
      </c>
    </row>
    <row r="1061" spans="1:10" x14ac:dyDescent="0.3">
      <c r="A1061" t="s">
        <v>687</v>
      </c>
      <c r="B1061">
        <v>49</v>
      </c>
      <c r="G1061">
        <v>-361676</v>
      </c>
    </row>
    <row r="1062" spans="1:10" x14ac:dyDescent="0.3">
      <c r="A1062" t="s">
        <v>688</v>
      </c>
      <c r="B1062">
        <v>49</v>
      </c>
      <c r="G1062">
        <v>16455</v>
      </c>
    </row>
    <row r="1063" spans="1:10" x14ac:dyDescent="0.3">
      <c r="A1063" t="s">
        <v>689</v>
      </c>
      <c r="B1063">
        <v>49</v>
      </c>
      <c r="G1063">
        <v>0</v>
      </c>
    </row>
    <row r="1064" spans="1:10" x14ac:dyDescent="0.3">
      <c r="A1064" t="s">
        <v>690</v>
      </c>
      <c r="B1064">
        <v>49</v>
      </c>
      <c r="G1064" t="b">
        <v>0</v>
      </c>
      <c r="H1064" t="b">
        <v>0</v>
      </c>
      <c r="I1064" t="b">
        <v>0</v>
      </c>
    </row>
    <row r="1065" spans="1:10" x14ac:dyDescent="0.3">
      <c r="A1065" t="s">
        <v>691</v>
      </c>
      <c r="B1065">
        <v>49</v>
      </c>
      <c r="G1065" t="b">
        <v>0</v>
      </c>
      <c r="H1065" t="b">
        <v>0</v>
      </c>
      <c r="I1065" t="b">
        <v>0</v>
      </c>
    </row>
    <row r="1066" spans="1:10" x14ac:dyDescent="0.3">
      <c r="A1066" t="s">
        <v>677</v>
      </c>
      <c r="B1066">
        <v>50</v>
      </c>
      <c r="J1066">
        <v>49</v>
      </c>
    </row>
    <row r="1067" spans="1:10" x14ac:dyDescent="0.3">
      <c r="A1067" t="s">
        <v>36</v>
      </c>
      <c r="B1067">
        <v>50</v>
      </c>
      <c r="J1067">
        <v>1</v>
      </c>
    </row>
    <row r="1068" spans="1:10" x14ac:dyDescent="0.3">
      <c r="A1068" t="s">
        <v>503</v>
      </c>
      <c r="B1068">
        <v>50</v>
      </c>
      <c r="J1068" t="s">
        <v>766</v>
      </c>
    </row>
    <row r="1069" spans="1:10" x14ac:dyDescent="0.3">
      <c r="A1069" t="s">
        <v>678</v>
      </c>
      <c r="B1069">
        <v>50</v>
      </c>
      <c r="J1069">
        <v>299</v>
      </c>
    </row>
    <row r="1070" spans="1:10" x14ac:dyDescent="0.3">
      <c r="A1070" t="s">
        <v>42</v>
      </c>
      <c r="B1070">
        <v>50</v>
      </c>
      <c r="J1070">
        <v>30</v>
      </c>
    </row>
    <row r="1071" spans="1:10" x14ac:dyDescent="0.3">
      <c r="A1071" t="s">
        <v>679</v>
      </c>
      <c r="B1071">
        <v>50</v>
      </c>
      <c r="J1071">
        <v>6.8</v>
      </c>
    </row>
    <row r="1072" spans="1:10" x14ac:dyDescent="0.3">
      <c r="A1072" t="s">
        <v>41</v>
      </c>
      <c r="B1072">
        <v>50</v>
      </c>
      <c r="J1072">
        <v>0</v>
      </c>
    </row>
    <row r="1073" spans="1:10" x14ac:dyDescent="0.3">
      <c r="A1073" t="s">
        <v>680</v>
      </c>
      <c r="B1073">
        <v>50</v>
      </c>
      <c r="J1073">
        <v>12</v>
      </c>
    </row>
    <row r="1074" spans="1:10" x14ac:dyDescent="0.3">
      <c r="A1074" t="s">
        <v>563</v>
      </c>
      <c r="B1074">
        <v>50</v>
      </c>
      <c r="J1074">
        <v>0</v>
      </c>
    </row>
    <row r="1075" spans="1:10" x14ac:dyDescent="0.3">
      <c r="A1075" t="s">
        <v>681</v>
      </c>
      <c r="B1075">
        <v>50</v>
      </c>
      <c r="J1075">
        <v>0</v>
      </c>
    </row>
    <row r="1076" spans="1:10" x14ac:dyDescent="0.3">
      <c r="A1076" t="s">
        <v>682</v>
      </c>
      <c r="B1076">
        <v>50</v>
      </c>
      <c r="J1076">
        <v>16</v>
      </c>
    </row>
    <row r="1077" spans="1:10" x14ac:dyDescent="0.3">
      <c r="A1077" t="s">
        <v>683</v>
      </c>
      <c r="B1077">
        <v>50</v>
      </c>
      <c r="J1077">
        <v>200</v>
      </c>
    </row>
    <row r="1078" spans="1:10" x14ac:dyDescent="0.3">
      <c r="A1078" t="s">
        <v>684</v>
      </c>
      <c r="B1078">
        <v>50</v>
      </c>
      <c r="J1078">
        <v>1320</v>
      </c>
    </row>
    <row r="1079" spans="1:10" x14ac:dyDescent="0.3">
      <c r="A1079" t="s">
        <v>685</v>
      </c>
      <c r="B1079">
        <v>50</v>
      </c>
      <c r="J1079">
        <v>880</v>
      </c>
    </row>
    <row r="1080" spans="1:10" x14ac:dyDescent="0.3">
      <c r="A1080" t="s">
        <v>686</v>
      </c>
      <c r="B1080">
        <v>50</v>
      </c>
      <c r="J1080">
        <v>1760</v>
      </c>
    </row>
    <row r="1081" spans="1:10" x14ac:dyDescent="0.3">
      <c r="A1081" t="s">
        <v>687</v>
      </c>
      <c r="B1081">
        <v>50</v>
      </c>
      <c r="J1081">
        <v>-361742</v>
      </c>
    </row>
    <row r="1082" spans="1:10" x14ac:dyDescent="0.3">
      <c r="A1082" t="s">
        <v>688</v>
      </c>
      <c r="B1082">
        <v>50</v>
      </c>
      <c r="J1082">
        <v>16380</v>
      </c>
    </row>
    <row r="1083" spans="1:10" x14ac:dyDescent="0.3">
      <c r="A1083" t="s">
        <v>689</v>
      </c>
      <c r="B1083">
        <v>50</v>
      </c>
      <c r="J1083">
        <v>0</v>
      </c>
    </row>
    <row r="1084" spans="1:10" x14ac:dyDescent="0.3">
      <c r="A1084" t="s">
        <v>690</v>
      </c>
      <c r="B1084">
        <v>50</v>
      </c>
      <c r="J1084" t="b">
        <v>0</v>
      </c>
    </row>
    <row r="1085" spans="1:10" x14ac:dyDescent="0.3">
      <c r="A1085" t="s">
        <v>691</v>
      </c>
      <c r="B1085">
        <v>50</v>
      </c>
      <c r="J1085" t="b">
        <v>0</v>
      </c>
    </row>
    <row r="1086" spans="1:10" x14ac:dyDescent="0.3">
      <c r="A1086" t="s">
        <v>677</v>
      </c>
      <c r="B1086">
        <v>51</v>
      </c>
      <c r="J1086">
        <v>44</v>
      </c>
    </row>
    <row r="1087" spans="1:10" x14ac:dyDescent="0.3">
      <c r="A1087" t="s">
        <v>36</v>
      </c>
      <c r="B1087">
        <v>51</v>
      </c>
      <c r="J1087">
        <v>1</v>
      </c>
    </row>
    <row r="1088" spans="1:10" x14ac:dyDescent="0.3">
      <c r="A1088" t="s">
        <v>503</v>
      </c>
      <c r="B1088">
        <v>51</v>
      </c>
      <c r="J1088" t="s">
        <v>764</v>
      </c>
    </row>
    <row r="1089" spans="1:10" x14ac:dyDescent="0.3">
      <c r="A1089" t="s">
        <v>678</v>
      </c>
      <c r="B1089">
        <v>51</v>
      </c>
      <c r="J1089">
        <v>385</v>
      </c>
    </row>
    <row r="1090" spans="1:10" x14ac:dyDescent="0.3">
      <c r="A1090" t="s">
        <v>42</v>
      </c>
      <c r="B1090">
        <v>51</v>
      </c>
      <c r="J1090">
        <v>30</v>
      </c>
    </row>
    <row r="1091" spans="1:10" x14ac:dyDescent="0.3">
      <c r="A1091" t="s">
        <v>679</v>
      </c>
      <c r="B1091">
        <v>51</v>
      </c>
      <c r="J1091">
        <v>8.8000000000000007</v>
      </c>
    </row>
    <row r="1092" spans="1:10" x14ac:dyDescent="0.3">
      <c r="A1092" t="s">
        <v>41</v>
      </c>
      <c r="B1092">
        <v>51</v>
      </c>
      <c r="J1092">
        <v>0</v>
      </c>
    </row>
    <row r="1093" spans="1:10" x14ac:dyDescent="0.3">
      <c r="A1093" t="s">
        <v>680</v>
      </c>
      <c r="B1093">
        <v>51</v>
      </c>
      <c r="J1093">
        <v>12</v>
      </c>
    </row>
    <row r="1094" spans="1:10" x14ac:dyDescent="0.3">
      <c r="A1094" t="s">
        <v>563</v>
      </c>
      <c r="B1094">
        <v>51</v>
      </c>
      <c r="J1094">
        <v>0</v>
      </c>
    </row>
    <row r="1095" spans="1:10" x14ac:dyDescent="0.3">
      <c r="A1095" t="s">
        <v>681</v>
      </c>
      <c r="B1095">
        <v>51</v>
      </c>
      <c r="J1095">
        <v>0</v>
      </c>
    </row>
    <row r="1096" spans="1:10" x14ac:dyDescent="0.3">
      <c r="A1096" t="s">
        <v>682</v>
      </c>
      <c r="B1096">
        <v>51</v>
      </c>
      <c r="J1096">
        <v>16</v>
      </c>
    </row>
    <row r="1097" spans="1:10" x14ac:dyDescent="0.3">
      <c r="A1097" t="s">
        <v>683</v>
      </c>
      <c r="B1097">
        <v>51</v>
      </c>
      <c r="J1097">
        <v>200</v>
      </c>
    </row>
    <row r="1098" spans="1:10" x14ac:dyDescent="0.3">
      <c r="A1098" t="s">
        <v>684</v>
      </c>
      <c r="B1098">
        <v>51</v>
      </c>
      <c r="J1098">
        <v>1320</v>
      </c>
    </row>
    <row r="1099" spans="1:10" x14ac:dyDescent="0.3">
      <c r="A1099" t="s">
        <v>685</v>
      </c>
      <c r="B1099">
        <v>51</v>
      </c>
      <c r="J1099">
        <v>880</v>
      </c>
    </row>
    <row r="1100" spans="1:10" x14ac:dyDescent="0.3">
      <c r="A1100" t="s">
        <v>686</v>
      </c>
      <c r="B1100">
        <v>51</v>
      </c>
      <c r="J1100">
        <v>1760</v>
      </c>
    </row>
    <row r="1101" spans="1:10" x14ac:dyDescent="0.3">
      <c r="A1101" t="s">
        <v>687</v>
      </c>
      <c r="B1101">
        <v>51</v>
      </c>
    </row>
    <row r="1102" spans="1:10" x14ac:dyDescent="0.3">
      <c r="A1102" t="s">
        <v>688</v>
      </c>
      <c r="B1102">
        <v>51</v>
      </c>
    </row>
    <row r="1103" spans="1:10" x14ac:dyDescent="0.3">
      <c r="A1103" t="s">
        <v>689</v>
      </c>
      <c r="B1103">
        <v>51</v>
      </c>
    </row>
    <row r="1104" spans="1:10" x14ac:dyDescent="0.3">
      <c r="A1104" t="s">
        <v>690</v>
      </c>
      <c r="B1104">
        <v>51</v>
      </c>
      <c r="J1104" t="b">
        <v>0</v>
      </c>
    </row>
    <row r="1105" spans="1:10" x14ac:dyDescent="0.3">
      <c r="A1105" t="s">
        <v>691</v>
      </c>
      <c r="B1105">
        <v>51</v>
      </c>
      <c r="J1105" t="b">
        <v>0</v>
      </c>
    </row>
    <row r="1106" spans="1:10" x14ac:dyDescent="0.3">
      <c r="A1106" t="s">
        <v>677</v>
      </c>
      <c r="B1106">
        <v>52</v>
      </c>
      <c r="H1106">
        <v>44</v>
      </c>
    </row>
    <row r="1107" spans="1:10" x14ac:dyDescent="0.3">
      <c r="A1107" t="s">
        <v>36</v>
      </c>
      <c r="B1107">
        <v>52</v>
      </c>
      <c r="H1107">
        <v>2</v>
      </c>
    </row>
    <row r="1108" spans="1:10" x14ac:dyDescent="0.3">
      <c r="A1108" t="s">
        <v>503</v>
      </c>
      <c r="B1108">
        <v>52</v>
      </c>
      <c r="H1108" t="s">
        <v>741</v>
      </c>
    </row>
    <row r="1109" spans="1:10" x14ac:dyDescent="0.3">
      <c r="A1109" t="s">
        <v>678</v>
      </c>
      <c r="B1109">
        <v>52</v>
      </c>
      <c r="H1109">
        <v>809</v>
      </c>
    </row>
    <row r="1110" spans="1:10" x14ac:dyDescent="0.3">
      <c r="A1110" t="s">
        <v>42</v>
      </c>
      <c r="B1110">
        <v>52</v>
      </c>
      <c r="H1110">
        <v>30</v>
      </c>
    </row>
    <row r="1111" spans="1:10" x14ac:dyDescent="0.3">
      <c r="A1111" t="s">
        <v>679</v>
      </c>
      <c r="B1111">
        <v>52</v>
      </c>
      <c r="H1111">
        <v>18.399999999999999</v>
      </c>
    </row>
    <row r="1112" spans="1:10" x14ac:dyDescent="0.3">
      <c r="A1112" t="s">
        <v>41</v>
      </c>
      <c r="B1112">
        <v>52</v>
      </c>
      <c r="H1112">
        <v>0</v>
      </c>
    </row>
    <row r="1113" spans="1:10" x14ac:dyDescent="0.3">
      <c r="A1113" t="s">
        <v>680</v>
      </c>
      <c r="B1113">
        <v>52</v>
      </c>
      <c r="H1113">
        <v>12</v>
      </c>
    </row>
    <row r="1114" spans="1:10" x14ac:dyDescent="0.3">
      <c r="A1114" t="s">
        <v>563</v>
      </c>
      <c r="B1114">
        <v>52</v>
      </c>
      <c r="H1114">
        <v>0</v>
      </c>
    </row>
    <row r="1115" spans="1:10" x14ac:dyDescent="0.3">
      <c r="A1115" t="s">
        <v>681</v>
      </c>
      <c r="B1115">
        <v>52</v>
      </c>
      <c r="H1115">
        <v>0</v>
      </c>
    </row>
    <row r="1116" spans="1:10" x14ac:dyDescent="0.3">
      <c r="A1116" t="s">
        <v>682</v>
      </c>
      <c r="B1116">
        <v>52</v>
      </c>
      <c r="H1116">
        <v>16</v>
      </c>
    </row>
    <row r="1117" spans="1:10" x14ac:dyDescent="0.3">
      <c r="A1117" t="s">
        <v>683</v>
      </c>
      <c r="B1117">
        <v>52</v>
      </c>
      <c r="H1117">
        <v>200</v>
      </c>
    </row>
    <row r="1118" spans="1:10" x14ac:dyDescent="0.3">
      <c r="A1118" t="s">
        <v>684</v>
      </c>
      <c r="B1118">
        <v>52</v>
      </c>
      <c r="H1118">
        <v>1320</v>
      </c>
    </row>
    <row r="1119" spans="1:10" x14ac:dyDescent="0.3">
      <c r="A1119" t="s">
        <v>685</v>
      </c>
      <c r="B1119">
        <v>52</v>
      </c>
      <c r="H1119">
        <v>880</v>
      </c>
    </row>
    <row r="1120" spans="1:10" x14ac:dyDescent="0.3">
      <c r="A1120" t="s">
        <v>686</v>
      </c>
      <c r="B1120">
        <v>52</v>
      </c>
      <c r="H1120">
        <v>1760</v>
      </c>
    </row>
    <row r="1121" spans="1:8" x14ac:dyDescent="0.3">
      <c r="A1121" t="s">
        <v>687</v>
      </c>
      <c r="B1121">
        <v>52</v>
      </c>
    </row>
    <row r="1122" spans="1:8" x14ac:dyDescent="0.3">
      <c r="A1122" t="s">
        <v>688</v>
      </c>
      <c r="B1122">
        <v>52</v>
      </c>
    </row>
    <row r="1123" spans="1:8" x14ac:dyDescent="0.3">
      <c r="A1123" t="s">
        <v>689</v>
      </c>
      <c r="B1123">
        <v>52</v>
      </c>
    </row>
    <row r="1124" spans="1:8" x14ac:dyDescent="0.3">
      <c r="A1124" t="s">
        <v>690</v>
      </c>
      <c r="B1124">
        <v>52</v>
      </c>
      <c r="H1124" t="b">
        <v>0</v>
      </c>
    </row>
    <row r="1125" spans="1:8" x14ac:dyDescent="0.3">
      <c r="A1125" t="s">
        <v>691</v>
      </c>
      <c r="B1125">
        <v>52</v>
      </c>
      <c r="H1125" t="b">
        <v>0</v>
      </c>
    </row>
    <row r="1126" spans="1:8" x14ac:dyDescent="0.3">
      <c r="A1126" t="s">
        <v>677</v>
      </c>
      <c r="B1126">
        <v>53</v>
      </c>
      <c r="G1126">
        <v>44</v>
      </c>
    </row>
    <row r="1127" spans="1:8" x14ac:dyDescent="0.3">
      <c r="A1127" t="s">
        <v>36</v>
      </c>
      <c r="B1127">
        <v>53</v>
      </c>
      <c r="G1127" t="s">
        <v>692</v>
      </c>
    </row>
    <row r="1128" spans="1:8" x14ac:dyDescent="0.3">
      <c r="A1128" t="s">
        <v>503</v>
      </c>
      <c r="B1128">
        <v>53</v>
      </c>
      <c r="G1128" t="s">
        <v>764</v>
      </c>
    </row>
    <row r="1129" spans="1:8" x14ac:dyDescent="0.3">
      <c r="A1129" t="s">
        <v>678</v>
      </c>
      <c r="B1129">
        <v>53</v>
      </c>
      <c r="G1129">
        <v>601</v>
      </c>
    </row>
    <row r="1130" spans="1:8" x14ac:dyDescent="0.3">
      <c r="A1130" t="s">
        <v>42</v>
      </c>
      <c r="B1130">
        <v>53</v>
      </c>
      <c r="G1130">
        <v>30</v>
      </c>
    </row>
    <row r="1131" spans="1:8" x14ac:dyDescent="0.3">
      <c r="A1131" t="s">
        <v>679</v>
      </c>
      <c r="B1131">
        <v>53</v>
      </c>
      <c r="G1131">
        <v>13.7</v>
      </c>
    </row>
    <row r="1132" spans="1:8" x14ac:dyDescent="0.3">
      <c r="A1132" t="s">
        <v>41</v>
      </c>
      <c r="B1132">
        <v>53</v>
      </c>
      <c r="G1132">
        <v>0</v>
      </c>
    </row>
    <row r="1133" spans="1:8" x14ac:dyDescent="0.3">
      <c r="A1133" t="s">
        <v>680</v>
      </c>
      <c r="B1133">
        <v>53</v>
      </c>
      <c r="G1133">
        <v>12</v>
      </c>
    </row>
    <row r="1134" spans="1:8" x14ac:dyDescent="0.3">
      <c r="A1134" t="s">
        <v>563</v>
      </c>
      <c r="B1134">
        <v>53</v>
      </c>
      <c r="G1134">
        <v>0</v>
      </c>
    </row>
    <row r="1135" spans="1:8" x14ac:dyDescent="0.3">
      <c r="A1135" t="s">
        <v>681</v>
      </c>
      <c r="B1135">
        <v>53</v>
      </c>
      <c r="G1135">
        <v>0</v>
      </c>
    </row>
    <row r="1136" spans="1:8" x14ac:dyDescent="0.3">
      <c r="A1136" t="s">
        <v>682</v>
      </c>
      <c r="B1136">
        <v>53</v>
      </c>
      <c r="G1136">
        <v>16</v>
      </c>
    </row>
    <row r="1137" spans="1:30" x14ac:dyDescent="0.3">
      <c r="A1137" t="s">
        <v>683</v>
      </c>
      <c r="B1137">
        <v>53</v>
      </c>
      <c r="G1137">
        <v>200</v>
      </c>
    </row>
    <row r="1138" spans="1:30" x14ac:dyDescent="0.3">
      <c r="A1138" t="s">
        <v>684</v>
      </c>
      <c r="B1138">
        <v>53</v>
      </c>
      <c r="G1138">
        <v>1320</v>
      </c>
    </row>
    <row r="1139" spans="1:30" x14ac:dyDescent="0.3">
      <c r="A1139" t="s">
        <v>685</v>
      </c>
      <c r="B1139">
        <v>53</v>
      </c>
      <c r="G1139">
        <v>880</v>
      </c>
    </row>
    <row r="1140" spans="1:30" x14ac:dyDescent="0.3">
      <c r="A1140" t="s">
        <v>686</v>
      </c>
      <c r="B1140">
        <v>53</v>
      </c>
      <c r="G1140">
        <v>1760</v>
      </c>
    </row>
    <row r="1141" spans="1:30" x14ac:dyDescent="0.3">
      <c r="A1141" t="s">
        <v>687</v>
      </c>
      <c r="B1141">
        <v>53</v>
      </c>
    </row>
    <row r="1142" spans="1:30" x14ac:dyDescent="0.3">
      <c r="A1142" t="s">
        <v>688</v>
      </c>
      <c r="B1142">
        <v>53</v>
      </c>
    </row>
    <row r="1143" spans="1:30" x14ac:dyDescent="0.3">
      <c r="A1143" t="s">
        <v>689</v>
      </c>
      <c r="B1143">
        <v>53</v>
      </c>
    </row>
    <row r="1144" spans="1:30" x14ac:dyDescent="0.3">
      <c r="A1144" t="s">
        <v>690</v>
      </c>
      <c r="B1144">
        <v>53</v>
      </c>
      <c r="G1144" t="b">
        <v>0</v>
      </c>
    </row>
    <row r="1145" spans="1:30" x14ac:dyDescent="0.3">
      <c r="A1145" t="s">
        <v>691</v>
      </c>
      <c r="B1145">
        <v>53</v>
      </c>
      <c r="G1145" t="b">
        <v>0</v>
      </c>
    </row>
    <row r="1147" spans="1:30" x14ac:dyDescent="0.3">
      <c r="A1147" t="s">
        <v>564</v>
      </c>
    </row>
    <row r="1148" spans="1:30" x14ac:dyDescent="0.3">
      <c r="A1148" t="s">
        <v>694</v>
      </c>
    </row>
    <row r="1149" spans="1:30" x14ac:dyDescent="0.3">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3">
      <c r="A1150" t="s">
        <v>34</v>
      </c>
      <c r="B1150">
        <v>1</v>
      </c>
      <c r="C1150">
        <v>5</v>
      </c>
      <c r="D1150">
        <v>5</v>
      </c>
      <c r="E1150">
        <v>5</v>
      </c>
      <c r="F1150">
        <v>3</v>
      </c>
      <c r="G1150">
        <v>3</v>
      </c>
      <c r="H1150">
        <v>3</v>
      </c>
      <c r="J1150">
        <v>9</v>
      </c>
      <c r="K1150">
        <v>9</v>
      </c>
      <c r="L1150">
        <v>9</v>
      </c>
      <c r="M1150">
        <v>2</v>
      </c>
      <c r="N1150">
        <v>2</v>
      </c>
      <c r="O1150">
        <v>2</v>
      </c>
    </row>
    <row r="1151" spans="1:30" x14ac:dyDescent="0.3">
      <c r="A1151" t="s">
        <v>35</v>
      </c>
      <c r="B1151">
        <v>1</v>
      </c>
      <c r="C1151">
        <v>9</v>
      </c>
      <c r="D1151">
        <v>3</v>
      </c>
      <c r="E1151">
        <v>2</v>
      </c>
      <c r="F1151">
        <v>2</v>
      </c>
      <c r="G1151">
        <v>5</v>
      </c>
      <c r="H1151">
        <v>9</v>
      </c>
      <c r="J1151">
        <v>3</v>
      </c>
      <c r="K1151">
        <v>2</v>
      </c>
      <c r="L1151">
        <v>5</v>
      </c>
      <c r="M1151">
        <v>5</v>
      </c>
      <c r="N1151">
        <v>9</v>
      </c>
      <c r="O1151">
        <v>3</v>
      </c>
    </row>
    <row r="1152" spans="1:30" x14ac:dyDescent="0.3">
      <c r="A1152" t="s">
        <v>36</v>
      </c>
      <c r="B1152">
        <v>1</v>
      </c>
      <c r="C1152">
        <v>1</v>
      </c>
      <c r="D1152">
        <v>2</v>
      </c>
      <c r="E1152">
        <v>1</v>
      </c>
      <c r="F1152">
        <v>1</v>
      </c>
      <c r="G1152">
        <v>2</v>
      </c>
      <c r="H1152">
        <v>1</v>
      </c>
      <c r="J1152">
        <v>1</v>
      </c>
      <c r="K1152">
        <v>3</v>
      </c>
      <c r="L1152">
        <v>0</v>
      </c>
      <c r="M1152">
        <v>1</v>
      </c>
      <c r="N1152">
        <v>3</v>
      </c>
      <c r="O1152">
        <v>0</v>
      </c>
    </row>
    <row r="1153" spans="1:15" x14ac:dyDescent="0.3">
      <c r="A1153" t="s">
        <v>37</v>
      </c>
      <c r="B1153">
        <v>1</v>
      </c>
      <c r="C1153">
        <v>0</v>
      </c>
      <c r="D1153">
        <v>0</v>
      </c>
      <c r="F1153">
        <v>0</v>
      </c>
      <c r="G1153">
        <v>0</v>
      </c>
      <c r="J1153">
        <v>0</v>
      </c>
      <c r="K1153">
        <v>2</v>
      </c>
      <c r="M1153">
        <v>0</v>
      </c>
      <c r="N1153">
        <v>2</v>
      </c>
    </row>
    <row r="1154" spans="1:15" x14ac:dyDescent="0.3">
      <c r="A1154" t="s">
        <v>38</v>
      </c>
      <c r="B1154">
        <v>1</v>
      </c>
      <c r="C1154">
        <v>12</v>
      </c>
      <c r="D1154">
        <v>12</v>
      </c>
      <c r="E1154">
        <v>12</v>
      </c>
      <c r="F1154">
        <v>12</v>
      </c>
      <c r="G1154">
        <v>12</v>
      </c>
      <c r="H1154">
        <v>12</v>
      </c>
      <c r="J1154">
        <v>12</v>
      </c>
      <c r="K1154">
        <v>12</v>
      </c>
      <c r="L1154">
        <v>12</v>
      </c>
      <c r="M1154">
        <v>12</v>
      </c>
      <c r="N1154">
        <v>12</v>
      </c>
      <c r="O1154">
        <v>12</v>
      </c>
    </row>
    <row r="1155" spans="1:15" x14ac:dyDescent="0.3">
      <c r="A1155" t="s">
        <v>39</v>
      </c>
      <c r="B1155">
        <v>1</v>
      </c>
      <c r="C1155">
        <v>140</v>
      </c>
      <c r="E1155">
        <v>140</v>
      </c>
      <c r="F1155">
        <v>150</v>
      </c>
      <c r="H1155">
        <v>150</v>
      </c>
      <c r="J1155">
        <v>410</v>
      </c>
      <c r="M1155">
        <v>395</v>
      </c>
    </row>
    <row r="1156" spans="1:15" x14ac:dyDescent="0.3">
      <c r="A1156" t="s">
        <v>695</v>
      </c>
      <c r="B1156">
        <v>1</v>
      </c>
      <c r="C1156">
        <v>90</v>
      </c>
      <c r="E1156">
        <v>90</v>
      </c>
      <c r="F1156">
        <v>100</v>
      </c>
      <c r="H1156">
        <v>100</v>
      </c>
      <c r="J1156">
        <v>95</v>
      </c>
      <c r="M1156">
        <v>80</v>
      </c>
    </row>
    <row r="1157" spans="1:15" x14ac:dyDescent="0.3">
      <c r="A1157" t="s">
        <v>40</v>
      </c>
      <c r="B1157">
        <v>1</v>
      </c>
      <c r="C1157">
        <v>1</v>
      </c>
      <c r="E1157">
        <v>1</v>
      </c>
      <c r="F1157">
        <v>1</v>
      </c>
      <c r="H1157">
        <v>1</v>
      </c>
      <c r="J1157">
        <v>1</v>
      </c>
      <c r="M1157">
        <v>1</v>
      </c>
    </row>
    <row r="1158" spans="1:15" x14ac:dyDescent="0.3">
      <c r="A1158" t="s">
        <v>41</v>
      </c>
      <c r="B1158">
        <v>1</v>
      </c>
    </row>
    <row r="1159" spans="1:15" x14ac:dyDescent="0.3">
      <c r="A1159" t="s">
        <v>42</v>
      </c>
      <c r="B1159">
        <v>1</v>
      </c>
      <c r="D1159">
        <v>40</v>
      </c>
      <c r="G1159">
        <v>40</v>
      </c>
      <c r="K1159">
        <v>45</v>
      </c>
      <c r="N1159">
        <v>45</v>
      </c>
    </row>
    <row r="1160" spans="1:15" x14ac:dyDescent="0.3">
      <c r="A1160" t="s">
        <v>45</v>
      </c>
      <c r="B1160">
        <v>1</v>
      </c>
      <c r="C1160">
        <v>3</v>
      </c>
      <c r="D1160">
        <v>8</v>
      </c>
      <c r="F1160">
        <v>7</v>
      </c>
      <c r="G1160">
        <v>4</v>
      </c>
      <c r="J1160">
        <v>1</v>
      </c>
      <c r="K1160">
        <v>6</v>
      </c>
      <c r="M1160">
        <v>5</v>
      </c>
      <c r="N1160">
        <v>2</v>
      </c>
    </row>
    <row r="1161" spans="1:15" x14ac:dyDescent="0.3">
      <c r="A1161" t="s">
        <v>46</v>
      </c>
      <c r="B1161">
        <v>1</v>
      </c>
      <c r="E1161">
        <v>8</v>
      </c>
      <c r="H1161">
        <v>4</v>
      </c>
    </row>
    <row r="1162" spans="1:15" x14ac:dyDescent="0.3">
      <c r="A1162" t="s">
        <v>49</v>
      </c>
      <c r="B1162">
        <v>1</v>
      </c>
      <c r="C1162">
        <v>6.8</v>
      </c>
      <c r="D1162">
        <v>6.6</v>
      </c>
      <c r="E1162">
        <v>6.6</v>
      </c>
      <c r="F1162">
        <v>6.8</v>
      </c>
      <c r="G1162">
        <v>6.6</v>
      </c>
      <c r="H1162">
        <v>6.6</v>
      </c>
      <c r="J1162">
        <v>7</v>
      </c>
      <c r="K1162">
        <v>6.8</v>
      </c>
      <c r="L1162">
        <v>4</v>
      </c>
      <c r="M1162">
        <v>7</v>
      </c>
      <c r="N1162">
        <v>6.8</v>
      </c>
      <c r="O1162">
        <v>4</v>
      </c>
    </row>
    <row r="1163" spans="1:15" x14ac:dyDescent="0.3">
      <c r="A1163" t="s">
        <v>696</v>
      </c>
      <c r="B1163">
        <v>1</v>
      </c>
      <c r="C1163">
        <v>0</v>
      </c>
      <c r="D1163">
        <v>0</v>
      </c>
      <c r="E1163">
        <v>0</v>
      </c>
      <c r="F1163">
        <v>0</v>
      </c>
      <c r="G1163">
        <v>0</v>
      </c>
      <c r="H1163">
        <v>0</v>
      </c>
      <c r="J1163">
        <v>0</v>
      </c>
      <c r="K1163">
        <v>0</v>
      </c>
      <c r="L1163">
        <v>0</v>
      </c>
      <c r="M1163">
        <v>0</v>
      </c>
      <c r="N1163">
        <v>0</v>
      </c>
      <c r="O1163">
        <v>0</v>
      </c>
    </row>
    <row r="1164" spans="1:15" x14ac:dyDescent="0.3">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3">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3">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3">
      <c r="A1167" t="s">
        <v>698</v>
      </c>
      <c r="B1167">
        <v>1</v>
      </c>
      <c r="C1167">
        <v>1</v>
      </c>
      <c r="D1167">
        <v>1</v>
      </c>
      <c r="E1167">
        <v>1</v>
      </c>
      <c r="F1167">
        <v>1</v>
      </c>
      <c r="G1167">
        <v>1</v>
      </c>
      <c r="H1167">
        <v>1</v>
      </c>
      <c r="J1167">
        <v>1</v>
      </c>
      <c r="K1167">
        <v>1</v>
      </c>
      <c r="L1167">
        <v>1</v>
      </c>
      <c r="M1167">
        <v>1</v>
      </c>
      <c r="N1167">
        <v>1</v>
      </c>
      <c r="O1167">
        <v>1</v>
      </c>
    </row>
    <row r="1168" spans="1:15" x14ac:dyDescent="0.3">
      <c r="A1168" t="s">
        <v>51</v>
      </c>
      <c r="B1168">
        <v>1</v>
      </c>
      <c r="C1168">
        <v>0</v>
      </c>
      <c r="D1168">
        <v>0</v>
      </c>
      <c r="E1168">
        <v>192</v>
      </c>
      <c r="F1168">
        <v>0</v>
      </c>
      <c r="G1168">
        <v>0</v>
      </c>
      <c r="H1168">
        <v>192</v>
      </c>
      <c r="J1168">
        <v>0</v>
      </c>
      <c r="K1168">
        <v>3</v>
      </c>
      <c r="L1168">
        <v>0</v>
      </c>
      <c r="M1168">
        <v>0</v>
      </c>
      <c r="N1168">
        <v>17</v>
      </c>
      <c r="O1168">
        <v>0</v>
      </c>
    </row>
    <row r="1169" spans="1:15" x14ac:dyDescent="0.3">
      <c r="A1169" t="s">
        <v>53</v>
      </c>
      <c r="B1169">
        <v>1</v>
      </c>
      <c r="C1169">
        <v>39</v>
      </c>
      <c r="D1169">
        <v>236</v>
      </c>
      <c r="E1169">
        <v>61</v>
      </c>
      <c r="F1169">
        <v>94</v>
      </c>
      <c r="G1169">
        <v>128</v>
      </c>
      <c r="H1169">
        <v>71</v>
      </c>
      <c r="J1169">
        <v>201</v>
      </c>
      <c r="K1169">
        <v>1490</v>
      </c>
      <c r="L1169">
        <v>41</v>
      </c>
      <c r="M1169">
        <v>17</v>
      </c>
      <c r="N1169">
        <v>1326</v>
      </c>
      <c r="O1169">
        <v>166</v>
      </c>
    </row>
    <row r="1170" spans="1:15" x14ac:dyDescent="0.3">
      <c r="A1170" t="s">
        <v>54</v>
      </c>
      <c r="B1170">
        <v>1</v>
      </c>
      <c r="C1170">
        <v>0</v>
      </c>
      <c r="D1170">
        <v>0</v>
      </c>
      <c r="E1170">
        <v>0</v>
      </c>
      <c r="F1170">
        <v>0</v>
      </c>
      <c r="G1170">
        <v>0</v>
      </c>
      <c r="H1170">
        <v>0</v>
      </c>
      <c r="J1170">
        <v>0</v>
      </c>
      <c r="K1170">
        <v>0</v>
      </c>
      <c r="L1170">
        <v>0</v>
      </c>
      <c r="M1170">
        <v>0</v>
      </c>
      <c r="N1170">
        <v>0</v>
      </c>
      <c r="O1170">
        <v>0</v>
      </c>
    </row>
    <row r="1171" spans="1:15" x14ac:dyDescent="0.3">
      <c r="A1171" t="s">
        <v>55</v>
      </c>
      <c r="B1171">
        <v>1</v>
      </c>
      <c r="C1171">
        <v>0</v>
      </c>
      <c r="D1171">
        <v>0</v>
      </c>
      <c r="E1171">
        <v>0</v>
      </c>
      <c r="F1171">
        <v>0</v>
      </c>
      <c r="G1171">
        <v>0</v>
      </c>
      <c r="H1171">
        <v>0</v>
      </c>
      <c r="J1171">
        <v>0</v>
      </c>
      <c r="K1171">
        <v>0</v>
      </c>
      <c r="L1171">
        <v>0</v>
      </c>
      <c r="M1171">
        <v>0</v>
      </c>
      <c r="N1171">
        <v>0</v>
      </c>
      <c r="O1171">
        <v>0</v>
      </c>
    </row>
    <row r="1172" spans="1:15" x14ac:dyDescent="0.3">
      <c r="A1172" t="s">
        <v>56</v>
      </c>
      <c r="B1172">
        <v>1</v>
      </c>
      <c r="C1172">
        <v>0.92</v>
      </c>
      <c r="D1172">
        <v>0.92</v>
      </c>
      <c r="E1172">
        <v>0.92</v>
      </c>
      <c r="F1172">
        <v>0.92</v>
      </c>
      <c r="G1172">
        <v>0.92</v>
      </c>
      <c r="H1172">
        <v>0.92</v>
      </c>
      <c r="J1172">
        <v>0.92</v>
      </c>
      <c r="K1172">
        <v>0.92</v>
      </c>
      <c r="L1172">
        <v>0.92</v>
      </c>
      <c r="M1172">
        <v>0.92</v>
      </c>
      <c r="N1172">
        <v>0.92</v>
      </c>
      <c r="O1172">
        <v>0.92</v>
      </c>
    </row>
    <row r="1173" spans="1:15" x14ac:dyDescent="0.3">
      <c r="A1173" t="s">
        <v>57</v>
      </c>
      <c r="B1173">
        <v>1</v>
      </c>
      <c r="C1173">
        <v>100</v>
      </c>
      <c r="D1173">
        <v>100</v>
      </c>
      <c r="E1173">
        <v>100</v>
      </c>
      <c r="F1173">
        <v>100</v>
      </c>
      <c r="G1173">
        <v>100</v>
      </c>
      <c r="H1173">
        <v>100</v>
      </c>
      <c r="J1173">
        <v>100</v>
      </c>
      <c r="K1173">
        <v>100</v>
      </c>
      <c r="L1173">
        <v>100</v>
      </c>
      <c r="M1173">
        <v>100</v>
      </c>
      <c r="N1173">
        <v>100</v>
      </c>
      <c r="O1173">
        <v>100</v>
      </c>
    </row>
    <row r="1174" spans="1:15" x14ac:dyDescent="0.3">
      <c r="A1174" t="s">
        <v>58</v>
      </c>
      <c r="B1174">
        <v>1</v>
      </c>
      <c r="C1174">
        <v>2</v>
      </c>
      <c r="D1174">
        <v>2</v>
      </c>
      <c r="E1174">
        <v>2</v>
      </c>
      <c r="F1174">
        <v>2</v>
      </c>
      <c r="G1174">
        <v>2</v>
      </c>
      <c r="H1174">
        <v>2</v>
      </c>
      <c r="J1174">
        <v>2</v>
      </c>
      <c r="K1174">
        <v>2</v>
      </c>
      <c r="L1174">
        <v>2</v>
      </c>
      <c r="M1174">
        <v>2</v>
      </c>
      <c r="N1174">
        <v>2</v>
      </c>
      <c r="O1174">
        <v>2</v>
      </c>
    </row>
    <row r="1175" spans="1:15" x14ac:dyDescent="0.3">
      <c r="A1175" t="s">
        <v>59</v>
      </c>
      <c r="B1175">
        <v>1</v>
      </c>
      <c r="C1175">
        <v>0</v>
      </c>
      <c r="D1175">
        <v>0</v>
      </c>
      <c r="E1175">
        <v>0</v>
      </c>
      <c r="F1175">
        <v>0</v>
      </c>
      <c r="G1175">
        <v>0</v>
      </c>
      <c r="H1175">
        <v>0</v>
      </c>
      <c r="J1175">
        <v>0</v>
      </c>
      <c r="K1175">
        <v>0</v>
      </c>
      <c r="L1175">
        <v>0</v>
      </c>
      <c r="M1175">
        <v>0</v>
      </c>
      <c r="N1175">
        <v>0</v>
      </c>
      <c r="O1175">
        <v>0</v>
      </c>
    </row>
    <row r="1176" spans="1:15" x14ac:dyDescent="0.3">
      <c r="A1176" t="s">
        <v>699</v>
      </c>
      <c r="B1176">
        <v>1</v>
      </c>
      <c r="D1176">
        <v>0</v>
      </c>
      <c r="G1176">
        <v>0</v>
      </c>
      <c r="K1176">
        <v>0</v>
      </c>
      <c r="N1176">
        <v>0</v>
      </c>
    </row>
    <row r="1177" spans="1:15" x14ac:dyDescent="0.3">
      <c r="A1177" t="s">
        <v>678</v>
      </c>
      <c r="B1177">
        <v>1</v>
      </c>
      <c r="D1177">
        <v>526</v>
      </c>
      <c r="G1177">
        <v>579</v>
      </c>
      <c r="K1177">
        <v>2966</v>
      </c>
      <c r="N1177">
        <v>739</v>
      </c>
    </row>
    <row r="1178" spans="1:15" x14ac:dyDescent="0.3">
      <c r="A1178" t="s">
        <v>78</v>
      </c>
      <c r="B1178">
        <v>1</v>
      </c>
      <c r="D1178">
        <v>9</v>
      </c>
      <c r="G1178">
        <v>9.9</v>
      </c>
      <c r="K1178">
        <v>44.9</v>
      </c>
      <c r="N1178">
        <v>11.2</v>
      </c>
    </row>
    <row r="1179" spans="1:15" x14ac:dyDescent="0.3">
      <c r="A1179" t="s">
        <v>700</v>
      </c>
      <c r="B1179">
        <v>1</v>
      </c>
      <c r="E1179">
        <v>0</v>
      </c>
      <c r="H1179">
        <v>0</v>
      </c>
      <c r="L1179">
        <v>0</v>
      </c>
      <c r="O1179">
        <v>0</v>
      </c>
    </row>
    <row r="1180" spans="1:15" x14ac:dyDescent="0.3">
      <c r="A1180" t="s">
        <v>701</v>
      </c>
      <c r="B1180">
        <v>1</v>
      </c>
      <c r="C1180">
        <v>0</v>
      </c>
      <c r="D1180">
        <v>0</v>
      </c>
      <c r="E1180">
        <v>1</v>
      </c>
      <c r="F1180">
        <v>0</v>
      </c>
      <c r="G1180">
        <v>0</v>
      </c>
      <c r="H1180">
        <v>1</v>
      </c>
      <c r="J1180">
        <v>0</v>
      </c>
      <c r="K1180">
        <v>0</v>
      </c>
      <c r="L1180">
        <v>1</v>
      </c>
      <c r="M1180">
        <v>0</v>
      </c>
      <c r="N1180">
        <v>0</v>
      </c>
      <c r="O1180">
        <v>1</v>
      </c>
    </row>
    <row r="1181" spans="1:15" x14ac:dyDescent="0.3">
      <c r="A1181" t="s">
        <v>702</v>
      </c>
      <c r="B1181">
        <v>1</v>
      </c>
      <c r="C1181">
        <v>0</v>
      </c>
      <c r="D1181">
        <v>0</v>
      </c>
      <c r="E1181">
        <v>0</v>
      </c>
      <c r="F1181">
        <v>0</v>
      </c>
      <c r="G1181">
        <v>0</v>
      </c>
      <c r="H1181">
        <v>0</v>
      </c>
      <c r="J1181">
        <v>0</v>
      </c>
      <c r="K1181">
        <v>0</v>
      </c>
      <c r="L1181">
        <v>0</v>
      </c>
      <c r="M1181">
        <v>0</v>
      </c>
      <c r="N1181">
        <v>0</v>
      </c>
      <c r="O1181">
        <v>0</v>
      </c>
    </row>
    <row r="1182" spans="1:15" x14ac:dyDescent="0.3">
      <c r="A1182" t="s">
        <v>52</v>
      </c>
      <c r="B1182">
        <v>1</v>
      </c>
      <c r="C1182">
        <v>1</v>
      </c>
      <c r="D1182">
        <v>1</v>
      </c>
      <c r="E1182">
        <v>1</v>
      </c>
      <c r="F1182">
        <v>1</v>
      </c>
      <c r="G1182">
        <v>1</v>
      </c>
      <c r="H1182">
        <v>1</v>
      </c>
      <c r="J1182">
        <v>1</v>
      </c>
      <c r="K1182">
        <v>1</v>
      </c>
      <c r="L1182">
        <v>1</v>
      </c>
      <c r="M1182">
        <v>1</v>
      </c>
      <c r="N1182">
        <v>1</v>
      </c>
      <c r="O1182">
        <v>1</v>
      </c>
    </row>
    <row r="1183" spans="1:15" x14ac:dyDescent="0.3">
      <c r="A1183" t="s">
        <v>703</v>
      </c>
      <c r="B1183">
        <v>1</v>
      </c>
      <c r="C1183">
        <v>15</v>
      </c>
      <c r="D1183">
        <v>60</v>
      </c>
      <c r="E1183">
        <v>9</v>
      </c>
      <c r="F1183">
        <v>15</v>
      </c>
      <c r="G1183">
        <v>60</v>
      </c>
      <c r="H1183">
        <v>9</v>
      </c>
      <c r="J1183">
        <v>15</v>
      </c>
      <c r="K1183">
        <v>60</v>
      </c>
      <c r="L1183">
        <v>9</v>
      </c>
      <c r="M1183">
        <v>15</v>
      </c>
      <c r="N1183">
        <v>60</v>
      </c>
      <c r="O1183">
        <v>9</v>
      </c>
    </row>
    <row r="1184" spans="1:15" x14ac:dyDescent="0.3">
      <c r="A1184" t="s">
        <v>43</v>
      </c>
      <c r="B1184">
        <v>1</v>
      </c>
      <c r="C1184">
        <v>20</v>
      </c>
      <c r="D1184">
        <v>100</v>
      </c>
      <c r="E1184">
        <v>20</v>
      </c>
      <c r="F1184">
        <v>20</v>
      </c>
      <c r="G1184">
        <v>100</v>
      </c>
      <c r="H1184">
        <v>20</v>
      </c>
      <c r="J1184">
        <v>20</v>
      </c>
      <c r="K1184">
        <v>100</v>
      </c>
      <c r="M1184">
        <v>20</v>
      </c>
      <c r="N1184">
        <v>100</v>
      </c>
    </row>
    <row r="1185" spans="1:14" x14ac:dyDescent="0.3">
      <c r="A1185" t="s">
        <v>44</v>
      </c>
      <c r="B1185">
        <v>1</v>
      </c>
      <c r="C1185">
        <v>0</v>
      </c>
      <c r="D1185">
        <v>0</v>
      </c>
      <c r="E1185">
        <v>0</v>
      </c>
      <c r="F1185">
        <v>0</v>
      </c>
      <c r="G1185">
        <v>0</v>
      </c>
      <c r="H1185">
        <v>0</v>
      </c>
      <c r="J1185">
        <v>0</v>
      </c>
      <c r="K1185">
        <v>0</v>
      </c>
      <c r="M1185">
        <v>0</v>
      </c>
      <c r="N1185">
        <v>0</v>
      </c>
    </row>
    <row r="1186" spans="1:14" x14ac:dyDescent="0.3">
      <c r="A1186" t="s">
        <v>47</v>
      </c>
      <c r="B1186">
        <v>1</v>
      </c>
      <c r="C1186">
        <v>3</v>
      </c>
      <c r="D1186">
        <v>8</v>
      </c>
      <c r="E1186">
        <v>8</v>
      </c>
      <c r="F1186">
        <v>7</v>
      </c>
      <c r="G1186">
        <v>4</v>
      </c>
      <c r="H1186">
        <v>4</v>
      </c>
      <c r="J1186">
        <v>1</v>
      </c>
      <c r="K1186">
        <v>6</v>
      </c>
      <c r="M1186">
        <v>5</v>
      </c>
      <c r="N1186">
        <v>2</v>
      </c>
    </row>
    <row r="1187" spans="1:14" x14ac:dyDescent="0.3">
      <c r="A1187" t="s">
        <v>704</v>
      </c>
      <c r="B1187">
        <v>1</v>
      </c>
      <c r="C1187">
        <v>0</v>
      </c>
      <c r="D1187">
        <v>0</v>
      </c>
      <c r="E1187">
        <v>0</v>
      </c>
      <c r="F1187">
        <v>0</v>
      </c>
      <c r="G1187">
        <v>0</v>
      </c>
      <c r="H1187">
        <v>0</v>
      </c>
      <c r="J1187">
        <v>0</v>
      </c>
      <c r="K1187">
        <v>0</v>
      </c>
      <c r="M1187">
        <v>0</v>
      </c>
      <c r="N1187">
        <v>0</v>
      </c>
    </row>
    <row r="1188" spans="1:14" x14ac:dyDescent="0.3">
      <c r="A1188" t="s">
        <v>705</v>
      </c>
      <c r="B1188">
        <v>1</v>
      </c>
      <c r="C1188">
        <v>0</v>
      </c>
      <c r="D1188">
        <v>0</v>
      </c>
      <c r="E1188">
        <v>0</v>
      </c>
      <c r="F1188">
        <v>0</v>
      </c>
      <c r="G1188">
        <v>0</v>
      </c>
      <c r="H1188">
        <v>0</v>
      </c>
      <c r="J1188">
        <v>0</v>
      </c>
      <c r="K1188">
        <v>0</v>
      </c>
      <c r="M1188">
        <v>0</v>
      </c>
      <c r="N1188">
        <v>0</v>
      </c>
    </row>
    <row r="1189" spans="1:14" x14ac:dyDescent="0.3">
      <c r="A1189" t="s">
        <v>706</v>
      </c>
      <c r="B1189">
        <v>1</v>
      </c>
      <c r="C1189">
        <v>0</v>
      </c>
      <c r="D1189">
        <v>0</v>
      </c>
      <c r="E1189">
        <v>0</v>
      </c>
      <c r="F1189">
        <v>0</v>
      </c>
      <c r="G1189">
        <v>0</v>
      </c>
      <c r="H1189">
        <v>0</v>
      </c>
      <c r="J1189">
        <v>0</v>
      </c>
      <c r="K1189">
        <v>0</v>
      </c>
      <c r="M1189">
        <v>0</v>
      </c>
      <c r="N1189">
        <v>0</v>
      </c>
    </row>
    <row r="1190" spans="1:14" x14ac:dyDescent="0.3">
      <c r="A1190" t="s">
        <v>707</v>
      </c>
      <c r="B1190">
        <v>1</v>
      </c>
      <c r="C1190">
        <v>0</v>
      </c>
      <c r="D1190">
        <v>0</v>
      </c>
      <c r="E1190">
        <v>0</v>
      </c>
      <c r="F1190">
        <v>0</v>
      </c>
      <c r="G1190">
        <v>0</v>
      </c>
      <c r="H1190">
        <v>0</v>
      </c>
      <c r="J1190">
        <v>0</v>
      </c>
      <c r="K1190">
        <v>0</v>
      </c>
      <c r="M1190">
        <v>0</v>
      </c>
      <c r="N1190">
        <v>0</v>
      </c>
    </row>
    <row r="1191" spans="1:14" x14ac:dyDescent="0.3">
      <c r="A1191" t="s">
        <v>708</v>
      </c>
      <c r="B1191">
        <v>1</v>
      </c>
      <c r="C1191">
        <v>1</v>
      </c>
      <c r="D1191">
        <v>2</v>
      </c>
      <c r="E1191">
        <v>1</v>
      </c>
      <c r="F1191">
        <v>1</v>
      </c>
      <c r="G1191">
        <v>2</v>
      </c>
      <c r="H1191">
        <v>1</v>
      </c>
      <c r="J1191">
        <v>1</v>
      </c>
      <c r="K1191">
        <v>2</v>
      </c>
      <c r="M1191">
        <v>1</v>
      </c>
      <c r="N1191">
        <v>2</v>
      </c>
    </row>
    <row r="1192" spans="1:14" x14ac:dyDescent="0.3">
      <c r="A1192" t="s">
        <v>709</v>
      </c>
      <c r="B1192">
        <v>1</v>
      </c>
      <c r="C1192">
        <v>0</v>
      </c>
      <c r="D1192">
        <v>0</v>
      </c>
      <c r="E1192">
        <v>0</v>
      </c>
      <c r="F1192">
        <v>0</v>
      </c>
      <c r="G1192">
        <v>0</v>
      </c>
      <c r="H1192">
        <v>0</v>
      </c>
      <c r="J1192">
        <v>0</v>
      </c>
      <c r="K1192">
        <v>0</v>
      </c>
      <c r="M1192">
        <v>0</v>
      </c>
      <c r="N1192">
        <v>0</v>
      </c>
    </row>
    <row r="1193" spans="1:14" x14ac:dyDescent="0.3">
      <c r="A1193" t="s">
        <v>710</v>
      </c>
      <c r="B1193">
        <v>1</v>
      </c>
      <c r="C1193">
        <v>20</v>
      </c>
      <c r="D1193">
        <v>6</v>
      </c>
      <c r="E1193">
        <v>20</v>
      </c>
      <c r="F1193">
        <v>20</v>
      </c>
      <c r="G1193">
        <v>6</v>
      </c>
      <c r="H1193">
        <v>20</v>
      </c>
      <c r="J1193">
        <v>20</v>
      </c>
      <c r="K1193">
        <v>6</v>
      </c>
      <c r="M1193">
        <v>20</v>
      </c>
      <c r="N1193">
        <v>6</v>
      </c>
    </row>
    <row r="1194" spans="1:14" x14ac:dyDescent="0.3">
      <c r="A1194" t="s">
        <v>711</v>
      </c>
      <c r="B1194">
        <v>1</v>
      </c>
      <c r="C1194">
        <v>3</v>
      </c>
      <c r="D1194">
        <v>3</v>
      </c>
      <c r="E1194">
        <v>3</v>
      </c>
      <c r="F1194">
        <v>3</v>
      </c>
      <c r="G1194">
        <v>3</v>
      </c>
      <c r="H1194">
        <v>3</v>
      </c>
      <c r="J1194">
        <v>3</v>
      </c>
      <c r="K1194">
        <v>3</v>
      </c>
      <c r="M1194">
        <v>3</v>
      </c>
      <c r="N1194">
        <v>3</v>
      </c>
    </row>
    <row r="1195" spans="1:14" x14ac:dyDescent="0.3">
      <c r="A1195" t="s">
        <v>712</v>
      </c>
      <c r="B1195">
        <v>1</v>
      </c>
      <c r="C1195">
        <v>0</v>
      </c>
      <c r="D1195">
        <v>0</v>
      </c>
      <c r="E1195">
        <v>0</v>
      </c>
      <c r="F1195">
        <v>0</v>
      </c>
      <c r="G1195">
        <v>0</v>
      </c>
      <c r="H1195">
        <v>0</v>
      </c>
      <c r="J1195">
        <v>0</v>
      </c>
      <c r="K1195">
        <v>0</v>
      </c>
      <c r="M1195">
        <v>0</v>
      </c>
      <c r="N1195">
        <v>0</v>
      </c>
    </row>
    <row r="1196" spans="1:14" x14ac:dyDescent="0.3">
      <c r="A1196" t="s">
        <v>713</v>
      </c>
      <c r="B1196">
        <v>1</v>
      </c>
      <c r="C1196">
        <v>0</v>
      </c>
      <c r="D1196">
        <v>0</v>
      </c>
      <c r="E1196">
        <v>0</v>
      </c>
      <c r="F1196">
        <v>0</v>
      </c>
      <c r="G1196">
        <v>0</v>
      </c>
      <c r="H1196">
        <v>0</v>
      </c>
      <c r="J1196">
        <v>0</v>
      </c>
      <c r="K1196">
        <v>0</v>
      </c>
      <c r="M1196">
        <v>0</v>
      </c>
      <c r="N1196">
        <v>0</v>
      </c>
    </row>
    <row r="1197" spans="1:14" x14ac:dyDescent="0.3">
      <c r="A1197" t="s">
        <v>714</v>
      </c>
      <c r="B1197">
        <v>1</v>
      </c>
      <c r="C1197">
        <v>0</v>
      </c>
      <c r="D1197">
        <v>0</v>
      </c>
      <c r="E1197">
        <v>0</v>
      </c>
      <c r="F1197">
        <v>0</v>
      </c>
      <c r="G1197">
        <v>0</v>
      </c>
      <c r="H1197">
        <v>0</v>
      </c>
      <c r="J1197">
        <v>0</v>
      </c>
      <c r="K1197">
        <v>0</v>
      </c>
      <c r="M1197">
        <v>0</v>
      </c>
      <c r="N1197">
        <v>0</v>
      </c>
    </row>
    <row r="1198" spans="1:14" x14ac:dyDescent="0.3">
      <c r="A1198" t="s">
        <v>715</v>
      </c>
      <c r="B1198">
        <v>1</v>
      </c>
      <c r="D1198">
        <v>94</v>
      </c>
      <c r="G1198">
        <v>94</v>
      </c>
      <c r="K1198">
        <v>94</v>
      </c>
      <c r="N1198">
        <v>94</v>
      </c>
    </row>
    <row r="1199" spans="1:14" x14ac:dyDescent="0.3">
      <c r="A1199" t="s">
        <v>716</v>
      </c>
      <c r="B1199">
        <v>1</v>
      </c>
      <c r="D1199">
        <v>6</v>
      </c>
      <c r="G1199">
        <v>6</v>
      </c>
      <c r="K1199">
        <v>6</v>
      </c>
      <c r="N1199">
        <v>6</v>
      </c>
    </row>
    <row r="1200" spans="1:14" x14ac:dyDescent="0.3">
      <c r="A1200" t="s">
        <v>717</v>
      </c>
      <c r="B1200">
        <v>1</v>
      </c>
      <c r="D1200">
        <v>3</v>
      </c>
      <c r="G1200">
        <v>3</v>
      </c>
      <c r="K1200">
        <v>3</v>
      </c>
      <c r="N1200">
        <v>3</v>
      </c>
    </row>
    <row r="1201" spans="1:15" x14ac:dyDescent="0.3">
      <c r="A1201" t="s">
        <v>718</v>
      </c>
      <c r="B1201">
        <v>1</v>
      </c>
      <c r="D1201">
        <v>0</v>
      </c>
      <c r="G1201">
        <v>0</v>
      </c>
      <c r="K1201">
        <v>0</v>
      </c>
      <c r="N1201">
        <v>0</v>
      </c>
    </row>
    <row r="1202" spans="1:15" x14ac:dyDescent="0.3">
      <c r="A1202" t="s">
        <v>719</v>
      </c>
      <c r="B1202">
        <v>1</v>
      </c>
      <c r="D1202">
        <v>0</v>
      </c>
      <c r="G1202">
        <v>0</v>
      </c>
      <c r="K1202">
        <v>0</v>
      </c>
      <c r="N1202">
        <v>0</v>
      </c>
    </row>
    <row r="1203" spans="1:15" x14ac:dyDescent="0.3">
      <c r="A1203" t="s">
        <v>405</v>
      </c>
      <c r="B1203">
        <v>1</v>
      </c>
      <c r="D1203">
        <v>0</v>
      </c>
    </row>
    <row r="1204" spans="1:15" x14ac:dyDescent="0.3">
      <c r="A1204" t="s">
        <v>720</v>
      </c>
      <c r="B1204">
        <v>1</v>
      </c>
      <c r="C1204">
        <v>42</v>
      </c>
      <c r="D1204">
        <v>257</v>
      </c>
      <c r="E1204">
        <v>66</v>
      </c>
      <c r="F1204">
        <v>102</v>
      </c>
      <c r="G1204">
        <v>139</v>
      </c>
      <c r="H1204">
        <v>77</v>
      </c>
      <c r="J1204">
        <v>218</v>
      </c>
      <c r="K1204">
        <v>1665</v>
      </c>
      <c r="L1204">
        <v>0</v>
      </c>
      <c r="M1204">
        <v>18</v>
      </c>
      <c r="N1204">
        <v>1621</v>
      </c>
      <c r="O1204">
        <v>0</v>
      </c>
    </row>
    <row r="1205" spans="1:15" x14ac:dyDescent="0.3">
      <c r="A1205" t="s">
        <v>34</v>
      </c>
      <c r="B1205">
        <v>7</v>
      </c>
      <c r="C1205">
        <v>10</v>
      </c>
      <c r="D1205">
        <v>10</v>
      </c>
      <c r="E1205">
        <v>10</v>
      </c>
      <c r="F1205">
        <v>8</v>
      </c>
      <c r="G1205">
        <v>8</v>
      </c>
      <c r="H1205">
        <v>8</v>
      </c>
      <c r="J1205">
        <v>11</v>
      </c>
      <c r="K1205">
        <v>11</v>
      </c>
      <c r="L1205">
        <v>11</v>
      </c>
      <c r="M1205">
        <v>9</v>
      </c>
      <c r="N1205">
        <v>9</v>
      </c>
      <c r="O1205">
        <v>9</v>
      </c>
    </row>
    <row r="1206" spans="1:15" x14ac:dyDescent="0.3">
      <c r="A1206" t="s">
        <v>35</v>
      </c>
      <c r="B1206">
        <v>7</v>
      </c>
      <c r="C1206">
        <v>11</v>
      </c>
      <c r="D1206">
        <v>8</v>
      </c>
      <c r="E1206">
        <v>9</v>
      </c>
      <c r="F1206">
        <v>9</v>
      </c>
      <c r="G1206">
        <v>10</v>
      </c>
      <c r="H1206">
        <v>11</v>
      </c>
      <c r="J1206">
        <v>8</v>
      </c>
      <c r="K1206">
        <v>9</v>
      </c>
      <c r="L1206">
        <v>10</v>
      </c>
      <c r="M1206">
        <v>10</v>
      </c>
      <c r="N1206">
        <v>11</v>
      </c>
      <c r="O1206">
        <v>8</v>
      </c>
    </row>
    <row r="1207" spans="1:15" x14ac:dyDescent="0.3">
      <c r="A1207" t="s">
        <v>36</v>
      </c>
      <c r="B1207">
        <v>7</v>
      </c>
      <c r="C1207">
        <v>1</v>
      </c>
      <c r="D1207">
        <v>2</v>
      </c>
      <c r="E1207">
        <v>1</v>
      </c>
      <c r="F1207">
        <v>1</v>
      </c>
      <c r="G1207">
        <v>2</v>
      </c>
      <c r="H1207">
        <v>0</v>
      </c>
      <c r="J1207">
        <v>1</v>
      </c>
      <c r="K1207">
        <v>3</v>
      </c>
      <c r="L1207">
        <v>0</v>
      </c>
      <c r="M1207">
        <v>1</v>
      </c>
      <c r="N1207">
        <v>3</v>
      </c>
      <c r="O1207">
        <v>0</v>
      </c>
    </row>
    <row r="1208" spans="1:15" x14ac:dyDescent="0.3">
      <c r="A1208" t="s">
        <v>37</v>
      </c>
      <c r="B1208">
        <v>7</v>
      </c>
      <c r="C1208">
        <v>0</v>
      </c>
      <c r="D1208">
        <v>0</v>
      </c>
      <c r="F1208">
        <v>0</v>
      </c>
      <c r="G1208">
        <v>2</v>
      </c>
      <c r="J1208">
        <v>0</v>
      </c>
      <c r="K1208">
        <v>2</v>
      </c>
      <c r="M1208">
        <v>0</v>
      </c>
      <c r="N1208">
        <v>2</v>
      </c>
    </row>
    <row r="1209" spans="1:15" x14ac:dyDescent="0.3">
      <c r="A1209" t="s">
        <v>38</v>
      </c>
      <c r="B1209">
        <v>7</v>
      </c>
      <c r="C1209">
        <v>12</v>
      </c>
      <c r="D1209">
        <v>12</v>
      </c>
      <c r="E1209">
        <v>12</v>
      </c>
      <c r="F1209">
        <v>12</v>
      </c>
      <c r="G1209">
        <v>12</v>
      </c>
      <c r="H1209">
        <v>12</v>
      </c>
      <c r="J1209">
        <v>12</v>
      </c>
      <c r="K1209">
        <v>12</v>
      </c>
      <c r="L1209">
        <v>12</v>
      </c>
      <c r="M1209">
        <v>12</v>
      </c>
      <c r="N1209">
        <v>12</v>
      </c>
      <c r="O1209">
        <v>12</v>
      </c>
    </row>
    <row r="1210" spans="1:15" x14ac:dyDescent="0.3">
      <c r="A1210" t="s">
        <v>39</v>
      </c>
      <c r="B1210">
        <v>7</v>
      </c>
      <c r="C1210">
        <v>75</v>
      </c>
      <c r="E1210">
        <v>165</v>
      </c>
      <c r="F1210">
        <v>120</v>
      </c>
      <c r="J1210">
        <v>310</v>
      </c>
      <c r="M1210">
        <v>310</v>
      </c>
    </row>
    <row r="1211" spans="1:15" x14ac:dyDescent="0.3">
      <c r="A1211" t="s">
        <v>695</v>
      </c>
      <c r="B1211">
        <v>7</v>
      </c>
      <c r="C1211">
        <v>55</v>
      </c>
      <c r="E1211">
        <v>50</v>
      </c>
      <c r="F1211">
        <v>90</v>
      </c>
      <c r="J1211">
        <v>90</v>
      </c>
      <c r="M1211">
        <v>85</v>
      </c>
    </row>
    <row r="1212" spans="1:15" x14ac:dyDescent="0.3">
      <c r="A1212" t="s">
        <v>40</v>
      </c>
      <c r="B1212">
        <v>7</v>
      </c>
      <c r="C1212">
        <v>1</v>
      </c>
      <c r="E1212">
        <v>1</v>
      </c>
      <c r="F1212">
        <v>1</v>
      </c>
      <c r="J1212">
        <v>1</v>
      </c>
      <c r="M1212">
        <v>1</v>
      </c>
    </row>
    <row r="1213" spans="1:15" x14ac:dyDescent="0.3">
      <c r="A1213" t="s">
        <v>41</v>
      </c>
      <c r="B1213">
        <v>7</v>
      </c>
    </row>
    <row r="1214" spans="1:15" x14ac:dyDescent="0.3">
      <c r="A1214" t="s">
        <v>42</v>
      </c>
      <c r="B1214">
        <v>7</v>
      </c>
      <c r="D1214">
        <v>30</v>
      </c>
      <c r="G1214">
        <v>30</v>
      </c>
      <c r="K1214">
        <v>45</v>
      </c>
      <c r="N1214">
        <v>45</v>
      </c>
    </row>
    <row r="1215" spans="1:15" x14ac:dyDescent="0.3">
      <c r="A1215" t="s">
        <v>45</v>
      </c>
      <c r="B1215">
        <v>7</v>
      </c>
      <c r="C1215">
        <v>3</v>
      </c>
      <c r="D1215">
        <v>8</v>
      </c>
      <c r="F1215">
        <v>7</v>
      </c>
      <c r="G1215">
        <v>4</v>
      </c>
      <c r="J1215">
        <v>1</v>
      </c>
      <c r="K1215">
        <v>6</v>
      </c>
      <c r="M1215">
        <v>5</v>
      </c>
      <c r="N1215">
        <v>2</v>
      </c>
    </row>
    <row r="1216" spans="1:15" x14ac:dyDescent="0.3">
      <c r="A1216" t="s">
        <v>46</v>
      </c>
      <c r="B1216">
        <v>7</v>
      </c>
      <c r="E1216">
        <v>8</v>
      </c>
    </row>
    <row r="1217" spans="1:15" x14ac:dyDescent="0.3">
      <c r="A1217" t="s">
        <v>49</v>
      </c>
      <c r="B1217">
        <v>7</v>
      </c>
      <c r="C1217">
        <v>7.7</v>
      </c>
      <c r="D1217">
        <v>7</v>
      </c>
      <c r="E1217">
        <v>7</v>
      </c>
      <c r="F1217">
        <v>7.7</v>
      </c>
      <c r="G1217">
        <v>6.6</v>
      </c>
      <c r="H1217">
        <v>4</v>
      </c>
      <c r="J1217">
        <v>6.8</v>
      </c>
      <c r="K1217">
        <v>7.1</v>
      </c>
      <c r="L1217">
        <v>4</v>
      </c>
      <c r="M1217">
        <v>7.1</v>
      </c>
      <c r="N1217">
        <v>7</v>
      </c>
      <c r="O1217">
        <v>4</v>
      </c>
    </row>
    <row r="1218" spans="1:15" x14ac:dyDescent="0.3">
      <c r="A1218" t="s">
        <v>696</v>
      </c>
      <c r="B1218">
        <v>7</v>
      </c>
      <c r="C1218">
        <v>0</v>
      </c>
      <c r="D1218">
        <v>0</v>
      </c>
      <c r="E1218">
        <v>0</v>
      </c>
      <c r="F1218">
        <v>0</v>
      </c>
      <c r="G1218">
        <v>0</v>
      </c>
      <c r="H1218">
        <v>0</v>
      </c>
      <c r="J1218">
        <v>0</v>
      </c>
      <c r="K1218">
        <v>0</v>
      </c>
      <c r="L1218">
        <v>0</v>
      </c>
      <c r="M1218">
        <v>0</v>
      </c>
      <c r="N1218">
        <v>0</v>
      </c>
      <c r="O1218">
        <v>0</v>
      </c>
    </row>
    <row r="1219" spans="1:15" x14ac:dyDescent="0.3">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3">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3">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3">
      <c r="A1222" t="s">
        <v>698</v>
      </c>
      <c r="B1222">
        <v>7</v>
      </c>
      <c r="C1222">
        <v>1</v>
      </c>
      <c r="D1222">
        <v>1</v>
      </c>
      <c r="E1222">
        <v>1</v>
      </c>
      <c r="F1222">
        <v>1</v>
      </c>
      <c r="G1222">
        <v>1</v>
      </c>
      <c r="H1222">
        <v>1</v>
      </c>
      <c r="J1222">
        <v>1</v>
      </c>
      <c r="K1222">
        <v>1</v>
      </c>
      <c r="L1222">
        <v>1</v>
      </c>
      <c r="M1222">
        <v>1</v>
      </c>
      <c r="N1222">
        <v>1</v>
      </c>
      <c r="O1222">
        <v>1</v>
      </c>
    </row>
    <row r="1223" spans="1:15" x14ac:dyDescent="0.3">
      <c r="A1223" t="s">
        <v>51</v>
      </c>
      <c r="B1223">
        <v>7</v>
      </c>
      <c r="C1223">
        <v>0</v>
      </c>
      <c r="D1223">
        <v>0</v>
      </c>
      <c r="E1223">
        <v>200</v>
      </c>
      <c r="F1223">
        <v>0</v>
      </c>
      <c r="G1223">
        <v>92</v>
      </c>
      <c r="H1223">
        <v>0</v>
      </c>
      <c r="J1223">
        <v>0</v>
      </c>
      <c r="K1223">
        <v>1</v>
      </c>
      <c r="L1223">
        <v>0</v>
      </c>
      <c r="M1223">
        <v>0</v>
      </c>
      <c r="N1223">
        <v>9</v>
      </c>
      <c r="O1223">
        <v>0</v>
      </c>
    </row>
    <row r="1224" spans="1:15" x14ac:dyDescent="0.3">
      <c r="A1224" t="s">
        <v>53</v>
      </c>
      <c r="B1224">
        <v>7</v>
      </c>
      <c r="C1224">
        <v>57</v>
      </c>
      <c r="D1224">
        <v>153</v>
      </c>
      <c r="E1224">
        <v>39</v>
      </c>
      <c r="F1224">
        <v>50</v>
      </c>
      <c r="G1224">
        <v>100</v>
      </c>
      <c r="H1224">
        <v>85</v>
      </c>
      <c r="J1224">
        <v>173</v>
      </c>
      <c r="K1224">
        <v>1715</v>
      </c>
      <c r="L1224">
        <v>15</v>
      </c>
      <c r="M1224">
        <v>37</v>
      </c>
      <c r="N1224">
        <v>1132</v>
      </c>
      <c r="O1224">
        <v>87</v>
      </c>
    </row>
    <row r="1225" spans="1:15" x14ac:dyDescent="0.3">
      <c r="A1225" t="s">
        <v>54</v>
      </c>
      <c r="B1225">
        <v>7</v>
      </c>
      <c r="C1225">
        <v>0</v>
      </c>
      <c r="D1225">
        <v>0</v>
      </c>
      <c r="E1225">
        <v>0</v>
      </c>
      <c r="F1225">
        <v>0</v>
      </c>
      <c r="G1225">
        <v>0</v>
      </c>
      <c r="H1225">
        <v>0</v>
      </c>
      <c r="J1225">
        <v>0</v>
      </c>
      <c r="K1225">
        <v>0</v>
      </c>
      <c r="L1225">
        <v>0</v>
      </c>
      <c r="M1225">
        <v>0</v>
      </c>
      <c r="N1225">
        <v>0</v>
      </c>
      <c r="O1225">
        <v>0</v>
      </c>
    </row>
    <row r="1226" spans="1:15" x14ac:dyDescent="0.3">
      <c r="A1226" t="s">
        <v>55</v>
      </c>
      <c r="B1226">
        <v>7</v>
      </c>
      <c r="C1226">
        <v>0</v>
      </c>
      <c r="D1226">
        <v>0</v>
      </c>
      <c r="E1226">
        <v>0</v>
      </c>
      <c r="F1226">
        <v>0</v>
      </c>
      <c r="G1226">
        <v>0</v>
      </c>
      <c r="H1226">
        <v>0</v>
      </c>
      <c r="J1226">
        <v>0</v>
      </c>
      <c r="K1226">
        <v>0</v>
      </c>
      <c r="L1226">
        <v>0</v>
      </c>
      <c r="M1226">
        <v>0</v>
      </c>
      <c r="N1226">
        <v>0</v>
      </c>
      <c r="O1226">
        <v>0</v>
      </c>
    </row>
    <row r="1227" spans="1:15" x14ac:dyDescent="0.3">
      <c r="A1227" t="s">
        <v>56</v>
      </c>
      <c r="B1227">
        <v>7</v>
      </c>
      <c r="C1227">
        <v>0.92</v>
      </c>
      <c r="D1227">
        <v>0.92</v>
      </c>
      <c r="E1227">
        <v>0.92</v>
      </c>
      <c r="F1227">
        <v>0.92</v>
      </c>
      <c r="G1227">
        <v>0.92</v>
      </c>
      <c r="H1227">
        <v>0.92</v>
      </c>
      <c r="J1227">
        <v>0.92</v>
      </c>
      <c r="K1227">
        <v>0.92</v>
      </c>
      <c r="L1227">
        <v>0.92</v>
      </c>
      <c r="M1227">
        <v>0.92</v>
      </c>
      <c r="N1227">
        <v>0.92</v>
      </c>
      <c r="O1227">
        <v>0.92</v>
      </c>
    </row>
    <row r="1228" spans="1:15" x14ac:dyDescent="0.3">
      <c r="A1228" t="s">
        <v>57</v>
      </c>
      <c r="B1228">
        <v>7</v>
      </c>
      <c r="C1228">
        <v>100</v>
      </c>
      <c r="D1228">
        <v>100</v>
      </c>
      <c r="E1228">
        <v>100</v>
      </c>
      <c r="F1228">
        <v>100</v>
      </c>
      <c r="G1228">
        <v>100</v>
      </c>
      <c r="H1228">
        <v>100</v>
      </c>
      <c r="J1228">
        <v>100</v>
      </c>
      <c r="K1228">
        <v>100</v>
      </c>
      <c r="L1228">
        <v>100</v>
      </c>
      <c r="M1228">
        <v>100</v>
      </c>
      <c r="N1228">
        <v>100</v>
      </c>
      <c r="O1228">
        <v>100</v>
      </c>
    </row>
    <row r="1229" spans="1:15" x14ac:dyDescent="0.3">
      <c r="A1229" t="s">
        <v>58</v>
      </c>
      <c r="B1229">
        <v>7</v>
      </c>
      <c r="C1229">
        <v>2</v>
      </c>
      <c r="D1229">
        <v>2</v>
      </c>
      <c r="E1229">
        <v>2</v>
      </c>
      <c r="F1229">
        <v>2</v>
      </c>
      <c r="G1229">
        <v>2</v>
      </c>
      <c r="H1229">
        <v>2</v>
      </c>
      <c r="J1229">
        <v>2</v>
      </c>
      <c r="K1229">
        <v>2</v>
      </c>
      <c r="L1229">
        <v>2</v>
      </c>
      <c r="M1229">
        <v>2</v>
      </c>
      <c r="N1229">
        <v>2</v>
      </c>
      <c r="O1229">
        <v>2</v>
      </c>
    </row>
    <row r="1230" spans="1:15" x14ac:dyDescent="0.3">
      <c r="A1230" t="s">
        <v>59</v>
      </c>
      <c r="B1230">
        <v>7</v>
      </c>
      <c r="C1230">
        <v>0</v>
      </c>
      <c r="D1230">
        <v>0</v>
      </c>
      <c r="E1230">
        <v>0</v>
      </c>
      <c r="F1230">
        <v>0</v>
      </c>
      <c r="G1230">
        <v>0</v>
      </c>
      <c r="H1230">
        <v>0</v>
      </c>
      <c r="J1230">
        <v>0</v>
      </c>
      <c r="K1230">
        <v>0</v>
      </c>
      <c r="L1230">
        <v>0</v>
      </c>
      <c r="M1230">
        <v>0</v>
      </c>
      <c r="N1230">
        <v>0</v>
      </c>
      <c r="O1230">
        <v>0</v>
      </c>
    </row>
    <row r="1231" spans="1:15" x14ac:dyDescent="0.3">
      <c r="A1231" t="s">
        <v>699</v>
      </c>
      <c r="B1231">
        <v>7</v>
      </c>
      <c r="D1231">
        <v>0</v>
      </c>
      <c r="G1231">
        <v>0</v>
      </c>
      <c r="K1231">
        <v>0</v>
      </c>
      <c r="N1231">
        <v>0</v>
      </c>
    </row>
    <row r="1232" spans="1:15" x14ac:dyDescent="0.3">
      <c r="A1232" t="s">
        <v>678</v>
      </c>
      <c r="B1232">
        <v>7</v>
      </c>
      <c r="D1232">
        <v>512</v>
      </c>
      <c r="G1232">
        <v>667</v>
      </c>
      <c r="K1232">
        <v>2820</v>
      </c>
      <c r="N1232">
        <v>2784</v>
      </c>
    </row>
    <row r="1233" spans="1:15" x14ac:dyDescent="0.3">
      <c r="A1233" t="s">
        <v>78</v>
      </c>
      <c r="B1233">
        <v>7</v>
      </c>
      <c r="D1233">
        <v>11.6</v>
      </c>
      <c r="G1233">
        <v>15.2</v>
      </c>
      <c r="K1233">
        <v>42.7</v>
      </c>
      <c r="N1233">
        <v>42.2</v>
      </c>
    </row>
    <row r="1234" spans="1:15" x14ac:dyDescent="0.3">
      <c r="A1234" t="s">
        <v>700</v>
      </c>
      <c r="B1234">
        <v>7</v>
      </c>
      <c r="E1234">
        <v>0</v>
      </c>
      <c r="H1234">
        <v>0</v>
      </c>
      <c r="L1234">
        <v>0</v>
      </c>
      <c r="O1234">
        <v>0</v>
      </c>
    </row>
    <row r="1235" spans="1:15" x14ac:dyDescent="0.3">
      <c r="A1235" t="s">
        <v>701</v>
      </c>
      <c r="B1235">
        <v>7</v>
      </c>
      <c r="C1235">
        <v>0</v>
      </c>
      <c r="D1235">
        <v>0</v>
      </c>
      <c r="E1235">
        <v>1</v>
      </c>
      <c r="F1235">
        <v>0</v>
      </c>
      <c r="G1235">
        <v>0</v>
      </c>
      <c r="H1235">
        <v>1</v>
      </c>
      <c r="J1235">
        <v>0</v>
      </c>
      <c r="K1235">
        <v>0</v>
      </c>
      <c r="L1235">
        <v>1</v>
      </c>
      <c r="M1235">
        <v>0</v>
      </c>
      <c r="N1235">
        <v>0</v>
      </c>
      <c r="O1235">
        <v>1</v>
      </c>
    </row>
    <row r="1236" spans="1:15" x14ac:dyDescent="0.3">
      <c r="A1236" t="s">
        <v>702</v>
      </c>
      <c r="B1236">
        <v>7</v>
      </c>
      <c r="C1236">
        <v>0</v>
      </c>
      <c r="D1236">
        <v>0</v>
      </c>
      <c r="E1236">
        <v>0</v>
      </c>
      <c r="F1236">
        <v>0</v>
      </c>
      <c r="G1236">
        <v>0</v>
      </c>
      <c r="H1236">
        <v>0</v>
      </c>
      <c r="J1236">
        <v>0</v>
      </c>
      <c r="K1236">
        <v>0</v>
      </c>
      <c r="L1236">
        <v>0</v>
      </c>
      <c r="M1236">
        <v>0</v>
      </c>
      <c r="N1236">
        <v>0</v>
      </c>
      <c r="O1236">
        <v>0</v>
      </c>
    </row>
    <row r="1237" spans="1:15" x14ac:dyDescent="0.3">
      <c r="A1237" t="s">
        <v>52</v>
      </c>
      <c r="B1237">
        <v>7</v>
      </c>
      <c r="C1237">
        <v>1</v>
      </c>
      <c r="D1237">
        <v>1</v>
      </c>
      <c r="E1237">
        <v>1</v>
      </c>
      <c r="F1237">
        <v>1</v>
      </c>
      <c r="G1237">
        <v>1</v>
      </c>
      <c r="H1237">
        <v>1</v>
      </c>
      <c r="J1237">
        <v>1</v>
      </c>
      <c r="K1237">
        <v>1</v>
      </c>
      <c r="L1237">
        <v>1</v>
      </c>
      <c r="M1237">
        <v>1</v>
      </c>
      <c r="N1237">
        <v>1</v>
      </c>
      <c r="O1237">
        <v>1</v>
      </c>
    </row>
    <row r="1238" spans="1:15" x14ac:dyDescent="0.3">
      <c r="A1238" t="s">
        <v>703</v>
      </c>
      <c r="B1238">
        <v>7</v>
      </c>
      <c r="C1238">
        <v>15</v>
      </c>
      <c r="D1238">
        <v>60</v>
      </c>
      <c r="E1238">
        <v>9</v>
      </c>
      <c r="F1238">
        <v>15</v>
      </c>
      <c r="G1238">
        <v>60</v>
      </c>
      <c r="H1238">
        <v>9</v>
      </c>
      <c r="J1238">
        <v>15</v>
      </c>
      <c r="K1238">
        <v>60</v>
      </c>
      <c r="L1238">
        <v>9</v>
      </c>
      <c r="M1238">
        <v>15</v>
      </c>
      <c r="N1238">
        <v>60</v>
      </c>
      <c r="O1238">
        <v>9</v>
      </c>
    </row>
    <row r="1239" spans="1:15" x14ac:dyDescent="0.3">
      <c r="A1239" t="s">
        <v>43</v>
      </c>
      <c r="B1239">
        <v>7</v>
      </c>
      <c r="C1239">
        <v>0</v>
      </c>
      <c r="D1239">
        <v>0</v>
      </c>
      <c r="E1239">
        <v>0</v>
      </c>
      <c r="F1239">
        <v>0</v>
      </c>
      <c r="G1239">
        <v>0</v>
      </c>
      <c r="J1239">
        <v>0</v>
      </c>
      <c r="K1239">
        <v>0</v>
      </c>
      <c r="M1239">
        <v>0</v>
      </c>
      <c r="N1239">
        <v>0</v>
      </c>
    </row>
    <row r="1240" spans="1:15" x14ac:dyDescent="0.3">
      <c r="A1240" t="s">
        <v>44</v>
      </c>
      <c r="B1240">
        <v>7</v>
      </c>
      <c r="C1240">
        <v>0</v>
      </c>
      <c r="D1240">
        <v>0</v>
      </c>
      <c r="E1240">
        <v>0</v>
      </c>
      <c r="F1240">
        <v>0</v>
      </c>
      <c r="G1240">
        <v>0</v>
      </c>
      <c r="J1240">
        <v>0</v>
      </c>
      <c r="K1240">
        <v>0</v>
      </c>
      <c r="M1240">
        <v>0</v>
      </c>
      <c r="N1240">
        <v>0</v>
      </c>
    </row>
    <row r="1241" spans="1:15" x14ac:dyDescent="0.3">
      <c r="A1241" t="s">
        <v>47</v>
      </c>
      <c r="B1241">
        <v>7</v>
      </c>
      <c r="C1241">
        <v>3</v>
      </c>
      <c r="D1241">
        <v>8</v>
      </c>
      <c r="E1241">
        <v>8</v>
      </c>
      <c r="F1241">
        <v>7</v>
      </c>
      <c r="G1241">
        <v>4</v>
      </c>
      <c r="J1241">
        <v>1</v>
      </c>
      <c r="K1241">
        <v>6</v>
      </c>
      <c r="M1241">
        <v>5</v>
      </c>
      <c r="N1241">
        <v>2</v>
      </c>
    </row>
    <row r="1242" spans="1:15" x14ac:dyDescent="0.3">
      <c r="A1242" t="s">
        <v>704</v>
      </c>
      <c r="B1242">
        <v>7</v>
      </c>
      <c r="C1242">
        <v>0</v>
      </c>
      <c r="D1242">
        <v>0</v>
      </c>
      <c r="E1242">
        <v>0</v>
      </c>
      <c r="F1242">
        <v>0</v>
      </c>
      <c r="G1242">
        <v>0</v>
      </c>
      <c r="J1242">
        <v>0</v>
      </c>
      <c r="K1242">
        <v>0</v>
      </c>
      <c r="M1242">
        <v>0</v>
      </c>
      <c r="N1242">
        <v>0</v>
      </c>
    </row>
    <row r="1243" spans="1:15" x14ac:dyDescent="0.3">
      <c r="A1243" t="s">
        <v>705</v>
      </c>
      <c r="B1243">
        <v>7</v>
      </c>
      <c r="C1243">
        <v>0</v>
      </c>
      <c r="D1243">
        <v>0</v>
      </c>
      <c r="E1243">
        <v>0</v>
      </c>
      <c r="F1243">
        <v>0</v>
      </c>
      <c r="G1243">
        <v>0</v>
      </c>
      <c r="J1243">
        <v>0</v>
      </c>
      <c r="K1243">
        <v>0</v>
      </c>
      <c r="M1243">
        <v>0</v>
      </c>
      <c r="N1243">
        <v>0</v>
      </c>
    </row>
    <row r="1244" spans="1:15" x14ac:dyDescent="0.3">
      <c r="A1244" t="s">
        <v>706</v>
      </c>
      <c r="B1244">
        <v>7</v>
      </c>
      <c r="C1244">
        <v>0</v>
      </c>
      <c r="D1244">
        <v>0</v>
      </c>
      <c r="E1244">
        <v>0</v>
      </c>
      <c r="F1244">
        <v>0</v>
      </c>
      <c r="G1244">
        <v>0</v>
      </c>
      <c r="J1244">
        <v>0</v>
      </c>
      <c r="K1244">
        <v>0</v>
      </c>
      <c r="M1244">
        <v>0</v>
      </c>
      <c r="N1244">
        <v>0</v>
      </c>
    </row>
    <row r="1245" spans="1:15" x14ac:dyDescent="0.3">
      <c r="A1245" t="s">
        <v>707</v>
      </c>
      <c r="B1245">
        <v>7</v>
      </c>
      <c r="C1245">
        <v>0</v>
      </c>
      <c r="D1245">
        <v>0</v>
      </c>
      <c r="E1245">
        <v>0</v>
      </c>
      <c r="F1245">
        <v>0</v>
      </c>
      <c r="G1245">
        <v>0</v>
      </c>
      <c r="J1245">
        <v>0</v>
      </c>
      <c r="K1245">
        <v>0</v>
      </c>
      <c r="M1245">
        <v>0</v>
      </c>
      <c r="N1245">
        <v>0</v>
      </c>
    </row>
    <row r="1246" spans="1:15" x14ac:dyDescent="0.3">
      <c r="A1246" t="s">
        <v>708</v>
      </c>
      <c r="B1246">
        <v>7</v>
      </c>
      <c r="C1246">
        <v>0</v>
      </c>
      <c r="D1246">
        <v>0</v>
      </c>
      <c r="E1246">
        <v>0</v>
      </c>
      <c r="F1246">
        <v>0</v>
      </c>
      <c r="G1246">
        <v>0</v>
      </c>
      <c r="J1246">
        <v>0</v>
      </c>
      <c r="K1246">
        <v>0</v>
      </c>
      <c r="M1246">
        <v>0</v>
      </c>
      <c r="N1246">
        <v>0</v>
      </c>
    </row>
    <row r="1247" spans="1:15" x14ac:dyDescent="0.3">
      <c r="A1247" t="s">
        <v>719</v>
      </c>
      <c r="B1247">
        <v>7</v>
      </c>
      <c r="D1247">
        <v>0</v>
      </c>
      <c r="G1247">
        <v>0</v>
      </c>
      <c r="K1247">
        <v>0</v>
      </c>
      <c r="N1247">
        <v>0</v>
      </c>
    </row>
    <row r="1248" spans="1:15" x14ac:dyDescent="0.3">
      <c r="A1248" t="s">
        <v>405</v>
      </c>
      <c r="B1248">
        <v>7</v>
      </c>
      <c r="D1248">
        <v>0</v>
      </c>
    </row>
    <row r="1249" spans="1:15" x14ac:dyDescent="0.3">
      <c r="A1249" t="s">
        <v>720</v>
      </c>
      <c r="B1249">
        <v>7</v>
      </c>
      <c r="C1249">
        <v>62</v>
      </c>
      <c r="D1249">
        <v>166</v>
      </c>
      <c r="E1249">
        <v>42</v>
      </c>
      <c r="F1249">
        <v>54</v>
      </c>
      <c r="G1249">
        <v>201</v>
      </c>
      <c r="H1249">
        <v>0</v>
      </c>
      <c r="J1249">
        <v>188</v>
      </c>
      <c r="K1249">
        <v>1880</v>
      </c>
      <c r="L1249">
        <v>0</v>
      </c>
      <c r="M1249">
        <v>40</v>
      </c>
      <c r="N1249">
        <v>1325</v>
      </c>
      <c r="O1249">
        <v>0</v>
      </c>
    </row>
    <row r="1250" spans="1:15" x14ac:dyDescent="0.3">
      <c r="A1250" t="s">
        <v>34</v>
      </c>
      <c r="B1250">
        <v>9</v>
      </c>
      <c r="C1250">
        <v>6</v>
      </c>
      <c r="D1250">
        <v>6</v>
      </c>
      <c r="E1250">
        <v>6</v>
      </c>
      <c r="F1250">
        <v>4</v>
      </c>
      <c r="G1250">
        <v>4</v>
      </c>
      <c r="H1250">
        <v>4</v>
      </c>
      <c r="J1250">
        <v>7</v>
      </c>
      <c r="K1250">
        <v>7</v>
      </c>
      <c r="L1250">
        <v>7</v>
      </c>
      <c r="M1250">
        <v>1</v>
      </c>
      <c r="N1250">
        <v>1</v>
      </c>
      <c r="O1250">
        <v>1</v>
      </c>
    </row>
    <row r="1251" spans="1:15" x14ac:dyDescent="0.3">
      <c r="A1251" t="s">
        <v>35</v>
      </c>
      <c r="B1251">
        <v>9</v>
      </c>
      <c r="C1251">
        <v>7</v>
      </c>
      <c r="D1251">
        <v>4</v>
      </c>
      <c r="E1251">
        <v>1</v>
      </c>
      <c r="F1251">
        <v>1</v>
      </c>
      <c r="G1251">
        <v>6</v>
      </c>
      <c r="H1251">
        <v>7</v>
      </c>
      <c r="J1251">
        <v>4</v>
      </c>
      <c r="K1251">
        <v>1</v>
      </c>
      <c r="L1251">
        <v>6</v>
      </c>
      <c r="M1251">
        <v>6</v>
      </c>
      <c r="N1251">
        <v>7</v>
      </c>
      <c r="O1251">
        <v>4</v>
      </c>
    </row>
    <row r="1252" spans="1:15" x14ac:dyDescent="0.3">
      <c r="A1252" t="s">
        <v>36</v>
      </c>
      <c r="B1252">
        <v>9</v>
      </c>
      <c r="C1252">
        <v>1</v>
      </c>
      <c r="D1252">
        <v>1</v>
      </c>
      <c r="E1252">
        <v>1</v>
      </c>
      <c r="F1252">
        <v>1</v>
      </c>
      <c r="G1252">
        <v>1</v>
      </c>
      <c r="H1252">
        <v>1</v>
      </c>
      <c r="J1252">
        <v>1</v>
      </c>
      <c r="K1252">
        <v>3</v>
      </c>
      <c r="L1252">
        <v>0</v>
      </c>
      <c r="M1252">
        <v>1</v>
      </c>
      <c r="N1252">
        <v>3</v>
      </c>
      <c r="O1252">
        <v>0</v>
      </c>
    </row>
    <row r="1253" spans="1:15" x14ac:dyDescent="0.3">
      <c r="A1253" t="s">
        <v>37</v>
      </c>
      <c r="B1253">
        <v>9</v>
      </c>
      <c r="C1253">
        <v>0</v>
      </c>
      <c r="D1253">
        <v>0</v>
      </c>
      <c r="F1253">
        <v>0</v>
      </c>
      <c r="G1253">
        <v>0</v>
      </c>
      <c r="J1253">
        <v>0</v>
      </c>
      <c r="K1253">
        <v>2</v>
      </c>
      <c r="M1253">
        <v>0</v>
      </c>
      <c r="N1253">
        <v>2</v>
      </c>
    </row>
    <row r="1254" spans="1:15" x14ac:dyDescent="0.3">
      <c r="A1254" t="s">
        <v>38</v>
      </c>
      <c r="B1254">
        <v>9</v>
      </c>
      <c r="C1254">
        <v>12</v>
      </c>
      <c r="D1254">
        <v>12</v>
      </c>
      <c r="E1254">
        <v>12</v>
      </c>
      <c r="F1254">
        <v>12</v>
      </c>
      <c r="G1254">
        <v>12</v>
      </c>
      <c r="H1254">
        <v>12</v>
      </c>
      <c r="J1254">
        <v>12</v>
      </c>
      <c r="K1254">
        <v>12</v>
      </c>
      <c r="L1254">
        <v>12</v>
      </c>
      <c r="M1254">
        <v>12</v>
      </c>
      <c r="N1254">
        <v>12</v>
      </c>
      <c r="O1254">
        <v>12</v>
      </c>
    </row>
    <row r="1255" spans="1:15" x14ac:dyDescent="0.3">
      <c r="A1255" t="s">
        <v>39</v>
      </c>
      <c r="B1255">
        <v>9</v>
      </c>
      <c r="C1255">
        <v>90</v>
      </c>
      <c r="F1255">
        <v>130</v>
      </c>
      <c r="H1255">
        <v>130</v>
      </c>
      <c r="J1255">
        <v>410</v>
      </c>
      <c r="M1255">
        <v>400</v>
      </c>
    </row>
    <row r="1256" spans="1:15" x14ac:dyDescent="0.3">
      <c r="A1256" t="s">
        <v>695</v>
      </c>
      <c r="B1256">
        <v>9</v>
      </c>
      <c r="C1256">
        <v>290</v>
      </c>
      <c r="F1256">
        <v>85</v>
      </c>
      <c r="H1256">
        <v>85</v>
      </c>
      <c r="J1256">
        <v>85</v>
      </c>
      <c r="M1256">
        <v>95</v>
      </c>
    </row>
    <row r="1257" spans="1:15" x14ac:dyDescent="0.3">
      <c r="A1257" t="s">
        <v>40</v>
      </c>
      <c r="B1257">
        <v>9</v>
      </c>
      <c r="C1257">
        <v>1</v>
      </c>
      <c r="F1257">
        <v>1</v>
      </c>
      <c r="H1257">
        <v>1</v>
      </c>
      <c r="J1257">
        <v>1</v>
      </c>
      <c r="M1257">
        <v>1</v>
      </c>
    </row>
    <row r="1258" spans="1:15" x14ac:dyDescent="0.3">
      <c r="A1258" t="s">
        <v>41</v>
      </c>
      <c r="B1258">
        <v>9</v>
      </c>
    </row>
    <row r="1259" spans="1:15" x14ac:dyDescent="0.3">
      <c r="A1259" t="s">
        <v>42</v>
      </c>
      <c r="B1259">
        <v>9</v>
      </c>
      <c r="D1259">
        <v>35</v>
      </c>
      <c r="G1259">
        <v>30</v>
      </c>
      <c r="K1259">
        <v>45</v>
      </c>
      <c r="N1259">
        <v>45</v>
      </c>
    </row>
    <row r="1260" spans="1:15" x14ac:dyDescent="0.3">
      <c r="A1260" t="s">
        <v>45</v>
      </c>
      <c r="B1260">
        <v>9</v>
      </c>
      <c r="C1260">
        <v>3</v>
      </c>
      <c r="D1260">
        <v>8</v>
      </c>
      <c r="F1260">
        <v>7</v>
      </c>
      <c r="G1260">
        <v>4</v>
      </c>
      <c r="J1260">
        <v>1</v>
      </c>
      <c r="K1260">
        <v>6</v>
      </c>
      <c r="M1260">
        <v>5</v>
      </c>
      <c r="N1260">
        <v>2</v>
      </c>
    </row>
    <row r="1261" spans="1:15" x14ac:dyDescent="0.3">
      <c r="A1261" t="s">
        <v>46</v>
      </c>
      <c r="B1261">
        <v>9</v>
      </c>
      <c r="E1261">
        <v>8</v>
      </c>
      <c r="H1261">
        <v>4</v>
      </c>
    </row>
    <row r="1262" spans="1:15" x14ac:dyDescent="0.3">
      <c r="A1262" t="s">
        <v>49</v>
      </c>
      <c r="B1262">
        <v>9</v>
      </c>
      <c r="C1262">
        <v>6.9</v>
      </c>
      <c r="D1262">
        <v>7</v>
      </c>
      <c r="E1262">
        <v>7</v>
      </c>
      <c r="F1262">
        <v>6.9</v>
      </c>
      <c r="G1262">
        <v>6.8</v>
      </c>
      <c r="H1262">
        <v>6.8</v>
      </c>
      <c r="J1262">
        <v>6.7</v>
      </c>
      <c r="K1262">
        <v>6.8</v>
      </c>
      <c r="L1262">
        <v>4</v>
      </c>
      <c r="M1262">
        <v>6.7</v>
      </c>
      <c r="N1262">
        <v>6.4</v>
      </c>
      <c r="O1262">
        <v>4</v>
      </c>
    </row>
    <row r="1263" spans="1:15" x14ac:dyDescent="0.3">
      <c r="A1263" t="s">
        <v>696</v>
      </c>
      <c r="B1263">
        <v>9</v>
      </c>
      <c r="C1263">
        <v>0</v>
      </c>
      <c r="D1263">
        <v>0</v>
      </c>
      <c r="E1263">
        <v>0</v>
      </c>
      <c r="F1263">
        <v>0</v>
      </c>
      <c r="G1263">
        <v>0</v>
      </c>
      <c r="H1263">
        <v>0</v>
      </c>
      <c r="J1263">
        <v>0</v>
      </c>
      <c r="K1263">
        <v>0</v>
      </c>
      <c r="L1263">
        <v>0</v>
      </c>
      <c r="M1263">
        <v>0</v>
      </c>
      <c r="N1263">
        <v>0</v>
      </c>
      <c r="O1263">
        <v>0</v>
      </c>
    </row>
    <row r="1264" spans="1:15" x14ac:dyDescent="0.3">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3">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3">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3">
      <c r="A1267" t="s">
        <v>698</v>
      </c>
      <c r="B1267">
        <v>9</v>
      </c>
      <c r="C1267">
        <v>1</v>
      </c>
      <c r="D1267">
        <v>1</v>
      </c>
      <c r="E1267">
        <v>1</v>
      </c>
      <c r="F1267">
        <v>1</v>
      </c>
      <c r="G1267">
        <v>1</v>
      </c>
      <c r="H1267">
        <v>1</v>
      </c>
      <c r="J1267">
        <v>1</v>
      </c>
      <c r="K1267">
        <v>1</v>
      </c>
      <c r="L1267">
        <v>1</v>
      </c>
      <c r="M1267">
        <v>1</v>
      </c>
      <c r="N1267">
        <v>1</v>
      </c>
      <c r="O1267">
        <v>1</v>
      </c>
    </row>
    <row r="1268" spans="1:15" x14ac:dyDescent="0.3">
      <c r="A1268" t="s">
        <v>51</v>
      </c>
      <c r="B1268">
        <v>9</v>
      </c>
      <c r="C1268">
        <v>0</v>
      </c>
      <c r="D1268">
        <v>0</v>
      </c>
      <c r="E1268">
        <v>188</v>
      </c>
      <c r="F1268">
        <v>0</v>
      </c>
      <c r="G1268">
        <v>0</v>
      </c>
      <c r="H1268">
        <v>188</v>
      </c>
      <c r="J1268">
        <v>0</v>
      </c>
      <c r="K1268">
        <v>2</v>
      </c>
      <c r="L1268">
        <v>0</v>
      </c>
      <c r="M1268">
        <v>0</v>
      </c>
      <c r="N1268">
        <v>19</v>
      </c>
      <c r="O1268">
        <v>0</v>
      </c>
    </row>
    <row r="1269" spans="1:15" x14ac:dyDescent="0.3">
      <c r="A1269" t="s">
        <v>53</v>
      </c>
      <c r="B1269">
        <v>9</v>
      </c>
      <c r="C1269">
        <v>32</v>
      </c>
      <c r="D1269">
        <v>100</v>
      </c>
      <c r="E1269">
        <v>25</v>
      </c>
      <c r="F1269">
        <v>63</v>
      </c>
      <c r="G1269">
        <v>74</v>
      </c>
      <c r="H1269">
        <v>53</v>
      </c>
      <c r="J1269">
        <v>115</v>
      </c>
      <c r="K1269">
        <v>1661</v>
      </c>
      <c r="L1269">
        <v>22</v>
      </c>
      <c r="M1269">
        <v>18</v>
      </c>
      <c r="N1269">
        <v>1198</v>
      </c>
      <c r="O1269">
        <v>159</v>
      </c>
    </row>
    <row r="1270" spans="1:15" x14ac:dyDescent="0.3">
      <c r="A1270" t="s">
        <v>54</v>
      </c>
      <c r="B1270">
        <v>9</v>
      </c>
      <c r="C1270">
        <v>0</v>
      </c>
      <c r="D1270">
        <v>0</v>
      </c>
      <c r="E1270">
        <v>0</v>
      </c>
      <c r="F1270">
        <v>0</v>
      </c>
      <c r="G1270">
        <v>0</v>
      </c>
      <c r="H1270">
        <v>0</v>
      </c>
      <c r="J1270">
        <v>0</v>
      </c>
      <c r="K1270">
        <v>0</v>
      </c>
      <c r="L1270">
        <v>0</v>
      </c>
      <c r="M1270">
        <v>0</v>
      </c>
      <c r="N1270">
        <v>0</v>
      </c>
      <c r="O1270">
        <v>0</v>
      </c>
    </row>
    <row r="1271" spans="1:15" x14ac:dyDescent="0.3">
      <c r="A1271" t="s">
        <v>55</v>
      </c>
      <c r="B1271">
        <v>9</v>
      </c>
      <c r="C1271">
        <v>0</v>
      </c>
      <c r="D1271">
        <v>0</v>
      </c>
      <c r="E1271">
        <v>0</v>
      </c>
      <c r="F1271">
        <v>0</v>
      </c>
      <c r="G1271">
        <v>0</v>
      </c>
      <c r="H1271">
        <v>0</v>
      </c>
      <c r="J1271">
        <v>0</v>
      </c>
      <c r="K1271">
        <v>0</v>
      </c>
      <c r="L1271">
        <v>0</v>
      </c>
      <c r="M1271">
        <v>0</v>
      </c>
      <c r="N1271">
        <v>0</v>
      </c>
      <c r="O1271">
        <v>0</v>
      </c>
    </row>
    <row r="1272" spans="1:15" x14ac:dyDescent="0.3">
      <c r="A1272" t="s">
        <v>56</v>
      </c>
      <c r="B1272">
        <v>9</v>
      </c>
      <c r="C1272">
        <v>0.92</v>
      </c>
      <c r="D1272">
        <v>0.92</v>
      </c>
      <c r="E1272">
        <v>0.92</v>
      </c>
      <c r="F1272">
        <v>0.92</v>
      </c>
      <c r="G1272">
        <v>0.92</v>
      </c>
      <c r="H1272">
        <v>0.92</v>
      </c>
      <c r="J1272">
        <v>0.92</v>
      </c>
      <c r="K1272">
        <v>0.92</v>
      </c>
      <c r="L1272">
        <v>0.92</v>
      </c>
      <c r="M1272">
        <v>0.92</v>
      </c>
      <c r="N1272">
        <v>0.92</v>
      </c>
      <c r="O1272">
        <v>0.92</v>
      </c>
    </row>
    <row r="1273" spans="1:15" x14ac:dyDescent="0.3">
      <c r="A1273" t="s">
        <v>57</v>
      </c>
      <c r="B1273">
        <v>9</v>
      </c>
      <c r="C1273">
        <v>100</v>
      </c>
      <c r="D1273">
        <v>100</v>
      </c>
      <c r="E1273">
        <v>100</v>
      </c>
      <c r="F1273">
        <v>100</v>
      </c>
      <c r="G1273">
        <v>100</v>
      </c>
      <c r="H1273">
        <v>100</v>
      </c>
      <c r="J1273">
        <v>100</v>
      </c>
      <c r="K1273">
        <v>100</v>
      </c>
      <c r="L1273">
        <v>100</v>
      </c>
      <c r="M1273">
        <v>100</v>
      </c>
      <c r="N1273">
        <v>100</v>
      </c>
      <c r="O1273">
        <v>100</v>
      </c>
    </row>
    <row r="1274" spans="1:15" x14ac:dyDescent="0.3">
      <c r="A1274" t="s">
        <v>58</v>
      </c>
      <c r="B1274">
        <v>9</v>
      </c>
      <c r="C1274">
        <v>2</v>
      </c>
      <c r="D1274">
        <v>2</v>
      </c>
      <c r="E1274">
        <v>2</v>
      </c>
      <c r="F1274">
        <v>2</v>
      </c>
      <c r="G1274">
        <v>2</v>
      </c>
      <c r="H1274">
        <v>2</v>
      </c>
      <c r="J1274">
        <v>2</v>
      </c>
      <c r="K1274">
        <v>2</v>
      </c>
      <c r="L1274">
        <v>2</v>
      </c>
      <c r="M1274">
        <v>2</v>
      </c>
      <c r="N1274">
        <v>2</v>
      </c>
      <c r="O1274">
        <v>2</v>
      </c>
    </row>
    <row r="1275" spans="1:15" x14ac:dyDescent="0.3">
      <c r="A1275" t="s">
        <v>59</v>
      </c>
      <c r="B1275">
        <v>9</v>
      </c>
      <c r="C1275">
        <v>0</v>
      </c>
      <c r="D1275">
        <v>0</v>
      </c>
      <c r="E1275">
        <v>0</v>
      </c>
      <c r="F1275">
        <v>0</v>
      </c>
      <c r="G1275">
        <v>0</v>
      </c>
      <c r="H1275">
        <v>0</v>
      </c>
      <c r="J1275">
        <v>0</v>
      </c>
      <c r="K1275">
        <v>0</v>
      </c>
      <c r="L1275">
        <v>0</v>
      </c>
      <c r="M1275">
        <v>0</v>
      </c>
      <c r="N1275">
        <v>0</v>
      </c>
      <c r="O1275">
        <v>0</v>
      </c>
    </row>
    <row r="1276" spans="1:15" x14ac:dyDescent="0.3">
      <c r="A1276" t="s">
        <v>699</v>
      </c>
      <c r="B1276">
        <v>9</v>
      </c>
      <c r="D1276">
        <v>0</v>
      </c>
      <c r="G1276">
        <v>0</v>
      </c>
      <c r="K1276">
        <v>0</v>
      </c>
      <c r="N1276">
        <v>0</v>
      </c>
    </row>
    <row r="1277" spans="1:15" x14ac:dyDescent="0.3">
      <c r="A1277" t="s">
        <v>678</v>
      </c>
      <c r="B1277">
        <v>9</v>
      </c>
      <c r="D1277">
        <v>575</v>
      </c>
      <c r="G1277">
        <v>365</v>
      </c>
      <c r="K1277">
        <v>2784</v>
      </c>
      <c r="N1277">
        <v>2966</v>
      </c>
    </row>
    <row r="1278" spans="1:15" x14ac:dyDescent="0.3">
      <c r="A1278" t="s">
        <v>78</v>
      </c>
      <c r="B1278">
        <v>9</v>
      </c>
      <c r="D1278">
        <v>11.2</v>
      </c>
      <c r="G1278">
        <v>8.3000000000000007</v>
      </c>
      <c r="K1278">
        <v>42.2</v>
      </c>
      <c r="N1278">
        <v>44.9</v>
      </c>
    </row>
    <row r="1279" spans="1:15" x14ac:dyDescent="0.3">
      <c r="A1279" t="s">
        <v>700</v>
      </c>
      <c r="B1279">
        <v>9</v>
      </c>
      <c r="E1279">
        <v>0</v>
      </c>
      <c r="H1279">
        <v>0</v>
      </c>
      <c r="L1279">
        <v>0</v>
      </c>
      <c r="O1279">
        <v>0</v>
      </c>
    </row>
    <row r="1280" spans="1:15" x14ac:dyDescent="0.3">
      <c r="A1280" t="s">
        <v>701</v>
      </c>
      <c r="B1280">
        <v>9</v>
      </c>
      <c r="C1280">
        <v>0</v>
      </c>
      <c r="D1280">
        <v>0</v>
      </c>
      <c r="E1280">
        <v>1</v>
      </c>
      <c r="F1280">
        <v>0</v>
      </c>
      <c r="G1280">
        <v>0</v>
      </c>
      <c r="H1280">
        <v>1</v>
      </c>
      <c r="J1280">
        <v>0</v>
      </c>
      <c r="K1280">
        <v>0</v>
      </c>
      <c r="L1280">
        <v>1</v>
      </c>
      <c r="M1280">
        <v>0</v>
      </c>
      <c r="N1280">
        <v>0</v>
      </c>
      <c r="O1280">
        <v>1</v>
      </c>
    </row>
    <row r="1281" spans="1:15" x14ac:dyDescent="0.3">
      <c r="A1281" t="s">
        <v>702</v>
      </c>
      <c r="B1281">
        <v>9</v>
      </c>
      <c r="C1281">
        <v>0</v>
      </c>
      <c r="D1281">
        <v>0</v>
      </c>
      <c r="E1281">
        <v>0</v>
      </c>
      <c r="F1281">
        <v>0</v>
      </c>
      <c r="G1281">
        <v>0</v>
      </c>
      <c r="H1281">
        <v>0</v>
      </c>
      <c r="J1281">
        <v>0</v>
      </c>
      <c r="K1281">
        <v>0</v>
      </c>
      <c r="L1281">
        <v>0</v>
      </c>
      <c r="M1281">
        <v>0</v>
      </c>
      <c r="N1281">
        <v>0</v>
      </c>
      <c r="O1281">
        <v>0</v>
      </c>
    </row>
    <row r="1282" spans="1:15" x14ac:dyDescent="0.3">
      <c r="A1282" t="s">
        <v>52</v>
      </c>
      <c r="B1282">
        <v>9</v>
      </c>
      <c r="C1282">
        <v>1</v>
      </c>
      <c r="D1282">
        <v>1</v>
      </c>
      <c r="E1282">
        <v>1</v>
      </c>
      <c r="F1282">
        <v>1</v>
      </c>
      <c r="G1282">
        <v>1</v>
      </c>
      <c r="H1282">
        <v>1</v>
      </c>
      <c r="J1282">
        <v>1</v>
      </c>
      <c r="K1282">
        <v>1</v>
      </c>
      <c r="L1282">
        <v>1</v>
      </c>
      <c r="M1282">
        <v>1</v>
      </c>
      <c r="N1282">
        <v>1</v>
      </c>
      <c r="O1282">
        <v>1</v>
      </c>
    </row>
    <row r="1283" spans="1:15" x14ac:dyDescent="0.3">
      <c r="A1283" t="s">
        <v>703</v>
      </c>
      <c r="B1283">
        <v>9</v>
      </c>
      <c r="C1283">
        <v>15</v>
      </c>
      <c r="D1283">
        <v>60</v>
      </c>
      <c r="E1283">
        <v>9</v>
      </c>
      <c r="F1283">
        <v>15</v>
      </c>
      <c r="G1283">
        <v>60</v>
      </c>
      <c r="H1283">
        <v>9</v>
      </c>
      <c r="J1283">
        <v>15</v>
      </c>
      <c r="K1283">
        <v>60</v>
      </c>
      <c r="L1283">
        <v>9</v>
      </c>
      <c r="M1283">
        <v>15</v>
      </c>
      <c r="N1283">
        <v>60</v>
      </c>
      <c r="O1283">
        <v>9</v>
      </c>
    </row>
    <row r="1284" spans="1:15" x14ac:dyDescent="0.3">
      <c r="A1284" t="s">
        <v>43</v>
      </c>
      <c r="B1284">
        <v>9</v>
      </c>
      <c r="C1284">
        <v>0</v>
      </c>
      <c r="D1284">
        <v>0</v>
      </c>
      <c r="E1284">
        <v>0</v>
      </c>
      <c r="F1284">
        <v>0</v>
      </c>
      <c r="G1284">
        <v>0</v>
      </c>
      <c r="H1284">
        <v>0</v>
      </c>
      <c r="J1284">
        <v>0</v>
      </c>
      <c r="K1284">
        <v>0</v>
      </c>
      <c r="M1284">
        <v>0</v>
      </c>
      <c r="N1284">
        <v>0</v>
      </c>
    </row>
    <row r="1285" spans="1:15" x14ac:dyDescent="0.3">
      <c r="A1285" t="s">
        <v>44</v>
      </c>
      <c r="B1285">
        <v>9</v>
      </c>
      <c r="C1285">
        <v>0</v>
      </c>
      <c r="D1285">
        <v>0</v>
      </c>
      <c r="E1285">
        <v>0</v>
      </c>
      <c r="F1285">
        <v>0</v>
      </c>
      <c r="G1285">
        <v>0</v>
      </c>
      <c r="H1285">
        <v>0</v>
      </c>
      <c r="J1285">
        <v>0</v>
      </c>
      <c r="K1285">
        <v>0</v>
      </c>
      <c r="M1285">
        <v>0</v>
      </c>
      <c r="N1285">
        <v>0</v>
      </c>
    </row>
    <row r="1286" spans="1:15" x14ac:dyDescent="0.3">
      <c r="A1286" t="s">
        <v>47</v>
      </c>
      <c r="B1286">
        <v>9</v>
      </c>
      <c r="C1286">
        <v>3</v>
      </c>
      <c r="D1286">
        <v>8</v>
      </c>
      <c r="E1286">
        <v>8</v>
      </c>
      <c r="F1286">
        <v>7</v>
      </c>
      <c r="G1286">
        <v>4</v>
      </c>
      <c r="H1286">
        <v>4</v>
      </c>
      <c r="J1286">
        <v>1</v>
      </c>
      <c r="K1286">
        <v>6</v>
      </c>
      <c r="M1286">
        <v>5</v>
      </c>
      <c r="N1286">
        <v>2</v>
      </c>
    </row>
    <row r="1287" spans="1:15" x14ac:dyDescent="0.3">
      <c r="A1287" t="s">
        <v>704</v>
      </c>
      <c r="B1287">
        <v>9</v>
      </c>
      <c r="C1287">
        <v>0</v>
      </c>
      <c r="D1287">
        <v>0</v>
      </c>
      <c r="E1287">
        <v>0</v>
      </c>
      <c r="F1287">
        <v>0</v>
      </c>
      <c r="G1287">
        <v>0</v>
      </c>
      <c r="H1287">
        <v>0</v>
      </c>
      <c r="J1287">
        <v>0</v>
      </c>
      <c r="K1287">
        <v>0</v>
      </c>
      <c r="M1287">
        <v>0</v>
      </c>
      <c r="N1287">
        <v>0</v>
      </c>
    </row>
    <row r="1288" spans="1:15" x14ac:dyDescent="0.3">
      <c r="A1288" t="s">
        <v>705</v>
      </c>
      <c r="B1288">
        <v>9</v>
      </c>
      <c r="C1288">
        <v>0</v>
      </c>
      <c r="D1288">
        <v>0</v>
      </c>
      <c r="E1288">
        <v>0</v>
      </c>
      <c r="F1288">
        <v>0</v>
      </c>
      <c r="G1288">
        <v>0</v>
      </c>
      <c r="H1288">
        <v>0</v>
      </c>
      <c r="J1288">
        <v>0</v>
      </c>
      <c r="K1288">
        <v>0</v>
      </c>
      <c r="M1288">
        <v>0</v>
      </c>
      <c r="N1288">
        <v>0</v>
      </c>
    </row>
    <row r="1289" spans="1:15" x14ac:dyDescent="0.3">
      <c r="A1289" t="s">
        <v>706</v>
      </c>
      <c r="B1289">
        <v>9</v>
      </c>
      <c r="C1289">
        <v>0</v>
      </c>
      <c r="D1289">
        <v>0</v>
      </c>
      <c r="E1289">
        <v>0</v>
      </c>
      <c r="F1289">
        <v>0</v>
      </c>
      <c r="G1289">
        <v>0</v>
      </c>
      <c r="H1289">
        <v>0</v>
      </c>
      <c r="J1289">
        <v>0</v>
      </c>
      <c r="K1289">
        <v>0</v>
      </c>
      <c r="M1289">
        <v>0</v>
      </c>
      <c r="N1289">
        <v>0</v>
      </c>
    </row>
    <row r="1290" spans="1:15" x14ac:dyDescent="0.3">
      <c r="A1290" t="s">
        <v>707</v>
      </c>
      <c r="B1290">
        <v>9</v>
      </c>
      <c r="C1290">
        <v>0</v>
      </c>
      <c r="D1290">
        <v>0</v>
      </c>
      <c r="E1290">
        <v>0</v>
      </c>
      <c r="F1290">
        <v>0</v>
      </c>
      <c r="G1290">
        <v>0</v>
      </c>
      <c r="H1290">
        <v>0</v>
      </c>
      <c r="J1290">
        <v>0</v>
      </c>
      <c r="K1290">
        <v>0</v>
      </c>
      <c r="M1290">
        <v>0</v>
      </c>
      <c r="N1290">
        <v>0</v>
      </c>
    </row>
    <row r="1291" spans="1:15" x14ac:dyDescent="0.3">
      <c r="A1291" t="s">
        <v>708</v>
      </c>
      <c r="B1291">
        <v>9</v>
      </c>
      <c r="C1291">
        <v>0</v>
      </c>
      <c r="D1291">
        <v>0</v>
      </c>
      <c r="E1291">
        <v>0</v>
      </c>
      <c r="F1291">
        <v>0</v>
      </c>
      <c r="G1291">
        <v>0</v>
      </c>
      <c r="H1291">
        <v>0</v>
      </c>
      <c r="J1291">
        <v>0</v>
      </c>
      <c r="K1291">
        <v>0</v>
      </c>
      <c r="M1291">
        <v>0</v>
      </c>
      <c r="N1291">
        <v>0</v>
      </c>
    </row>
    <row r="1292" spans="1:15" x14ac:dyDescent="0.3">
      <c r="A1292" t="s">
        <v>719</v>
      </c>
      <c r="B1292">
        <v>9</v>
      </c>
      <c r="D1292">
        <v>0</v>
      </c>
      <c r="G1292">
        <v>0</v>
      </c>
      <c r="K1292">
        <v>0</v>
      </c>
      <c r="N1292">
        <v>0</v>
      </c>
    </row>
    <row r="1293" spans="1:15" x14ac:dyDescent="0.3">
      <c r="A1293" t="s">
        <v>405</v>
      </c>
      <c r="B1293">
        <v>9</v>
      </c>
      <c r="D1293">
        <v>0</v>
      </c>
    </row>
    <row r="1294" spans="1:15" x14ac:dyDescent="0.3">
      <c r="A1294" t="s">
        <v>720</v>
      </c>
      <c r="B1294">
        <v>9</v>
      </c>
      <c r="C1294">
        <v>35</v>
      </c>
      <c r="D1294">
        <v>109</v>
      </c>
      <c r="E1294">
        <v>27</v>
      </c>
      <c r="F1294">
        <v>68</v>
      </c>
      <c r="G1294">
        <v>80</v>
      </c>
      <c r="H1294">
        <v>58</v>
      </c>
      <c r="J1294">
        <v>125</v>
      </c>
      <c r="K1294">
        <v>1829</v>
      </c>
      <c r="L1294">
        <v>0</v>
      </c>
      <c r="M1294">
        <v>20</v>
      </c>
      <c r="N1294">
        <v>1475</v>
      </c>
      <c r="O1294">
        <v>0</v>
      </c>
    </row>
    <row r="1295" spans="1:15" x14ac:dyDescent="0.3">
      <c r="A1295" t="s">
        <v>34</v>
      </c>
      <c r="B1295">
        <v>11</v>
      </c>
      <c r="C1295">
        <v>14</v>
      </c>
      <c r="D1295">
        <v>14</v>
      </c>
      <c r="E1295">
        <v>14</v>
      </c>
      <c r="F1295">
        <v>12</v>
      </c>
      <c r="G1295">
        <v>12</v>
      </c>
      <c r="H1295">
        <v>12</v>
      </c>
      <c r="J1295">
        <v>25</v>
      </c>
      <c r="K1295">
        <v>25</v>
      </c>
      <c r="L1295">
        <v>25</v>
      </c>
      <c r="M1295">
        <v>7</v>
      </c>
      <c r="N1295">
        <v>7</v>
      </c>
      <c r="O1295">
        <v>7</v>
      </c>
    </row>
    <row r="1296" spans="1:15" x14ac:dyDescent="0.3">
      <c r="A1296" t="s">
        <v>35</v>
      </c>
      <c r="B1296">
        <v>11</v>
      </c>
      <c r="C1296">
        <v>25</v>
      </c>
      <c r="D1296">
        <v>12</v>
      </c>
      <c r="E1296">
        <v>7</v>
      </c>
      <c r="F1296">
        <v>7</v>
      </c>
      <c r="G1296">
        <v>14</v>
      </c>
      <c r="H1296">
        <v>25</v>
      </c>
      <c r="J1296">
        <v>12</v>
      </c>
      <c r="K1296">
        <v>7</v>
      </c>
      <c r="L1296">
        <v>14</v>
      </c>
      <c r="M1296">
        <v>14</v>
      </c>
      <c r="N1296">
        <v>25</v>
      </c>
      <c r="O1296">
        <v>12</v>
      </c>
    </row>
    <row r="1297" spans="1:15" x14ac:dyDescent="0.3">
      <c r="A1297" t="s">
        <v>36</v>
      </c>
      <c r="B1297">
        <v>11</v>
      </c>
      <c r="C1297">
        <v>1</v>
      </c>
      <c r="D1297">
        <v>2</v>
      </c>
      <c r="E1297">
        <v>0</v>
      </c>
      <c r="F1297">
        <v>0</v>
      </c>
      <c r="G1297">
        <v>2</v>
      </c>
      <c r="H1297">
        <v>0</v>
      </c>
      <c r="J1297">
        <v>1</v>
      </c>
      <c r="K1297">
        <v>3</v>
      </c>
      <c r="L1297">
        <v>0</v>
      </c>
      <c r="M1297">
        <v>1</v>
      </c>
      <c r="N1297">
        <v>3</v>
      </c>
      <c r="O1297">
        <v>0</v>
      </c>
    </row>
    <row r="1298" spans="1:15" x14ac:dyDescent="0.3">
      <c r="A1298" t="s">
        <v>37</v>
      </c>
      <c r="B1298">
        <v>11</v>
      </c>
      <c r="C1298">
        <v>0</v>
      </c>
      <c r="D1298">
        <v>2</v>
      </c>
      <c r="F1298">
        <v>0</v>
      </c>
      <c r="G1298">
        <v>3</v>
      </c>
      <c r="J1298">
        <v>0</v>
      </c>
      <c r="K1298">
        <v>2</v>
      </c>
      <c r="M1298">
        <v>0</v>
      </c>
      <c r="N1298">
        <v>2</v>
      </c>
    </row>
    <row r="1299" spans="1:15" x14ac:dyDescent="0.3">
      <c r="A1299" t="s">
        <v>38</v>
      </c>
      <c r="B1299">
        <v>11</v>
      </c>
      <c r="C1299">
        <v>12</v>
      </c>
      <c r="D1299">
        <v>12</v>
      </c>
      <c r="E1299">
        <v>12</v>
      </c>
      <c r="F1299">
        <v>12</v>
      </c>
      <c r="G1299">
        <v>12</v>
      </c>
      <c r="H1299">
        <v>12</v>
      </c>
      <c r="J1299">
        <v>12</v>
      </c>
      <c r="K1299">
        <v>12</v>
      </c>
      <c r="L1299">
        <v>12</v>
      </c>
      <c r="M1299">
        <v>12</v>
      </c>
      <c r="N1299">
        <v>12</v>
      </c>
      <c r="O1299">
        <v>12</v>
      </c>
    </row>
    <row r="1300" spans="1:15" x14ac:dyDescent="0.3">
      <c r="A1300" t="s">
        <v>39</v>
      </c>
      <c r="B1300">
        <v>11</v>
      </c>
      <c r="C1300">
        <v>135</v>
      </c>
      <c r="H1300">
        <v>150</v>
      </c>
      <c r="J1300">
        <v>390</v>
      </c>
      <c r="M1300">
        <v>390</v>
      </c>
    </row>
    <row r="1301" spans="1:15" x14ac:dyDescent="0.3">
      <c r="A1301" t="s">
        <v>695</v>
      </c>
      <c r="B1301">
        <v>11</v>
      </c>
      <c r="C1301">
        <v>90</v>
      </c>
      <c r="H1301">
        <v>75</v>
      </c>
      <c r="J1301">
        <v>100</v>
      </c>
      <c r="M1301">
        <v>100</v>
      </c>
    </row>
    <row r="1302" spans="1:15" x14ac:dyDescent="0.3">
      <c r="A1302" t="s">
        <v>40</v>
      </c>
      <c r="B1302">
        <v>11</v>
      </c>
      <c r="C1302">
        <v>1</v>
      </c>
      <c r="H1302">
        <v>1</v>
      </c>
      <c r="J1302">
        <v>1</v>
      </c>
      <c r="M1302">
        <v>1</v>
      </c>
    </row>
    <row r="1303" spans="1:15" x14ac:dyDescent="0.3">
      <c r="A1303" t="s">
        <v>41</v>
      </c>
      <c r="B1303">
        <v>11</v>
      </c>
    </row>
    <row r="1304" spans="1:15" x14ac:dyDescent="0.3">
      <c r="A1304" t="s">
        <v>42</v>
      </c>
      <c r="B1304">
        <v>11</v>
      </c>
      <c r="D1304">
        <v>35</v>
      </c>
      <c r="G1304">
        <v>30</v>
      </c>
      <c r="K1304">
        <v>45</v>
      </c>
      <c r="N1304">
        <v>45</v>
      </c>
    </row>
    <row r="1305" spans="1:15" x14ac:dyDescent="0.3">
      <c r="A1305" t="s">
        <v>45</v>
      </c>
      <c r="B1305">
        <v>11</v>
      </c>
      <c r="C1305">
        <v>3</v>
      </c>
      <c r="D1305">
        <v>8</v>
      </c>
      <c r="F1305">
        <v>7</v>
      </c>
      <c r="G1305">
        <v>4</v>
      </c>
      <c r="J1305">
        <v>1</v>
      </c>
      <c r="K1305">
        <v>6</v>
      </c>
      <c r="M1305">
        <v>5</v>
      </c>
      <c r="N1305">
        <v>2</v>
      </c>
    </row>
    <row r="1306" spans="1:15" x14ac:dyDescent="0.3">
      <c r="A1306" t="s">
        <v>49</v>
      </c>
      <c r="B1306">
        <v>11</v>
      </c>
      <c r="C1306">
        <v>6.5</v>
      </c>
      <c r="D1306">
        <v>6.7</v>
      </c>
      <c r="E1306">
        <v>4</v>
      </c>
      <c r="F1306">
        <v>6</v>
      </c>
      <c r="G1306">
        <v>6.8</v>
      </c>
      <c r="H1306">
        <v>4</v>
      </c>
      <c r="J1306">
        <v>6.3</v>
      </c>
      <c r="K1306">
        <v>6.4</v>
      </c>
      <c r="L1306">
        <v>4</v>
      </c>
      <c r="M1306">
        <v>6.3</v>
      </c>
      <c r="N1306">
        <v>6.4</v>
      </c>
      <c r="O1306">
        <v>4</v>
      </c>
    </row>
    <row r="1307" spans="1:15" x14ac:dyDescent="0.3">
      <c r="A1307" t="s">
        <v>696</v>
      </c>
      <c r="B1307">
        <v>11</v>
      </c>
      <c r="C1307">
        <v>0</v>
      </c>
      <c r="D1307">
        <v>0</v>
      </c>
      <c r="E1307">
        <v>0</v>
      </c>
      <c r="F1307">
        <v>0</v>
      </c>
      <c r="G1307">
        <v>0</v>
      </c>
      <c r="H1307">
        <v>0</v>
      </c>
      <c r="J1307">
        <v>0</v>
      </c>
      <c r="K1307">
        <v>0</v>
      </c>
      <c r="L1307">
        <v>0</v>
      </c>
      <c r="M1307">
        <v>0</v>
      </c>
      <c r="N1307">
        <v>0</v>
      </c>
      <c r="O1307">
        <v>0</v>
      </c>
    </row>
    <row r="1308" spans="1:15" x14ac:dyDescent="0.3">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3">
      <c r="A1309" t="s">
        <v>697</v>
      </c>
      <c r="B1309">
        <v>11</v>
      </c>
      <c r="C1309">
        <v>1770</v>
      </c>
      <c r="D1309">
        <v>3284</v>
      </c>
      <c r="E1309">
        <v>0</v>
      </c>
      <c r="F1309">
        <v>0</v>
      </c>
      <c r="G1309">
        <v>3289</v>
      </c>
      <c r="H1309">
        <v>0</v>
      </c>
      <c r="J1309">
        <v>1770</v>
      </c>
      <c r="K1309">
        <v>5060</v>
      </c>
      <c r="L1309">
        <v>0</v>
      </c>
      <c r="M1309">
        <v>1770</v>
      </c>
      <c r="N1309">
        <v>5080</v>
      </c>
      <c r="O1309">
        <v>0</v>
      </c>
    </row>
    <row r="1310" spans="1:15" x14ac:dyDescent="0.3">
      <c r="A1310" t="s">
        <v>50</v>
      </c>
      <c r="B1310">
        <v>11</v>
      </c>
      <c r="C1310">
        <v>1770</v>
      </c>
      <c r="D1310">
        <v>3284</v>
      </c>
      <c r="E1310">
        <v>0</v>
      </c>
      <c r="F1310">
        <v>0</v>
      </c>
      <c r="G1310">
        <v>2935</v>
      </c>
      <c r="H1310">
        <v>0</v>
      </c>
      <c r="J1310">
        <v>1770</v>
      </c>
      <c r="K1310">
        <v>5060</v>
      </c>
      <c r="L1310">
        <v>0</v>
      </c>
      <c r="M1310">
        <v>1770</v>
      </c>
      <c r="N1310">
        <v>5080</v>
      </c>
      <c r="O1310">
        <v>0</v>
      </c>
    </row>
    <row r="1311" spans="1:15" x14ac:dyDescent="0.3">
      <c r="A1311" t="s">
        <v>698</v>
      </c>
      <c r="B1311">
        <v>11</v>
      </c>
      <c r="C1311">
        <v>1</v>
      </c>
      <c r="D1311">
        <v>1</v>
      </c>
      <c r="E1311">
        <v>1</v>
      </c>
      <c r="F1311">
        <v>1</v>
      </c>
      <c r="G1311">
        <v>1</v>
      </c>
      <c r="H1311">
        <v>1</v>
      </c>
      <c r="J1311">
        <v>1</v>
      </c>
      <c r="K1311">
        <v>1</v>
      </c>
      <c r="L1311">
        <v>1</v>
      </c>
      <c r="M1311">
        <v>1</v>
      </c>
      <c r="N1311">
        <v>1</v>
      </c>
      <c r="O1311">
        <v>1</v>
      </c>
    </row>
    <row r="1312" spans="1:15" x14ac:dyDescent="0.3">
      <c r="A1312" t="s">
        <v>51</v>
      </c>
      <c r="B1312">
        <v>11</v>
      </c>
      <c r="C1312">
        <v>0</v>
      </c>
      <c r="D1312">
        <v>102</v>
      </c>
      <c r="E1312">
        <v>0</v>
      </c>
      <c r="F1312">
        <v>0</v>
      </c>
      <c r="G1312">
        <v>84</v>
      </c>
      <c r="H1312">
        <v>0</v>
      </c>
      <c r="J1312">
        <v>0</v>
      </c>
      <c r="K1312">
        <v>4</v>
      </c>
      <c r="L1312">
        <v>0</v>
      </c>
      <c r="M1312">
        <v>0</v>
      </c>
      <c r="N1312">
        <v>1</v>
      </c>
      <c r="O1312">
        <v>0</v>
      </c>
    </row>
    <row r="1313" spans="1:15" x14ac:dyDescent="0.3">
      <c r="A1313" t="s">
        <v>53</v>
      </c>
      <c r="B1313">
        <v>11</v>
      </c>
      <c r="C1313">
        <v>112</v>
      </c>
      <c r="D1313">
        <v>102</v>
      </c>
      <c r="E1313">
        <v>94</v>
      </c>
      <c r="F1313">
        <v>19</v>
      </c>
      <c r="G1313">
        <v>78</v>
      </c>
      <c r="H1313">
        <v>77</v>
      </c>
      <c r="J1313">
        <v>157</v>
      </c>
      <c r="K1313">
        <v>1804</v>
      </c>
      <c r="L1313">
        <v>65</v>
      </c>
      <c r="M1313">
        <v>48</v>
      </c>
      <c r="N1313">
        <v>1187</v>
      </c>
      <c r="O1313">
        <v>8</v>
      </c>
    </row>
    <row r="1314" spans="1:15" x14ac:dyDescent="0.3">
      <c r="A1314" t="s">
        <v>54</v>
      </c>
      <c r="B1314">
        <v>11</v>
      </c>
      <c r="C1314">
        <v>0</v>
      </c>
      <c r="D1314">
        <v>0</v>
      </c>
      <c r="E1314">
        <v>0</v>
      </c>
      <c r="F1314">
        <v>0</v>
      </c>
      <c r="G1314">
        <v>0</v>
      </c>
      <c r="H1314">
        <v>0</v>
      </c>
      <c r="J1314">
        <v>0</v>
      </c>
      <c r="K1314">
        <v>0</v>
      </c>
      <c r="L1314">
        <v>0</v>
      </c>
      <c r="M1314">
        <v>0</v>
      </c>
      <c r="N1314">
        <v>0</v>
      </c>
      <c r="O1314">
        <v>0</v>
      </c>
    </row>
    <row r="1315" spans="1:15" x14ac:dyDescent="0.3">
      <c r="A1315" t="s">
        <v>55</v>
      </c>
      <c r="B1315">
        <v>11</v>
      </c>
      <c r="C1315">
        <v>0</v>
      </c>
      <c r="D1315">
        <v>0</v>
      </c>
      <c r="E1315">
        <v>0</v>
      </c>
      <c r="F1315">
        <v>0</v>
      </c>
      <c r="G1315">
        <v>0</v>
      </c>
      <c r="H1315">
        <v>0</v>
      </c>
      <c r="J1315">
        <v>0</v>
      </c>
      <c r="K1315">
        <v>0</v>
      </c>
      <c r="L1315">
        <v>0</v>
      </c>
      <c r="M1315">
        <v>0</v>
      </c>
      <c r="N1315">
        <v>0</v>
      </c>
      <c r="O1315">
        <v>0</v>
      </c>
    </row>
    <row r="1316" spans="1:15" x14ac:dyDescent="0.3">
      <c r="A1316" t="s">
        <v>56</v>
      </c>
      <c r="B1316">
        <v>11</v>
      </c>
      <c r="C1316">
        <v>0.92</v>
      </c>
      <c r="D1316">
        <v>0.92</v>
      </c>
      <c r="E1316">
        <v>0.92</v>
      </c>
      <c r="F1316">
        <v>0.92</v>
      </c>
      <c r="G1316">
        <v>0.92</v>
      </c>
      <c r="H1316">
        <v>0.92</v>
      </c>
      <c r="J1316">
        <v>0.92</v>
      </c>
      <c r="K1316">
        <v>0.92</v>
      </c>
      <c r="L1316">
        <v>0.92</v>
      </c>
      <c r="M1316">
        <v>0.92</v>
      </c>
      <c r="N1316">
        <v>0.92</v>
      </c>
      <c r="O1316">
        <v>0.92</v>
      </c>
    </row>
    <row r="1317" spans="1:15" x14ac:dyDescent="0.3">
      <c r="A1317" t="s">
        <v>57</v>
      </c>
      <c r="B1317">
        <v>11</v>
      </c>
      <c r="C1317">
        <v>100</v>
      </c>
      <c r="D1317">
        <v>100</v>
      </c>
      <c r="E1317">
        <v>100</v>
      </c>
      <c r="F1317">
        <v>100</v>
      </c>
      <c r="G1317">
        <v>100</v>
      </c>
      <c r="H1317">
        <v>100</v>
      </c>
      <c r="J1317">
        <v>100</v>
      </c>
      <c r="K1317">
        <v>100</v>
      </c>
      <c r="L1317">
        <v>100</v>
      </c>
      <c r="M1317">
        <v>100</v>
      </c>
      <c r="N1317">
        <v>100</v>
      </c>
      <c r="O1317">
        <v>100</v>
      </c>
    </row>
    <row r="1318" spans="1:15" x14ac:dyDescent="0.3">
      <c r="A1318" t="s">
        <v>58</v>
      </c>
      <c r="B1318">
        <v>11</v>
      </c>
      <c r="C1318">
        <v>2</v>
      </c>
      <c r="D1318">
        <v>2</v>
      </c>
      <c r="E1318">
        <v>2</v>
      </c>
      <c r="F1318">
        <v>2</v>
      </c>
      <c r="G1318">
        <v>2</v>
      </c>
      <c r="H1318">
        <v>2</v>
      </c>
      <c r="J1318">
        <v>2</v>
      </c>
      <c r="K1318">
        <v>2</v>
      </c>
      <c r="L1318">
        <v>2</v>
      </c>
      <c r="M1318">
        <v>2</v>
      </c>
      <c r="N1318">
        <v>2</v>
      </c>
      <c r="O1318">
        <v>2</v>
      </c>
    </row>
    <row r="1319" spans="1:15" x14ac:dyDescent="0.3">
      <c r="A1319" t="s">
        <v>59</v>
      </c>
      <c r="B1319">
        <v>11</v>
      </c>
      <c r="C1319">
        <v>0</v>
      </c>
      <c r="D1319">
        <v>0</v>
      </c>
      <c r="E1319">
        <v>0</v>
      </c>
      <c r="F1319">
        <v>0</v>
      </c>
      <c r="G1319">
        <v>0</v>
      </c>
      <c r="H1319">
        <v>0</v>
      </c>
      <c r="J1319">
        <v>0</v>
      </c>
      <c r="K1319">
        <v>0</v>
      </c>
      <c r="L1319">
        <v>0</v>
      </c>
      <c r="M1319">
        <v>0</v>
      </c>
      <c r="N1319">
        <v>0</v>
      </c>
      <c r="O1319">
        <v>0</v>
      </c>
    </row>
    <row r="1320" spans="1:15" x14ac:dyDescent="0.3">
      <c r="A1320" t="s">
        <v>699</v>
      </c>
      <c r="B1320">
        <v>11</v>
      </c>
      <c r="D1320">
        <v>0</v>
      </c>
      <c r="G1320">
        <v>0</v>
      </c>
      <c r="K1320">
        <v>0</v>
      </c>
      <c r="N1320">
        <v>0</v>
      </c>
    </row>
    <row r="1321" spans="1:15" x14ac:dyDescent="0.3">
      <c r="A1321" t="s">
        <v>678</v>
      </c>
      <c r="B1321">
        <v>11</v>
      </c>
      <c r="D1321">
        <v>401</v>
      </c>
      <c r="G1321">
        <v>533</v>
      </c>
      <c r="K1321">
        <v>1028</v>
      </c>
      <c r="N1321">
        <v>2820</v>
      </c>
    </row>
    <row r="1322" spans="1:15" x14ac:dyDescent="0.3">
      <c r="A1322" t="s">
        <v>78</v>
      </c>
      <c r="B1322">
        <v>11</v>
      </c>
      <c r="D1322">
        <v>7.8</v>
      </c>
      <c r="G1322">
        <v>12.1</v>
      </c>
      <c r="K1322">
        <v>15.6</v>
      </c>
      <c r="N1322">
        <v>42.7</v>
      </c>
    </row>
    <row r="1323" spans="1:15" x14ac:dyDescent="0.3">
      <c r="A1323" t="s">
        <v>700</v>
      </c>
      <c r="B1323">
        <v>11</v>
      </c>
      <c r="E1323">
        <v>0</v>
      </c>
      <c r="H1323">
        <v>0</v>
      </c>
      <c r="L1323">
        <v>0</v>
      </c>
      <c r="O1323">
        <v>0</v>
      </c>
    </row>
    <row r="1324" spans="1:15" x14ac:dyDescent="0.3">
      <c r="A1324" t="s">
        <v>701</v>
      </c>
      <c r="B1324">
        <v>11</v>
      </c>
      <c r="C1324">
        <v>0</v>
      </c>
      <c r="D1324">
        <v>0</v>
      </c>
      <c r="E1324">
        <v>1</v>
      </c>
      <c r="F1324">
        <v>0</v>
      </c>
      <c r="G1324">
        <v>0</v>
      </c>
      <c r="H1324">
        <v>1</v>
      </c>
      <c r="J1324">
        <v>0</v>
      </c>
      <c r="K1324">
        <v>0</v>
      </c>
      <c r="L1324">
        <v>1</v>
      </c>
      <c r="M1324">
        <v>0</v>
      </c>
      <c r="N1324">
        <v>0</v>
      </c>
      <c r="O1324">
        <v>1</v>
      </c>
    </row>
    <row r="1325" spans="1:15" x14ac:dyDescent="0.3">
      <c r="A1325" t="s">
        <v>702</v>
      </c>
      <c r="B1325">
        <v>11</v>
      </c>
      <c r="C1325">
        <v>0</v>
      </c>
      <c r="D1325">
        <v>0</v>
      </c>
      <c r="E1325">
        <v>0</v>
      </c>
      <c r="F1325">
        <v>0</v>
      </c>
      <c r="G1325">
        <v>0</v>
      </c>
      <c r="H1325">
        <v>0</v>
      </c>
      <c r="J1325">
        <v>0</v>
      </c>
      <c r="K1325">
        <v>0</v>
      </c>
      <c r="L1325">
        <v>0</v>
      </c>
      <c r="M1325">
        <v>0</v>
      </c>
      <c r="N1325">
        <v>0</v>
      </c>
      <c r="O1325">
        <v>0</v>
      </c>
    </row>
    <row r="1326" spans="1:15" x14ac:dyDescent="0.3">
      <c r="A1326" t="s">
        <v>52</v>
      </c>
      <c r="B1326">
        <v>11</v>
      </c>
      <c r="C1326">
        <v>1</v>
      </c>
      <c r="D1326">
        <v>1</v>
      </c>
      <c r="E1326">
        <v>1</v>
      </c>
      <c r="F1326">
        <v>1</v>
      </c>
      <c r="G1326">
        <v>1</v>
      </c>
      <c r="H1326">
        <v>1</v>
      </c>
      <c r="J1326">
        <v>1</v>
      </c>
      <c r="K1326">
        <v>1</v>
      </c>
      <c r="L1326">
        <v>1</v>
      </c>
      <c r="M1326">
        <v>1</v>
      </c>
      <c r="N1326">
        <v>1</v>
      </c>
      <c r="O1326">
        <v>1</v>
      </c>
    </row>
    <row r="1327" spans="1:15" x14ac:dyDescent="0.3">
      <c r="A1327" t="s">
        <v>703</v>
      </c>
      <c r="B1327">
        <v>11</v>
      </c>
      <c r="C1327">
        <v>15</v>
      </c>
      <c r="D1327">
        <v>60</v>
      </c>
      <c r="E1327">
        <v>9</v>
      </c>
      <c r="F1327">
        <v>15</v>
      </c>
      <c r="G1327">
        <v>60</v>
      </c>
      <c r="H1327">
        <v>9</v>
      </c>
      <c r="J1327">
        <v>15</v>
      </c>
      <c r="K1327">
        <v>60</v>
      </c>
      <c r="L1327">
        <v>9</v>
      </c>
      <c r="M1327">
        <v>15</v>
      </c>
      <c r="N1327">
        <v>60</v>
      </c>
      <c r="O1327">
        <v>9</v>
      </c>
    </row>
    <row r="1328" spans="1:15" x14ac:dyDescent="0.3">
      <c r="A1328" t="s">
        <v>43</v>
      </c>
      <c r="B1328">
        <v>11</v>
      </c>
      <c r="C1328">
        <v>0</v>
      </c>
      <c r="D1328">
        <v>0</v>
      </c>
      <c r="F1328">
        <v>50</v>
      </c>
      <c r="G1328">
        <v>0</v>
      </c>
      <c r="J1328">
        <v>0</v>
      </c>
      <c r="K1328">
        <v>0</v>
      </c>
      <c r="M1328">
        <v>0</v>
      </c>
      <c r="N1328">
        <v>0</v>
      </c>
    </row>
    <row r="1329" spans="1:27" x14ac:dyDescent="0.3">
      <c r="A1329" t="s">
        <v>44</v>
      </c>
      <c r="B1329">
        <v>11</v>
      </c>
      <c r="C1329">
        <v>0</v>
      </c>
      <c r="D1329">
        <v>0</v>
      </c>
      <c r="F1329">
        <v>0</v>
      </c>
      <c r="G1329">
        <v>0</v>
      </c>
      <c r="J1329">
        <v>0</v>
      </c>
      <c r="K1329">
        <v>0</v>
      </c>
      <c r="M1329">
        <v>0</v>
      </c>
      <c r="N1329">
        <v>0</v>
      </c>
    </row>
    <row r="1330" spans="1:27" x14ac:dyDescent="0.3">
      <c r="A1330" t="s">
        <v>47</v>
      </c>
      <c r="B1330">
        <v>11</v>
      </c>
      <c r="C1330">
        <v>3</v>
      </c>
      <c r="D1330">
        <v>8</v>
      </c>
      <c r="F1330">
        <v>7</v>
      </c>
      <c r="G1330">
        <v>4</v>
      </c>
      <c r="J1330">
        <v>1</v>
      </c>
      <c r="K1330">
        <v>6</v>
      </c>
      <c r="M1330">
        <v>5</v>
      </c>
      <c r="N1330">
        <v>2</v>
      </c>
    </row>
    <row r="1331" spans="1:27" x14ac:dyDescent="0.3">
      <c r="A1331" t="s">
        <v>704</v>
      </c>
      <c r="B1331">
        <v>11</v>
      </c>
      <c r="C1331">
        <v>0</v>
      </c>
      <c r="D1331">
        <v>0</v>
      </c>
      <c r="F1331">
        <v>0</v>
      </c>
      <c r="G1331">
        <v>0</v>
      </c>
      <c r="J1331">
        <v>0</v>
      </c>
      <c r="K1331">
        <v>0</v>
      </c>
      <c r="M1331">
        <v>0</v>
      </c>
      <c r="N1331">
        <v>0</v>
      </c>
    </row>
    <row r="1332" spans="1:27" x14ac:dyDescent="0.3">
      <c r="A1332" t="s">
        <v>705</v>
      </c>
      <c r="B1332">
        <v>11</v>
      </c>
      <c r="C1332">
        <v>0</v>
      </c>
      <c r="D1332">
        <v>0</v>
      </c>
      <c r="F1332">
        <v>0</v>
      </c>
      <c r="G1332">
        <v>0</v>
      </c>
      <c r="J1332">
        <v>0</v>
      </c>
      <c r="K1332">
        <v>0</v>
      </c>
      <c r="M1332">
        <v>0</v>
      </c>
      <c r="N1332">
        <v>0</v>
      </c>
    </row>
    <row r="1333" spans="1:27" x14ac:dyDescent="0.3">
      <c r="A1333" t="s">
        <v>706</v>
      </c>
      <c r="B1333">
        <v>11</v>
      </c>
      <c r="C1333">
        <v>0</v>
      </c>
      <c r="D1333">
        <v>0</v>
      </c>
      <c r="F1333">
        <v>0</v>
      </c>
      <c r="G1333">
        <v>0</v>
      </c>
      <c r="J1333">
        <v>0</v>
      </c>
      <c r="K1333">
        <v>0</v>
      </c>
      <c r="M1333">
        <v>0</v>
      </c>
      <c r="N1333">
        <v>0</v>
      </c>
    </row>
    <row r="1334" spans="1:27" x14ac:dyDescent="0.3">
      <c r="A1334" t="s">
        <v>707</v>
      </c>
      <c r="B1334">
        <v>11</v>
      </c>
      <c r="C1334">
        <v>0</v>
      </c>
      <c r="D1334">
        <v>0</v>
      </c>
      <c r="F1334">
        <v>0</v>
      </c>
      <c r="G1334">
        <v>0</v>
      </c>
      <c r="J1334">
        <v>0</v>
      </c>
      <c r="K1334">
        <v>0</v>
      </c>
      <c r="M1334">
        <v>0</v>
      </c>
      <c r="N1334">
        <v>0</v>
      </c>
    </row>
    <row r="1335" spans="1:27" x14ac:dyDescent="0.3">
      <c r="A1335" t="s">
        <v>708</v>
      </c>
      <c r="B1335">
        <v>11</v>
      </c>
      <c r="C1335">
        <v>0</v>
      </c>
      <c r="D1335">
        <v>0</v>
      </c>
      <c r="F1335">
        <v>0</v>
      </c>
      <c r="G1335">
        <v>0</v>
      </c>
      <c r="J1335">
        <v>0</v>
      </c>
      <c r="K1335">
        <v>0</v>
      </c>
      <c r="M1335">
        <v>0</v>
      </c>
      <c r="N1335">
        <v>0</v>
      </c>
    </row>
    <row r="1336" spans="1:27" x14ac:dyDescent="0.3">
      <c r="A1336" t="s">
        <v>719</v>
      </c>
      <c r="B1336">
        <v>11</v>
      </c>
      <c r="D1336">
        <v>0</v>
      </c>
      <c r="G1336">
        <v>0</v>
      </c>
      <c r="K1336">
        <v>0</v>
      </c>
      <c r="N1336">
        <v>0</v>
      </c>
    </row>
    <row r="1337" spans="1:27" x14ac:dyDescent="0.3">
      <c r="A1337" t="s">
        <v>405</v>
      </c>
      <c r="B1337">
        <v>11</v>
      </c>
      <c r="D1337">
        <v>0</v>
      </c>
    </row>
    <row r="1338" spans="1:27" x14ac:dyDescent="0.3">
      <c r="A1338" t="s">
        <v>720</v>
      </c>
      <c r="B1338">
        <v>11</v>
      </c>
      <c r="C1338">
        <v>122</v>
      </c>
      <c r="D1338">
        <v>213</v>
      </c>
      <c r="E1338">
        <v>0</v>
      </c>
      <c r="F1338">
        <v>0</v>
      </c>
      <c r="G1338">
        <v>190</v>
      </c>
      <c r="H1338">
        <v>0</v>
      </c>
      <c r="J1338">
        <v>171</v>
      </c>
      <c r="K1338">
        <v>2032</v>
      </c>
      <c r="L1338">
        <v>0</v>
      </c>
      <c r="M1338">
        <v>52</v>
      </c>
      <c r="N1338">
        <v>1299</v>
      </c>
      <c r="O1338">
        <v>0</v>
      </c>
    </row>
    <row r="1339" spans="1:27" x14ac:dyDescent="0.3">
      <c r="A1339" t="s">
        <v>34</v>
      </c>
      <c r="B1339">
        <v>13</v>
      </c>
      <c r="P1339">
        <v>16</v>
      </c>
      <c r="Q1339">
        <v>16</v>
      </c>
      <c r="R1339">
        <v>16</v>
      </c>
      <c r="S1339">
        <v>18</v>
      </c>
      <c r="T1339">
        <v>18</v>
      </c>
      <c r="U1339">
        <v>18</v>
      </c>
      <c r="V1339">
        <v>49</v>
      </c>
      <c r="W1339">
        <v>49</v>
      </c>
      <c r="X1339">
        <v>49</v>
      </c>
      <c r="Y1339">
        <v>15</v>
      </c>
      <c r="Z1339">
        <v>15</v>
      </c>
      <c r="AA1339">
        <v>15</v>
      </c>
    </row>
    <row r="1340" spans="1:27" x14ac:dyDescent="0.3">
      <c r="A1340" t="s">
        <v>35</v>
      </c>
      <c r="B1340">
        <v>13</v>
      </c>
      <c r="P1340">
        <v>49</v>
      </c>
      <c r="Q1340">
        <v>15</v>
      </c>
      <c r="R1340">
        <v>18</v>
      </c>
      <c r="S1340">
        <v>16</v>
      </c>
      <c r="T1340">
        <v>49</v>
      </c>
      <c r="U1340">
        <v>15</v>
      </c>
      <c r="V1340">
        <v>15</v>
      </c>
      <c r="W1340">
        <v>18</v>
      </c>
      <c r="X1340">
        <v>16</v>
      </c>
      <c r="Y1340">
        <v>18</v>
      </c>
      <c r="Z1340">
        <v>16</v>
      </c>
      <c r="AA1340">
        <v>49</v>
      </c>
    </row>
    <row r="1341" spans="1:27" x14ac:dyDescent="0.3">
      <c r="A1341" t="s">
        <v>36</v>
      </c>
      <c r="B1341">
        <v>13</v>
      </c>
      <c r="P1341">
        <v>2</v>
      </c>
      <c r="Q1341">
        <v>2</v>
      </c>
      <c r="R1341">
        <v>2</v>
      </c>
      <c r="S1341">
        <v>2</v>
      </c>
      <c r="T1341">
        <v>3</v>
      </c>
      <c r="U1341">
        <v>1</v>
      </c>
      <c r="V1341">
        <v>1</v>
      </c>
      <c r="W1341">
        <v>3</v>
      </c>
      <c r="X1341">
        <v>1</v>
      </c>
      <c r="Y1341">
        <v>2</v>
      </c>
      <c r="Z1341">
        <v>2</v>
      </c>
      <c r="AA1341">
        <v>0</v>
      </c>
    </row>
    <row r="1342" spans="1:27" x14ac:dyDescent="0.3">
      <c r="A1342" t="s">
        <v>37</v>
      </c>
      <c r="B1342">
        <v>13</v>
      </c>
      <c r="P1342">
        <v>0</v>
      </c>
      <c r="Q1342">
        <v>0</v>
      </c>
      <c r="S1342">
        <v>0</v>
      </c>
      <c r="T1342">
        <v>0</v>
      </c>
      <c r="V1342">
        <v>0</v>
      </c>
      <c r="W1342">
        <v>0</v>
      </c>
      <c r="Y1342">
        <v>0</v>
      </c>
      <c r="Z1342">
        <v>2</v>
      </c>
    </row>
    <row r="1343" spans="1:27" x14ac:dyDescent="0.3">
      <c r="A1343" t="s">
        <v>38</v>
      </c>
      <c r="B1343">
        <v>13</v>
      </c>
      <c r="P1343">
        <v>12</v>
      </c>
      <c r="Q1343">
        <v>12</v>
      </c>
      <c r="R1343">
        <v>12</v>
      </c>
      <c r="S1343">
        <v>12</v>
      </c>
      <c r="T1343">
        <v>12</v>
      </c>
      <c r="U1343">
        <v>12</v>
      </c>
      <c r="V1343">
        <v>12</v>
      </c>
      <c r="W1343">
        <v>12</v>
      </c>
      <c r="X1343">
        <v>12</v>
      </c>
      <c r="Y1343">
        <v>12</v>
      </c>
      <c r="Z1343">
        <v>12</v>
      </c>
      <c r="AA1343">
        <v>12</v>
      </c>
    </row>
    <row r="1344" spans="1:27" x14ac:dyDescent="0.3">
      <c r="A1344" t="s">
        <v>39</v>
      </c>
      <c r="B1344">
        <v>13</v>
      </c>
      <c r="P1344">
        <v>155</v>
      </c>
      <c r="S1344">
        <v>415</v>
      </c>
      <c r="U1344">
        <v>340</v>
      </c>
      <c r="V1344">
        <v>330</v>
      </c>
      <c r="X1344">
        <v>170</v>
      </c>
      <c r="Y1344">
        <v>340</v>
      </c>
    </row>
    <row r="1345" spans="1:27" x14ac:dyDescent="0.3">
      <c r="A1345" t="s">
        <v>695</v>
      </c>
      <c r="B1345">
        <v>13</v>
      </c>
      <c r="P1345">
        <v>110</v>
      </c>
      <c r="S1345">
        <v>180</v>
      </c>
      <c r="U1345">
        <v>90</v>
      </c>
      <c r="V1345">
        <v>165</v>
      </c>
      <c r="X1345">
        <v>90</v>
      </c>
      <c r="Y1345">
        <v>210</v>
      </c>
    </row>
    <row r="1346" spans="1:27" x14ac:dyDescent="0.3">
      <c r="A1346" t="s">
        <v>40</v>
      </c>
      <c r="B1346">
        <v>13</v>
      </c>
      <c r="P1346">
        <v>2</v>
      </c>
      <c r="S1346">
        <v>2</v>
      </c>
      <c r="U1346">
        <v>1</v>
      </c>
      <c r="V1346">
        <v>1</v>
      </c>
      <c r="X1346">
        <v>1</v>
      </c>
      <c r="Y1346">
        <v>2</v>
      </c>
    </row>
    <row r="1347" spans="1:27" x14ac:dyDescent="0.3">
      <c r="A1347" t="s">
        <v>41</v>
      </c>
      <c r="B1347">
        <v>13</v>
      </c>
    </row>
    <row r="1348" spans="1:27" x14ac:dyDescent="0.3">
      <c r="A1348" t="s">
        <v>42</v>
      </c>
      <c r="B1348">
        <v>13</v>
      </c>
      <c r="Q1348">
        <v>30</v>
      </c>
      <c r="T1348">
        <v>45</v>
      </c>
      <c r="W1348">
        <v>45</v>
      </c>
      <c r="Z1348">
        <v>35</v>
      </c>
    </row>
    <row r="1349" spans="1:27" x14ac:dyDescent="0.3">
      <c r="A1349" t="s">
        <v>45</v>
      </c>
      <c r="B1349">
        <v>13</v>
      </c>
      <c r="P1349">
        <v>3</v>
      </c>
      <c r="Q1349">
        <v>8</v>
      </c>
      <c r="S1349">
        <v>5</v>
      </c>
      <c r="T1349">
        <v>2</v>
      </c>
      <c r="V1349">
        <v>1</v>
      </c>
      <c r="W1349">
        <v>6</v>
      </c>
      <c r="Y1349">
        <v>7</v>
      </c>
      <c r="Z1349">
        <v>4</v>
      </c>
    </row>
    <row r="1350" spans="1:27" x14ac:dyDescent="0.3">
      <c r="A1350" t="s">
        <v>46</v>
      </c>
      <c r="B1350">
        <v>13</v>
      </c>
      <c r="R1350">
        <v>8</v>
      </c>
      <c r="U1350">
        <v>2</v>
      </c>
      <c r="X1350">
        <v>6</v>
      </c>
    </row>
    <row r="1351" spans="1:27" x14ac:dyDescent="0.3">
      <c r="A1351" t="s">
        <v>49</v>
      </c>
      <c r="B1351">
        <v>13</v>
      </c>
      <c r="P1351">
        <v>7.4</v>
      </c>
      <c r="Q1351">
        <v>8.9</v>
      </c>
      <c r="R1351">
        <v>8.9</v>
      </c>
      <c r="S1351">
        <v>7.9</v>
      </c>
      <c r="T1351">
        <v>7</v>
      </c>
      <c r="U1351">
        <v>7</v>
      </c>
      <c r="V1351">
        <v>7</v>
      </c>
      <c r="W1351">
        <v>6.6</v>
      </c>
      <c r="X1351">
        <v>6.6</v>
      </c>
      <c r="Y1351">
        <v>7.7</v>
      </c>
      <c r="Z1351">
        <v>9.1999999999999993</v>
      </c>
      <c r="AA1351">
        <v>4</v>
      </c>
    </row>
    <row r="1352" spans="1:27" x14ac:dyDescent="0.3">
      <c r="A1352" t="s">
        <v>696</v>
      </c>
      <c r="B1352">
        <v>13</v>
      </c>
      <c r="P1352">
        <v>0</v>
      </c>
      <c r="Q1352">
        <v>0</v>
      </c>
      <c r="R1352">
        <v>0</v>
      </c>
      <c r="S1352">
        <v>0</v>
      </c>
      <c r="T1352">
        <v>0</v>
      </c>
      <c r="U1352">
        <v>0</v>
      </c>
      <c r="V1352">
        <v>0</v>
      </c>
      <c r="W1352">
        <v>0</v>
      </c>
      <c r="X1352">
        <v>0</v>
      </c>
      <c r="Y1352">
        <v>0</v>
      </c>
      <c r="Z1352">
        <v>0</v>
      </c>
      <c r="AA1352">
        <v>0</v>
      </c>
    </row>
    <row r="1353" spans="1:27" x14ac:dyDescent="0.3">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3">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3">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3">
      <c r="A1356" t="s">
        <v>698</v>
      </c>
      <c r="B1356">
        <v>13</v>
      </c>
      <c r="P1356">
        <v>1</v>
      </c>
      <c r="Q1356">
        <v>1</v>
      </c>
      <c r="R1356">
        <v>1</v>
      </c>
      <c r="S1356">
        <v>1</v>
      </c>
      <c r="T1356">
        <v>1</v>
      </c>
      <c r="U1356">
        <v>1</v>
      </c>
      <c r="V1356">
        <v>1</v>
      </c>
      <c r="W1356">
        <v>1</v>
      </c>
      <c r="X1356">
        <v>1</v>
      </c>
      <c r="Y1356">
        <v>1</v>
      </c>
      <c r="Z1356">
        <v>1</v>
      </c>
      <c r="AA1356">
        <v>1</v>
      </c>
    </row>
    <row r="1357" spans="1:27" x14ac:dyDescent="0.3">
      <c r="A1357" t="s">
        <v>51</v>
      </c>
      <c r="B1357">
        <v>13</v>
      </c>
      <c r="P1357">
        <v>0</v>
      </c>
      <c r="Q1357">
        <v>0</v>
      </c>
      <c r="R1357">
        <v>504</v>
      </c>
      <c r="S1357">
        <v>0</v>
      </c>
      <c r="T1357">
        <v>0</v>
      </c>
      <c r="U1357">
        <v>179</v>
      </c>
      <c r="V1357">
        <v>0</v>
      </c>
      <c r="W1357">
        <v>0</v>
      </c>
      <c r="X1357">
        <v>222</v>
      </c>
      <c r="Y1357">
        <v>0</v>
      </c>
      <c r="Z1357">
        <v>8</v>
      </c>
      <c r="AA1357">
        <v>0</v>
      </c>
    </row>
    <row r="1358" spans="1:27" x14ac:dyDescent="0.3">
      <c r="A1358" t="s">
        <v>53</v>
      </c>
      <c r="B1358">
        <v>13</v>
      </c>
      <c r="P1358">
        <v>56</v>
      </c>
      <c r="Q1358">
        <v>124</v>
      </c>
      <c r="R1358">
        <v>833</v>
      </c>
      <c r="S1358">
        <v>313</v>
      </c>
      <c r="T1358">
        <v>908</v>
      </c>
      <c r="U1358">
        <v>165</v>
      </c>
      <c r="V1358">
        <v>11</v>
      </c>
      <c r="W1358">
        <v>1132</v>
      </c>
      <c r="X1358">
        <v>25</v>
      </c>
      <c r="Y1358">
        <v>213</v>
      </c>
      <c r="Z1358">
        <v>83</v>
      </c>
      <c r="AA1358">
        <v>7</v>
      </c>
    </row>
    <row r="1359" spans="1:27" x14ac:dyDescent="0.3">
      <c r="A1359" t="s">
        <v>54</v>
      </c>
      <c r="B1359">
        <v>13</v>
      </c>
      <c r="P1359">
        <v>0</v>
      </c>
      <c r="Q1359">
        <v>0</v>
      </c>
      <c r="R1359">
        <v>0</v>
      </c>
      <c r="S1359">
        <v>0</v>
      </c>
      <c r="T1359">
        <v>0</v>
      </c>
      <c r="U1359">
        <v>0</v>
      </c>
      <c r="V1359">
        <v>0</v>
      </c>
      <c r="W1359">
        <v>0</v>
      </c>
      <c r="X1359">
        <v>0</v>
      </c>
      <c r="Y1359">
        <v>0</v>
      </c>
      <c r="Z1359">
        <v>0</v>
      </c>
      <c r="AA1359">
        <v>0</v>
      </c>
    </row>
    <row r="1360" spans="1:27" x14ac:dyDescent="0.3">
      <c r="A1360" t="s">
        <v>55</v>
      </c>
      <c r="B1360">
        <v>13</v>
      </c>
      <c r="P1360">
        <v>0</v>
      </c>
      <c r="Q1360">
        <v>0</v>
      </c>
      <c r="R1360">
        <v>0</v>
      </c>
      <c r="S1360">
        <v>0</v>
      </c>
      <c r="T1360">
        <v>0</v>
      </c>
      <c r="U1360">
        <v>0</v>
      </c>
      <c r="V1360">
        <v>0</v>
      </c>
      <c r="W1360">
        <v>0</v>
      </c>
      <c r="X1360">
        <v>0</v>
      </c>
      <c r="Y1360">
        <v>0</v>
      </c>
      <c r="Z1360">
        <v>0</v>
      </c>
      <c r="AA1360">
        <v>0</v>
      </c>
    </row>
    <row r="1361" spans="1:27" x14ac:dyDescent="0.3">
      <c r="A1361" t="s">
        <v>56</v>
      </c>
      <c r="B1361">
        <v>13</v>
      </c>
      <c r="P1361">
        <v>0.92</v>
      </c>
      <c r="Q1361">
        <v>0.92</v>
      </c>
      <c r="R1361">
        <v>0.92</v>
      </c>
      <c r="S1361">
        <v>0.92</v>
      </c>
      <c r="T1361">
        <v>0.92</v>
      </c>
      <c r="U1361">
        <v>0.92</v>
      </c>
      <c r="V1361">
        <v>0.92</v>
      </c>
      <c r="W1361">
        <v>0.92</v>
      </c>
      <c r="X1361">
        <v>0.92</v>
      </c>
      <c r="Y1361">
        <v>0.92</v>
      </c>
      <c r="Z1361">
        <v>0.92</v>
      </c>
      <c r="AA1361">
        <v>0.92</v>
      </c>
    </row>
    <row r="1362" spans="1:27" x14ac:dyDescent="0.3">
      <c r="A1362" t="s">
        <v>57</v>
      </c>
      <c r="B1362">
        <v>13</v>
      </c>
      <c r="P1362">
        <v>100</v>
      </c>
      <c r="Q1362">
        <v>100</v>
      </c>
      <c r="R1362">
        <v>100</v>
      </c>
      <c r="S1362">
        <v>100</v>
      </c>
      <c r="T1362">
        <v>100</v>
      </c>
      <c r="U1362">
        <v>100</v>
      </c>
      <c r="V1362">
        <v>100</v>
      </c>
      <c r="W1362">
        <v>100</v>
      </c>
      <c r="X1362">
        <v>100</v>
      </c>
      <c r="Y1362">
        <v>100</v>
      </c>
      <c r="Z1362">
        <v>100</v>
      </c>
      <c r="AA1362">
        <v>100</v>
      </c>
    </row>
    <row r="1363" spans="1:27" x14ac:dyDescent="0.3">
      <c r="A1363" t="s">
        <v>58</v>
      </c>
      <c r="B1363">
        <v>13</v>
      </c>
      <c r="P1363">
        <v>2</v>
      </c>
      <c r="Q1363">
        <v>2</v>
      </c>
      <c r="R1363">
        <v>2</v>
      </c>
      <c r="S1363">
        <v>2</v>
      </c>
      <c r="T1363">
        <v>2</v>
      </c>
      <c r="U1363">
        <v>2</v>
      </c>
      <c r="V1363">
        <v>2</v>
      </c>
      <c r="W1363">
        <v>2</v>
      </c>
      <c r="X1363">
        <v>2</v>
      </c>
      <c r="Y1363">
        <v>2</v>
      </c>
      <c r="Z1363">
        <v>2</v>
      </c>
      <c r="AA1363">
        <v>2</v>
      </c>
    </row>
    <row r="1364" spans="1:27" x14ac:dyDescent="0.3">
      <c r="A1364" t="s">
        <v>59</v>
      </c>
      <c r="B1364">
        <v>13</v>
      </c>
      <c r="P1364">
        <v>0</v>
      </c>
      <c r="Q1364">
        <v>0</v>
      </c>
      <c r="R1364">
        <v>0</v>
      </c>
      <c r="S1364">
        <v>0</v>
      </c>
      <c r="T1364">
        <v>0</v>
      </c>
      <c r="U1364">
        <v>0</v>
      </c>
      <c r="V1364">
        <v>0</v>
      </c>
      <c r="W1364">
        <v>0</v>
      </c>
      <c r="X1364">
        <v>0</v>
      </c>
      <c r="Y1364">
        <v>0</v>
      </c>
      <c r="Z1364">
        <v>0</v>
      </c>
      <c r="AA1364">
        <v>0</v>
      </c>
    </row>
    <row r="1365" spans="1:27" x14ac:dyDescent="0.3">
      <c r="A1365" t="s">
        <v>699</v>
      </c>
      <c r="B1365">
        <v>13</v>
      </c>
      <c r="Q1365">
        <v>0</v>
      </c>
      <c r="T1365">
        <v>0</v>
      </c>
      <c r="W1365">
        <v>0</v>
      </c>
      <c r="Z1365">
        <v>0</v>
      </c>
    </row>
    <row r="1366" spans="1:27" x14ac:dyDescent="0.3">
      <c r="A1366" t="s">
        <v>678</v>
      </c>
      <c r="B1366">
        <v>13</v>
      </c>
      <c r="Q1366">
        <v>538</v>
      </c>
      <c r="T1366">
        <v>914</v>
      </c>
      <c r="W1366">
        <v>2934</v>
      </c>
      <c r="Z1366">
        <v>684</v>
      </c>
    </row>
    <row r="1367" spans="1:27" x14ac:dyDescent="0.3">
      <c r="A1367" t="s">
        <v>78</v>
      </c>
      <c r="B1367">
        <v>13</v>
      </c>
      <c r="Q1367">
        <v>12.2</v>
      </c>
      <c r="T1367">
        <v>13.8</v>
      </c>
      <c r="W1367">
        <v>44.5</v>
      </c>
      <c r="Z1367">
        <v>13.3</v>
      </c>
    </row>
    <row r="1368" spans="1:27" x14ac:dyDescent="0.3">
      <c r="A1368" t="s">
        <v>700</v>
      </c>
      <c r="B1368">
        <v>13</v>
      </c>
      <c r="R1368">
        <v>0</v>
      </c>
      <c r="U1368">
        <v>0</v>
      </c>
      <c r="X1368">
        <v>0</v>
      </c>
      <c r="AA1368">
        <v>0</v>
      </c>
    </row>
    <row r="1369" spans="1:27" x14ac:dyDescent="0.3">
      <c r="A1369" t="s">
        <v>701</v>
      </c>
      <c r="B1369">
        <v>13</v>
      </c>
      <c r="P1369">
        <v>0</v>
      </c>
      <c r="Q1369">
        <v>0</v>
      </c>
      <c r="R1369">
        <v>1</v>
      </c>
      <c r="S1369">
        <v>0</v>
      </c>
      <c r="T1369">
        <v>0</v>
      </c>
      <c r="U1369">
        <v>1</v>
      </c>
      <c r="V1369">
        <v>0</v>
      </c>
      <c r="W1369">
        <v>0</v>
      </c>
      <c r="X1369">
        <v>1</v>
      </c>
      <c r="Y1369">
        <v>0</v>
      </c>
      <c r="Z1369">
        <v>0</v>
      </c>
      <c r="AA1369">
        <v>1</v>
      </c>
    </row>
    <row r="1370" spans="1:27" x14ac:dyDescent="0.3">
      <c r="A1370" t="s">
        <v>702</v>
      </c>
      <c r="B1370">
        <v>13</v>
      </c>
      <c r="P1370">
        <v>0</v>
      </c>
      <c r="Q1370">
        <v>0</v>
      </c>
      <c r="R1370">
        <v>0</v>
      </c>
      <c r="S1370">
        <v>0</v>
      </c>
      <c r="T1370">
        <v>0</v>
      </c>
      <c r="U1370">
        <v>0</v>
      </c>
      <c r="V1370">
        <v>0</v>
      </c>
      <c r="W1370">
        <v>0</v>
      </c>
      <c r="X1370">
        <v>0</v>
      </c>
      <c r="Y1370">
        <v>0</v>
      </c>
      <c r="Z1370">
        <v>0</v>
      </c>
      <c r="AA1370">
        <v>0</v>
      </c>
    </row>
    <row r="1371" spans="1:27" x14ac:dyDescent="0.3">
      <c r="A1371" t="s">
        <v>52</v>
      </c>
      <c r="B1371">
        <v>13</v>
      </c>
      <c r="P1371">
        <v>1</v>
      </c>
      <c r="Q1371">
        <v>1</v>
      </c>
      <c r="R1371">
        <v>1</v>
      </c>
      <c r="S1371">
        <v>1</v>
      </c>
      <c r="T1371">
        <v>1</v>
      </c>
      <c r="U1371">
        <v>1</v>
      </c>
      <c r="V1371">
        <v>1</v>
      </c>
      <c r="W1371">
        <v>1</v>
      </c>
      <c r="X1371">
        <v>1</v>
      </c>
      <c r="Y1371">
        <v>1</v>
      </c>
      <c r="Z1371">
        <v>1</v>
      </c>
      <c r="AA1371">
        <v>1</v>
      </c>
    </row>
    <row r="1372" spans="1:27" x14ac:dyDescent="0.3">
      <c r="A1372" t="s">
        <v>703</v>
      </c>
      <c r="B1372">
        <v>13</v>
      </c>
      <c r="P1372">
        <v>15</v>
      </c>
      <c r="Q1372">
        <v>60</v>
      </c>
      <c r="R1372">
        <v>9</v>
      </c>
      <c r="S1372">
        <v>15</v>
      </c>
      <c r="T1372">
        <v>60</v>
      </c>
      <c r="U1372">
        <v>9</v>
      </c>
      <c r="V1372">
        <v>15</v>
      </c>
      <c r="W1372">
        <v>60</v>
      </c>
      <c r="X1372">
        <v>9</v>
      </c>
      <c r="Y1372">
        <v>15</v>
      </c>
      <c r="Z1372">
        <v>60</v>
      </c>
      <c r="AA1372">
        <v>9</v>
      </c>
    </row>
    <row r="1373" spans="1:27" x14ac:dyDescent="0.3">
      <c r="A1373" t="s">
        <v>43</v>
      </c>
      <c r="B1373">
        <v>13</v>
      </c>
      <c r="P1373">
        <v>0</v>
      </c>
      <c r="Q1373">
        <v>0</v>
      </c>
      <c r="R1373">
        <v>0</v>
      </c>
      <c r="S1373">
        <v>0</v>
      </c>
      <c r="T1373">
        <v>0</v>
      </c>
      <c r="U1373">
        <v>0</v>
      </c>
      <c r="V1373">
        <v>0</v>
      </c>
      <c r="W1373">
        <v>0</v>
      </c>
      <c r="X1373">
        <v>0</v>
      </c>
      <c r="Y1373">
        <v>0</v>
      </c>
      <c r="Z1373">
        <v>0</v>
      </c>
    </row>
    <row r="1374" spans="1:27" x14ac:dyDescent="0.3">
      <c r="A1374" t="s">
        <v>44</v>
      </c>
      <c r="B1374">
        <v>13</v>
      </c>
      <c r="P1374">
        <v>0</v>
      </c>
      <c r="Q1374">
        <v>0</v>
      </c>
      <c r="R1374">
        <v>0</v>
      </c>
      <c r="S1374">
        <v>0</v>
      </c>
      <c r="T1374">
        <v>0</v>
      </c>
      <c r="U1374">
        <v>0</v>
      </c>
      <c r="V1374">
        <v>0</v>
      </c>
      <c r="W1374">
        <v>0</v>
      </c>
      <c r="X1374">
        <v>0</v>
      </c>
      <c r="Y1374">
        <v>0</v>
      </c>
      <c r="Z1374">
        <v>0</v>
      </c>
    </row>
    <row r="1375" spans="1:27" x14ac:dyDescent="0.3">
      <c r="A1375" t="s">
        <v>47</v>
      </c>
      <c r="B1375">
        <v>13</v>
      </c>
      <c r="P1375">
        <v>3</v>
      </c>
      <c r="Q1375">
        <v>8</v>
      </c>
      <c r="R1375">
        <v>8</v>
      </c>
      <c r="S1375">
        <v>5</v>
      </c>
      <c r="T1375">
        <v>2</v>
      </c>
      <c r="U1375">
        <v>2</v>
      </c>
      <c r="V1375">
        <v>1</v>
      </c>
      <c r="W1375">
        <v>6</v>
      </c>
      <c r="X1375">
        <v>6</v>
      </c>
      <c r="Y1375">
        <v>7</v>
      </c>
      <c r="Z1375">
        <v>4</v>
      </c>
    </row>
    <row r="1376" spans="1:27" x14ac:dyDescent="0.3">
      <c r="A1376" t="s">
        <v>704</v>
      </c>
      <c r="B1376">
        <v>13</v>
      </c>
      <c r="P1376">
        <v>0</v>
      </c>
      <c r="Q1376">
        <v>0</v>
      </c>
      <c r="R1376">
        <v>0</v>
      </c>
      <c r="S1376">
        <v>0</v>
      </c>
      <c r="T1376">
        <v>0</v>
      </c>
      <c r="U1376">
        <v>0</v>
      </c>
      <c r="V1376">
        <v>0</v>
      </c>
      <c r="W1376">
        <v>0</v>
      </c>
      <c r="X1376">
        <v>0</v>
      </c>
      <c r="Y1376">
        <v>0</v>
      </c>
      <c r="Z1376">
        <v>0</v>
      </c>
    </row>
    <row r="1377" spans="1:28" x14ac:dyDescent="0.3">
      <c r="A1377" t="s">
        <v>705</v>
      </c>
      <c r="B1377">
        <v>13</v>
      </c>
      <c r="P1377">
        <v>0</v>
      </c>
      <c r="Q1377">
        <v>0</v>
      </c>
      <c r="R1377">
        <v>0</v>
      </c>
      <c r="S1377">
        <v>0</v>
      </c>
      <c r="T1377">
        <v>0</v>
      </c>
      <c r="U1377">
        <v>0</v>
      </c>
      <c r="V1377">
        <v>0</v>
      </c>
      <c r="W1377">
        <v>0</v>
      </c>
      <c r="X1377">
        <v>0</v>
      </c>
      <c r="Y1377">
        <v>0</v>
      </c>
      <c r="Z1377">
        <v>0</v>
      </c>
    </row>
    <row r="1378" spans="1:28" x14ac:dyDescent="0.3">
      <c r="A1378" t="s">
        <v>706</v>
      </c>
      <c r="B1378">
        <v>13</v>
      </c>
      <c r="P1378">
        <v>0</v>
      </c>
      <c r="Q1378">
        <v>0</v>
      </c>
      <c r="R1378">
        <v>0</v>
      </c>
      <c r="S1378">
        <v>0</v>
      </c>
      <c r="T1378">
        <v>0</v>
      </c>
      <c r="U1378">
        <v>0</v>
      </c>
      <c r="V1378">
        <v>0</v>
      </c>
      <c r="W1378">
        <v>0</v>
      </c>
      <c r="X1378">
        <v>0</v>
      </c>
      <c r="Y1378">
        <v>0</v>
      </c>
      <c r="Z1378">
        <v>0</v>
      </c>
    </row>
    <row r="1379" spans="1:28" x14ac:dyDescent="0.3">
      <c r="A1379" t="s">
        <v>707</v>
      </c>
      <c r="B1379">
        <v>13</v>
      </c>
      <c r="P1379">
        <v>0</v>
      </c>
      <c r="Q1379">
        <v>0</v>
      </c>
      <c r="R1379">
        <v>0</v>
      </c>
      <c r="S1379">
        <v>0</v>
      </c>
      <c r="T1379">
        <v>0</v>
      </c>
      <c r="U1379">
        <v>0</v>
      </c>
      <c r="V1379">
        <v>0</v>
      </c>
      <c r="W1379">
        <v>0</v>
      </c>
      <c r="X1379">
        <v>0</v>
      </c>
      <c r="Y1379">
        <v>0</v>
      </c>
      <c r="Z1379">
        <v>0</v>
      </c>
    </row>
    <row r="1380" spans="1:28" x14ac:dyDescent="0.3">
      <c r="A1380" t="s">
        <v>708</v>
      </c>
      <c r="B1380">
        <v>13</v>
      </c>
      <c r="P1380">
        <v>0</v>
      </c>
      <c r="Q1380">
        <v>0</v>
      </c>
      <c r="R1380">
        <v>0</v>
      </c>
      <c r="S1380">
        <v>0</v>
      </c>
      <c r="T1380">
        <v>0</v>
      </c>
      <c r="U1380">
        <v>0</v>
      </c>
      <c r="V1380">
        <v>0</v>
      </c>
      <c r="W1380">
        <v>0</v>
      </c>
      <c r="X1380">
        <v>0</v>
      </c>
      <c r="Y1380">
        <v>0</v>
      </c>
      <c r="Z1380">
        <v>0</v>
      </c>
    </row>
    <row r="1381" spans="1:28" x14ac:dyDescent="0.3">
      <c r="A1381" t="s">
        <v>719</v>
      </c>
      <c r="B1381">
        <v>13</v>
      </c>
      <c r="Q1381">
        <v>0</v>
      </c>
      <c r="T1381">
        <v>0</v>
      </c>
      <c r="W1381">
        <v>0</v>
      </c>
      <c r="Z1381">
        <v>0</v>
      </c>
    </row>
    <row r="1382" spans="1:28" x14ac:dyDescent="0.3">
      <c r="A1382" t="s">
        <v>405</v>
      </c>
      <c r="B1382">
        <v>13</v>
      </c>
      <c r="Q1382">
        <v>0</v>
      </c>
    </row>
    <row r="1383" spans="1:28" x14ac:dyDescent="0.3">
      <c r="A1383" t="s">
        <v>720</v>
      </c>
      <c r="B1383">
        <v>13</v>
      </c>
      <c r="P1383">
        <v>61</v>
      </c>
      <c r="Q1383">
        <v>135</v>
      </c>
      <c r="R1383">
        <v>905</v>
      </c>
      <c r="S1383">
        <v>340</v>
      </c>
      <c r="T1383">
        <v>987</v>
      </c>
      <c r="U1383">
        <v>179</v>
      </c>
      <c r="V1383">
        <v>12</v>
      </c>
      <c r="W1383">
        <v>1230</v>
      </c>
      <c r="X1383">
        <v>27</v>
      </c>
      <c r="Y1383">
        <v>232</v>
      </c>
      <c r="Z1383">
        <v>98</v>
      </c>
      <c r="AA1383">
        <v>0</v>
      </c>
    </row>
    <row r="1384" spans="1:28" x14ac:dyDescent="0.3">
      <c r="A1384" t="s">
        <v>34</v>
      </c>
      <c r="B1384">
        <v>17</v>
      </c>
      <c r="I1384">
        <v>19</v>
      </c>
      <c r="J1384">
        <v>19</v>
      </c>
      <c r="L1384">
        <v>19</v>
      </c>
      <c r="S1384">
        <v>49</v>
      </c>
      <c r="T1384">
        <v>49</v>
      </c>
      <c r="U1384">
        <v>49</v>
      </c>
      <c r="V1384">
        <v>21</v>
      </c>
      <c r="W1384">
        <v>21</v>
      </c>
      <c r="X1384">
        <v>21</v>
      </c>
      <c r="Y1384">
        <v>20</v>
      </c>
      <c r="AA1384">
        <v>20</v>
      </c>
      <c r="AB1384">
        <v>20</v>
      </c>
    </row>
    <row r="1385" spans="1:28" x14ac:dyDescent="0.3">
      <c r="A1385" t="s">
        <v>35</v>
      </c>
      <c r="B1385">
        <v>17</v>
      </c>
      <c r="I1385">
        <v>21</v>
      </c>
      <c r="J1385">
        <v>20</v>
      </c>
      <c r="L1385">
        <v>49</v>
      </c>
      <c r="S1385">
        <v>19</v>
      </c>
      <c r="T1385">
        <v>21</v>
      </c>
      <c r="U1385">
        <v>20</v>
      </c>
      <c r="V1385">
        <v>20</v>
      </c>
      <c r="W1385">
        <v>49</v>
      </c>
      <c r="X1385">
        <v>19</v>
      </c>
      <c r="Y1385">
        <v>49</v>
      </c>
      <c r="AA1385">
        <v>19</v>
      </c>
      <c r="AB1385">
        <v>21</v>
      </c>
    </row>
    <row r="1386" spans="1:28" x14ac:dyDescent="0.3">
      <c r="A1386" t="s">
        <v>36</v>
      </c>
      <c r="B1386">
        <v>17</v>
      </c>
      <c r="I1386">
        <v>1</v>
      </c>
      <c r="J1386">
        <v>1</v>
      </c>
      <c r="L1386">
        <v>1</v>
      </c>
      <c r="S1386">
        <v>2</v>
      </c>
      <c r="T1386">
        <v>3</v>
      </c>
      <c r="U1386">
        <v>1</v>
      </c>
      <c r="V1386">
        <v>1</v>
      </c>
      <c r="W1386">
        <v>3</v>
      </c>
      <c r="X1386">
        <v>0</v>
      </c>
      <c r="Y1386">
        <v>1</v>
      </c>
      <c r="AA1386">
        <v>1</v>
      </c>
      <c r="AB1386">
        <v>0</v>
      </c>
    </row>
    <row r="1387" spans="1:28" x14ac:dyDescent="0.3">
      <c r="A1387" t="s">
        <v>37</v>
      </c>
      <c r="B1387">
        <v>17</v>
      </c>
      <c r="I1387">
        <v>0</v>
      </c>
      <c r="J1387">
        <v>0</v>
      </c>
      <c r="S1387">
        <v>0</v>
      </c>
      <c r="T1387">
        <v>0</v>
      </c>
      <c r="V1387">
        <v>0</v>
      </c>
      <c r="W1387">
        <v>2</v>
      </c>
      <c r="Y1387">
        <v>0</v>
      </c>
      <c r="AA1387">
        <v>2</v>
      </c>
    </row>
    <row r="1388" spans="1:28" x14ac:dyDescent="0.3">
      <c r="A1388" t="s">
        <v>38</v>
      </c>
      <c r="B1388">
        <v>17</v>
      </c>
      <c r="I1388">
        <v>12</v>
      </c>
      <c r="J1388">
        <v>12</v>
      </c>
      <c r="L1388">
        <v>12</v>
      </c>
      <c r="S1388">
        <v>12</v>
      </c>
      <c r="T1388">
        <v>12</v>
      </c>
      <c r="U1388">
        <v>12</v>
      </c>
      <c r="V1388">
        <v>12</v>
      </c>
      <c r="W1388">
        <v>12</v>
      </c>
      <c r="X1388">
        <v>12</v>
      </c>
      <c r="Y1388">
        <v>12</v>
      </c>
      <c r="AA1388">
        <v>12</v>
      </c>
      <c r="AB1388">
        <v>12</v>
      </c>
    </row>
    <row r="1389" spans="1:28" x14ac:dyDescent="0.3">
      <c r="A1389" t="s">
        <v>39</v>
      </c>
      <c r="B1389">
        <v>17</v>
      </c>
      <c r="J1389">
        <v>160</v>
      </c>
      <c r="S1389">
        <v>450</v>
      </c>
      <c r="U1389">
        <v>245</v>
      </c>
      <c r="V1389">
        <v>310</v>
      </c>
      <c r="Y1389">
        <v>110</v>
      </c>
      <c r="AA1389">
        <v>110</v>
      </c>
    </row>
    <row r="1390" spans="1:28" x14ac:dyDescent="0.3">
      <c r="A1390" t="s">
        <v>695</v>
      </c>
      <c r="B1390">
        <v>17</v>
      </c>
      <c r="J1390">
        <v>50</v>
      </c>
      <c r="S1390">
        <v>160</v>
      </c>
      <c r="U1390">
        <v>95</v>
      </c>
      <c r="V1390">
        <v>175</v>
      </c>
      <c r="Y1390">
        <v>0</v>
      </c>
      <c r="AA1390">
        <v>0</v>
      </c>
    </row>
    <row r="1391" spans="1:28" x14ac:dyDescent="0.3">
      <c r="A1391" t="s">
        <v>40</v>
      </c>
      <c r="B1391">
        <v>17</v>
      </c>
      <c r="J1391">
        <v>1</v>
      </c>
      <c r="S1391">
        <v>2</v>
      </c>
      <c r="U1391">
        <v>1</v>
      </c>
      <c r="V1391">
        <v>1</v>
      </c>
      <c r="Y1391">
        <v>0</v>
      </c>
      <c r="AA1391">
        <v>0</v>
      </c>
    </row>
    <row r="1392" spans="1:28" x14ac:dyDescent="0.3">
      <c r="A1392" t="s">
        <v>41</v>
      </c>
      <c r="B1392">
        <v>17</v>
      </c>
    </row>
    <row r="1393" spans="1:28" x14ac:dyDescent="0.3">
      <c r="A1393" t="s">
        <v>42</v>
      </c>
      <c r="B1393">
        <v>17</v>
      </c>
      <c r="J1393">
        <v>25</v>
      </c>
      <c r="T1393">
        <v>45</v>
      </c>
      <c r="W1393">
        <v>45</v>
      </c>
      <c r="Y1393">
        <v>30</v>
      </c>
    </row>
    <row r="1394" spans="1:28" x14ac:dyDescent="0.3">
      <c r="A1394" t="s">
        <v>45</v>
      </c>
      <c r="B1394">
        <v>17</v>
      </c>
      <c r="I1394">
        <v>8</v>
      </c>
      <c r="J1394">
        <v>8</v>
      </c>
      <c r="S1394">
        <v>5</v>
      </c>
      <c r="T1394">
        <v>2</v>
      </c>
      <c r="V1394">
        <v>1</v>
      </c>
      <c r="W1394">
        <v>6</v>
      </c>
      <c r="Y1394">
        <v>4</v>
      </c>
      <c r="AA1394">
        <v>4</v>
      </c>
    </row>
    <row r="1395" spans="1:28" x14ac:dyDescent="0.3">
      <c r="A1395" t="s">
        <v>46</v>
      </c>
      <c r="B1395">
        <v>17</v>
      </c>
      <c r="L1395">
        <v>8</v>
      </c>
      <c r="U1395">
        <v>2</v>
      </c>
    </row>
    <row r="1396" spans="1:28" x14ac:dyDescent="0.3">
      <c r="A1396" t="s">
        <v>49</v>
      </c>
      <c r="B1396">
        <v>17</v>
      </c>
      <c r="I1396">
        <v>7.3</v>
      </c>
      <c r="J1396">
        <v>7.3</v>
      </c>
      <c r="L1396">
        <v>7.3</v>
      </c>
      <c r="S1396">
        <v>7.7</v>
      </c>
      <c r="T1396">
        <v>6.6</v>
      </c>
      <c r="U1396">
        <v>6.6</v>
      </c>
      <c r="V1396">
        <v>6.8</v>
      </c>
      <c r="W1396">
        <v>6.5</v>
      </c>
      <c r="X1396">
        <v>4</v>
      </c>
      <c r="Y1396">
        <v>8</v>
      </c>
      <c r="AA1396">
        <v>8</v>
      </c>
      <c r="AB1396">
        <v>4</v>
      </c>
    </row>
    <row r="1397" spans="1:28" x14ac:dyDescent="0.3">
      <c r="A1397" t="s">
        <v>696</v>
      </c>
      <c r="B1397">
        <v>17</v>
      </c>
      <c r="I1397">
        <v>0</v>
      </c>
      <c r="J1397">
        <v>0</v>
      </c>
      <c r="L1397">
        <v>0</v>
      </c>
      <c r="S1397">
        <v>0</v>
      </c>
      <c r="T1397">
        <v>0</v>
      </c>
      <c r="U1397">
        <v>0</v>
      </c>
      <c r="V1397">
        <v>0</v>
      </c>
      <c r="W1397">
        <v>0</v>
      </c>
      <c r="X1397">
        <v>0</v>
      </c>
      <c r="Y1397">
        <v>0</v>
      </c>
      <c r="AA1397">
        <v>0</v>
      </c>
      <c r="AB1397">
        <v>0</v>
      </c>
    </row>
    <row r="1398" spans="1:28" x14ac:dyDescent="0.3">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3">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3">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3">
      <c r="A1401" t="s">
        <v>698</v>
      </c>
      <c r="B1401">
        <v>17</v>
      </c>
      <c r="I1401">
        <v>1</v>
      </c>
      <c r="J1401">
        <v>1</v>
      </c>
      <c r="L1401">
        <v>1</v>
      </c>
      <c r="S1401">
        <v>1</v>
      </c>
      <c r="T1401">
        <v>1</v>
      </c>
      <c r="U1401">
        <v>1</v>
      </c>
      <c r="V1401">
        <v>1</v>
      </c>
      <c r="W1401">
        <v>1</v>
      </c>
      <c r="X1401">
        <v>1</v>
      </c>
      <c r="Y1401">
        <v>1</v>
      </c>
      <c r="AA1401">
        <v>1</v>
      </c>
      <c r="AB1401">
        <v>1</v>
      </c>
    </row>
    <row r="1402" spans="1:28" x14ac:dyDescent="0.3">
      <c r="A1402" t="s">
        <v>51</v>
      </c>
      <c r="B1402">
        <v>17</v>
      </c>
      <c r="I1402">
        <v>0</v>
      </c>
      <c r="J1402">
        <v>0</v>
      </c>
      <c r="L1402">
        <v>390</v>
      </c>
      <c r="S1402">
        <v>0</v>
      </c>
      <c r="T1402">
        <v>0</v>
      </c>
      <c r="U1402">
        <v>177</v>
      </c>
      <c r="V1402">
        <v>0</v>
      </c>
      <c r="W1402">
        <v>2</v>
      </c>
      <c r="X1402">
        <v>0</v>
      </c>
      <c r="Y1402">
        <v>0</v>
      </c>
      <c r="AA1402">
        <v>168</v>
      </c>
      <c r="AB1402">
        <v>0</v>
      </c>
    </row>
    <row r="1403" spans="1:28" x14ac:dyDescent="0.3">
      <c r="A1403" t="s">
        <v>53</v>
      </c>
      <c r="B1403">
        <v>17</v>
      </c>
      <c r="I1403">
        <v>18</v>
      </c>
      <c r="J1403">
        <v>116</v>
      </c>
      <c r="L1403">
        <v>359</v>
      </c>
      <c r="S1403">
        <v>147</v>
      </c>
      <c r="T1403">
        <v>734</v>
      </c>
      <c r="U1403">
        <v>59</v>
      </c>
      <c r="V1403">
        <v>41</v>
      </c>
      <c r="W1403">
        <v>607</v>
      </c>
      <c r="X1403">
        <v>12</v>
      </c>
      <c r="Y1403">
        <v>56</v>
      </c>
      <c r="AA1403">
        <v>110</v>
      </c>
      <c r="AB1403">
        <v>38</v>
      </c>
    </row>
    <row r="1404" spans="1:28" x14ac:dyDescent="0.3">
      <c r="A1404" t="s">
        <v>54</v>
      </c>
      <c r="B1404">
        <v>17</v>
      </c>
      <c r="I1404">
        <v>0</v>
      </c>
      <c r="J1404">
        <v>0</v>
      </c>
      <c r="L1404">
        <v>0</v>
      </c>
      <c r="S1404">
        <v>0</v>
      </c>
      <c r="T1404">
        <v>0</v>
      </c>
      <c r="U1404">
        <v>0</v>
      </c>
      <c r="V1404">
        <v>0</v>
      </c>
      <c r="W1404">
        <v>0</v>
      </c>
      <c r="X1404">
        <v>0</v>
      </c>
      <c r="Y1404">
        <v>0</v>
      </c>
      <c r="AA1404">
        <v>0</v>
      </c>
      <c r="AB1404">
        <v>0</v>
      </c>
    </row>
    <row r="1405" spans="1:28" x14ac:dyDescent="0.3">
      <c r="A1405" t="s">
        <v>55</v>
      </c>
      <c r="B1405">
        <v>17</v>
      </c>
      <c r="I1405">
        <v>0</v>
      </c>
      <c r="J1405">
        <v>0</v>
      </c>
      <c r="L1405">
        <v>0</v>
      </c>
      <c r="S1405">
        <v>0</v>
      </c>
      <c r="T1405">
        <v>0</v>
      </c>
      <c r="U1405">
        <v>0</v>
      </c>
      <c r="V1405">
        <v>0</v>
      </c>
      <c r="W1405">
        <v>0</v>
      </c>
      <c r="X1405">
        <v>0</v>
      </c>
      <c r="Y1405">
        <v>0</v>
      </c>
      <c r="AA1405">
        <v>0</v>
      </c>
      <c r="AB1405">
        <v>0</v>
      </c>
    </row>
    <row r="1406" spans="1:28" x14ac:dyDescent="0.3">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3">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3">
      <c r="A1408" t="s">
        <v>58</v>
      </c>
      <c r="B1408">
        <v>17</v>
      </c>
      <c r="I1408">
        <v>2</v>
      </c>
      <c r="J1408">
        <v>2</v>
      </c>
      <c r="L1408">
        <v>2</v>
      </c>
      <c r="S1408">
        <v>2</v>
      </c>
      <c r="T1408">
        <v>2</v>
      </c>
      <c r="U1408">
        <v>2</v>
      </c>
      <c r="V1408">
        <v>2</v>
      </c>
      <c r="W1408">
        <v>2</v>
      </c>
      <c r="X1408">
        <v>2</v>
      </c>
      <c r="Y1408">
        <v>2</v>
      </c>
      <c r="AA1408">
        <v>2</v>
      </c>
      <c r="AB1408">
        <v>2</v>
      </c>
    </row>
    <row r="1409" spans="1:28" x14ac:dyDescent="0.3">
      <c r="A1409" t="s">
        <v>59</v>
      </c>
      <c r="B1409">
        <v>17</v>
      </c>
      <c r="I1409">
        <v>0</v>
      </c>
      <c r="J1409">
        <v>0</v>
      </c>
      <c r="L1409">
        <v>0</v>
      </c>
      <c r="S1409">
        <v>0</v>
      </c>
      <c r="T1409">
        <v>0</v>
      </c>
      <c r="U1409">
        <v>0</v>
      </c>
      <c r="V1409">
        <v>0</v>
      </c>
      <c r="W1409">
        <v>0</v>
      </c>
      <c r="X1409">
        <v>0</v>
      </c>
      <c r="Y1409">
        <v>0</v>
      </c>
      <c r="AA1409">
        <v>0</v>
      </c>
      <c r="AB1409">
        <v>0</v>
      </c>
    </row>
    <row r="1410" spans="1:28" x14ac:dyDescent="0.3">
      <c r="A1410" t="s">
        <v>699</v>
      </c>
      <c r="B1410">
        <v>17</v>
      </c>
      <c r="J1410">
        <v>0</v>
      </c>
      <c r="T1410">
        <v>0</v>
      </c>
      <c r="W1410">
        <v>0</v>
      </c>
      <c r="Y1410">
        <v>0</v>
      </c>
    </row>
    <row r="1411" spans="1:28" x14ac:dyDescent="0.3">
      <c r="A1411" t="s">
        <v>678</v>
      </c>
      <c r="B1411">
        <v>17</v>
      </c>
      <c r="J1411">
        <v>995</v>
      </c>
      <c r="T1411">
        <v>4063</v>
      </c>
      <c r="W1411">
        <v>4722</v>
      </c>
      <c r="Y1411">
        <v>288</v>
      </c>
    </row>
    <row r="1412" spans="1:28" x14ac:dyDescent="0.3">
      <c r="A1412" t="s">
        <v>78</v>
      </c>
      <c r="B1412">
        <v>17</v>
      </c>
      <c r="J1412">
        <v>27.1</v>
      </c>
      <c r="T1412">
        <v>61.6</v>
      </c>
      <c r="W1412">
        <v>71.5</v>
      </c>
      <c r="Y1412">
        <v>6.5</v>
      </c>
    </row>
    <row r="1413" spans="1:28" x14ac:dyDescent="0.3">
      <c r="A1413" t="s">
        <v>700</v>
      </c>
      <c r="B1413">
        <v>17</v>
      </c>
      <c r="L1413">
        <v>0</v>
      </c>
      <c r="U1413">
        <v>0</v>
      </c>
      <c r="X1413">
        <v>1</v>
      </c>
      <c r="AB1413">
        <v>0</v>
      </c>
    </row>
    <row r="1414" spans="1:28" x14ac:dyDescent="0.3">
      <c r="A1414" t="s">
        <v>721</v>
      </c>
      <c r="B1414">
        <v>17</v>
      </c>
      <c r="X1414">
        <v>50</v>
      </c>
    </row>
    <row r="1415" spans="1:28" x14ac:dyDescent="0.3">
      <c r="A1415" t="s">
        <v>722</v>
      </c>
      <c r="B1415">
        <v>17</v>
      </c>
      <c r="X1415">
        <v>0</v>
      </c>
    </row>
    <row r="1416" spans="1:28" x14ac:dyDescent="0.3">
      <c r="A1416" t="s">
        <v>701</v>
      </c>
      <c r="B1416">
        <v>17</v>
      </c>
      <c r="I1416">
        <v>0</v>
      </c>
      <c r="J1416">
        <v>0</v>
      </c>
      <c r="L1416">
        <v>1</v>
      </c>
      <c r="S1416">
        <v>0</v>
      </c>
      <c r="T1416">
        <v>0</v>
      </c>
      <c r="U1416">
        <v>1</v>
      </c>
      <c r="V1416">
        <v>0</v>
      </c>
      <c r="W1416">
        <v>0</v>
      </c>
      <c r="X1416">
        <v>1</v>
      </c>
      <c r="Y1416">
        <v>0</v>
      </c>
      <c r="AA1416">
        <v>1</v>
      </c>
      <c r="AB1416">
        <v>1</v>
      </c>
    </row>
    <row r="1417" spans="1:28" x14ac:dyDescent="0.3">
      <c r="A1417" t="s">
        <v>702</v>
      </c>
      <c r="B1417">
        <v>17</v>
      </c>
      <c r="I1417">
        <v>0</v>
      </c>
      <c r="J1417">
        <v>0</v>
      </c>
      <c r="L1417">
        <v>0</v>
      </c>
      <c r="S1417">
        <v>0</v>
      </c>
      <c r="T1417">
        <v>0</v>
      </c>
      <c r="U1417">
        <v>0</v>
      </c>
      <c r="V1417">
        <v>0</v>
      </c>
      <c r="W1417">
        <v>0</v>
      </c>
      <c r="X1417">
        <v>0</v>
      </c>
      <c r="Y1417">
        <v>0</v>
      </c>
      <c r="AA1417">
        <v>0</v>
      </c>
      <c r="AB1417">
        <v>0</v>
      </c>
    </row>
    <row r="1418" spans="1:28" x14ac:dyDescent="0.3">
      <c r="A1418" t="s">
        <v>52</v>
      </c>
      <c r="B1418">
        <v>17</v>
      </c>
      <c r="I1418">
        <v>1</v>
      </c>
      <c r="J1418">
        <v>1</v>
      </c>
      <c r="L1418">
        <v>1</v>
      </c>
      <c r="S1418">
        <v>1</v>
      </c>
      <c r="T1418">
        <v>1</v>
      </c>
      <c r="U1418">
        <v>1</v>
      </c>
      <c r="V1418">
        <v>1</v>
      </c>
      <c r="W1418">
        <v>1</v>
      </c>
      <c r="X1418">
        <v>1</v>
      </c>
      <c r="Y1418">
        <v>1</v>
      </c>
      <c r="AA1418">
        <v>1</v>
      </c>
      <c r="AB1418">
        <v>1</v>
      </c>
    </row>
    <row r="1419" spans="1:28" x14ac:dyDescent="0.3">
      <c r="A1419" t="s">
        <v>703</v>
      </c>
      <c r="B1419">
        <v>17</v>
      </c>
      <c r="I1419">
        <v>15</v>
      </c>
      <c r="J1419">
        <v>15</v>
      </c>
      <c r="L1419">
        <v>9</v>
      </c>
      <c r="S1419">
        <v>15</v>
      </c>
      <c r="T1419">
        <v>60</v>
      </c>
      <c r="U1419">
        <v>9</v>
      </c>
      <c r="V1419">
        <v>15</v>
      </c>
      <c r="W1419">
        <v>60</v>
      </c>
      <c r="X1419">
        <v>9</v>
      </c>
      <c r="Y1419">
        <v>15</v>
      </c>
      <c r="AA1419">
        <v>9</v>
      </c>
      <c r="AB1419">
        <v>9</v>
      </c>
    </row>
    <row r="1420" spans="1:28" x14ac:dyDescent="0.3">
      <c r="A1420" t="s">
        <v>43</v>
      </c>
      <c r="B1420">
        <v>17</v>
      </c>
      <c r="I1420">
        <v>0</v>
      </c>
      <c r="J1420">
        <v>0</v>
      </c>
      <c r="L1420">
        <v>0</v>
      </c>
      <c r="S1420">
        <v>0</v>
      </c>
      <c r="T1420">
        <v>0</v>
      </c>
      <c r="U1420">
        <v>0</v>
      </c>
      <c r="V1420">
        <v>0</v>
      </c>
      <c r="W1420">
        <v>0</v>
      </c>
      <c r="Y1420">
        <v>0</v>
      </c>
      <c r="AA1420">
        <v>0</v>
      </c>
    </row>
    <row r="1421" spans="1:28" x14ac:dyDescent="0.3">
      <c r="A1421" t="s">
        <v>44</v>
      </c>
      <c r="B1421">
        <v>17</v>
      </c>
      <c r="I1421">
        <v>0</v>
      </c>
      <c r="J1421">
        <v>0</v>
      </c>
      <c r="L1421">
        <v>0</v>
      </c>
      <c r="S1421">
        <v>0</v>
      </c>
      <c r="T1421">
        <v>0</v>
      </c>
      <c r="U1421">
        <v>0</v>
      </c>
      <c r="V1421">
        <v>0</v>
      </c>
      <c r="W1421">
        <v>0</v>
      </c>
      <c r="Y1421">
        <v>0</v>
      </c>
      <c r="AA1421">
        <v>0</v>
      </c>
    </row>
    <row r="1422" spans="1:28" x14ac:dyDescent="0.3">
      <c r="A1422" t="s">
        <v>47</v>
      </c>
      <c r="B1422">
        <v>17</v>
      </c>
      <c r="I1422">
        <v>8</v>
      </c>
      <c r="J1422">
        <v>8</v>
      </c>
      <c r="L1422">
        <v>8</v>
      </c>
      <c r="S1422">
        <v>5</v>
      </c>
      <c r="T1422">
        <v>2</v>
      </c>
      <c r="U1422">
        <v>2</v>
      </c>
      <c r="V1422">
        <v>1</v>
      </c>
      <c r="W1422">
        <v>6</v>
      </c>
      <c r="Y1422">
        <v>4</v>
      </c>
      <c r="AA1422">
        <v>4</v>
      </c>
    </row>
    <row r="1423" spans="1:28" x14ac:dyDescent="0.3">
      <c r="A1423" t="s">
        <v>704</v>
      </c>
      <c r="B1423">
        <v>17</v>
      </c>
      <c r="I1423">
        <v>0</v>
      </c>
      <c r="J1423">
        <v>0</v>
      </c>
      <c r="L1423">
        <v>0</v>
      </c>
      <c r="S1423">
        <v>0</v>
      </c>
      <c r="T1423">
        <v>0</v>
      </c>
      <c r="U1423">
        <v>0</v>
      </c>
      <c r="V1423">
        <v>0</v>
      </c>
      <c r="W1423">
        <v>0</v>
      </c>
      <c r="Y1423">
        <v>0</v>
      </c>
      <c r="AA1423">
        <v>0</v>
      </c>
    </row>
    <row r="1424" spans="1:28" x14ac:dyDescent="0.3">
      <c r="A1424" t="s">
        <v>705</v>
      </c>
      <c r="B1424">
        <v>17</v>
      </c>
      <c r="I1424">
        <v>0</v>
      </c>
      <c r="J1424">
        <v>0</v>
      </c>
      <c r="L1424">
        <v>0</v>
      </c>
      <c r="S1424">
        <v>0</v>
      </c>
      <c r="T1424">
        <v>0</v>
      </c>
      <c r="U1424">
        <v>0</v>
      </c>
      <c r="V1424">
        <v>0</v>
      </c>
      <c r="W1424">
        <v>0</v>
      </c>
      <c r="Y1424">
        <v>0</v>
      </c>
      <c r="AA1424">
        <v>0</v>
      </c>
    </row>
    <row r="1425" spans="1:28" x14ac:dyDescent="0.3">
      <c r="A1425" t="s">
        <v>706</v>
      </c>
      <c r="B1425">
        <v>17</v>
      </c>
      <c r="I1425">
        <v>0</v>
      </c>
      <c r="J1425">
        <v>0</v>
      </c>
      <c r="L1425">
        <v>0</v>
      </c>
      <c r="S1425">
        <v>0</v>
      </c>
      <c r="T1425">
        <v>0</v>
      </c>
      <c r="U1425">
        <v>0</v>
      </c>
      <c r="V1425">
        <v>0</v>
      </c>
      <c r="W1425">
        <v>0</v>
      </c>
      <c r="Y1425">
        <v>0</v>
      </c>
      <c r="AA1425">
        <v>0</v>
      </c>
    </row>
    <row r="1426" spans="1:28" x14ac:dyDescent="0.3">
      <c r="A1426" t="s">
        <v>707</v>
      </c>
      <c r="B1426">
        <v>17</v>
      </c>
      <c r="I1426">
        <v>0</v>
      </c>
      <c r="J1426">
        <v>0</v>
      </c>
      <c r="L1426">
        <v>0</v>
      </c>
      <c r="S1426">
        <v>0</v>
      </c>
      <c r="T1426">
        <v>0</v>
      </c>
      <c r="U1426">
        <v>0</v>
      </c>
      <c r="V1426">
        <v>0</v>
      </c>
      <c r="W1426">
        <v>0</v>
      </c>
      <c r="Y1426">
        <v>0</v>
      </c>
      <c r="AA1426">
        <v>0</v>
      </c>
    </row>
    <row r="1427" spans="1:28" x14ac:dyDescent="0.3">
      <c r="A1427" t="s">
        <v>708</v>
      </c>
      <c r="B1427">
        <v>17</v>
      </c>
      <c r="I1427">
        <v>0</v>
      </c>
      <c r="J1427">
        <v>0</v>
      </c>
      <c r="L1427">
        <v>0</v>
      </c>
      <c r="S1427">
        <v>0</v>
      </c>
      <c r="T1427">
        <v>0</v>
      </c>
      <c r="U1427">
        <v>0</v>
      </c>
      <c r="V1427">
        <v>0</v>
      </c>
      <c r="W1427">
        <v>0</v>
      </c>
      <c r="Y1427">
        <v>0</v>
      </c>
      <c r="AA1427">
        <v>0</v>
      </c>
    </row>
    <row r="1428" spans="1:28" x14ac:dyDescent="0.3">
      <c r="A1428" t="s">
        <v>719</v>
      </c>
      <c r="B1428">
        <v>17</v>
      </c>
      <c r="J1428">
        <v>0</v>
      </c>
      <c r="T1428">
        <v>0</v>
      </c>
      <c r="W1428">
        <v>0</v>
      </c>
      <c r="Y1428">
        <v>0</v>
      </c>
    </row>
    <row r="1429" spans="1:28" x14ac:dyDescent="0.3">
      <c r="A1429" t="s">
        <v>405</v>
      </c>
      <c r="B1429">
        <v>17</v>
      </c>
      <c r="T1429">
        <v>0</v>
      </c>
    </row>
    <row r="1430" spans="1:28" x14ac:dyDescent="0.3">
      <c r="A1430" t="s">
        <v>720</v>
      </c>
      <c r="B1430">
        <v>17</v>
      </c>
      <c r="I1430">
        <v>20</v>
      </c>
      <c r="J1430">
        <v>126</v>
      </c>
      <c r="L1430">
        <v>390</v>
      </c>
      <c r="S1430">
        <v>160</v>
      </c>
      <c r="T1430">
        <v>798</v>
      </c>
      <c r="U1430">
        <v>64</v>
      </c>
      <c r="V1430">
        <v>45</v>
      </c>
      <c r="W1430">
        <v>673</v>
      </c>
      <c r="X1430">
        <v>0</v>
      </c>
      <c r="Y1430">
        <v>61</v>
      </c>
      <c r="AA1430">
        <v>161</v>
      </c>
      <c r="AB1430">
        <v>0</v>
      </c>
    </row>
    <row r="1431" spans="1:28" x14ac:dyDescent="0.3">
      <c r="A1431" t="s">
        <v>34</v>
      </c>
      <c r="B1431">
        <v>21</v>
      </c>
      <c r="C1431">
        <v>22</v>
      </c>
      <c r="D1431">
        <v>22</v>
      </c>
      <c r="E1431">
        <v>22</v>
      </c>
      <c r="F1431">
        <v>23</v>
      </c>
      <c r="G1431">
        <v>23</v>
      </c>
      <c r="H1431">
        <v>23</v>
      </c>
      <c r="S1431">
        <v>17</v>
      </c>
      <c r="T1431">
        <v>17</v>
      </c>
      <c r="U1431">
        <v>17</v>
      </c>
      <c r="V1431">
        <v>46</v>
      </c>
      <c r="W1431">
        <v>46</v>
      </c>
      <c r="X1431">
        <v>46</v>
      </c>
    </row>
    <row r="1432" spans="1:28" x14ac:dyDescent="0.3">
      <c r="A1432" t="s">
        <v>35</v>
      </c>
      <c r="B1432">
        <v>21</v>
      </c>
      <c r="C1432">
        <v>46</v>
      </c>
      <c r="D1432">
        <v>23</v>
      </c>
      <c r="E1432">
        <v>17</v>
      </c>
      <c r="F1432">
        <v>17</v>
      </c>
      <c r="G1432">
        <v>22</v>
      </c>
      <c r="H1432">
        <v>46</v>
      </c>
      <c r="S1432">
        <v>22</v>
      </c>
      <c r="T1432">
        <v>46</v>
      </c>
      <c r="U1432">
        <v>23</v>
      </c>
      <c r="V1432">
        <v>23</v>
      </c>
      <c r="W1432">
        <v>17</v>
      </c>
      <c r="X1432">
        <v>22</v>
      </c>
    </row>
    <row r="1433" spans="1:28" x14ac:dyDescent="0.3">
      <c r="A1433" t="s">
        <v>36</v>
      </c>
      <c r="B1433">
        <v>21</v>
      </c>
      <c r="C1433">
        <v>2</v>
      </c>
      <c r="D1433">
        <v>2</v>
      </c>
      <c r="E1433">
        <v>1</v>
      </c>
      <c r="F1433">
        <v>1</v>
      </c>
      <c r="G1433">
        <v>2</v>
      </c>
      <c r="H1433">
        <v>1</v>
      </c>
      <c r="S1433">
        <v>2</v>
      </c>
      <c r="T1433">
        <v>3</v>
      </c>
      <c r="U1433">
        <v>1</v>
      </c>
      <c r="V1433">
        <v>2</v>
      </c>
      <c r="W1433">
        <v>3</v>
      </c>
      <c r="X1433">
        <v>1</v>
      </c>
    </row>
    <row r="1434" spans="1:28" x14ac:dyDescent="0.3">
      <c r="A1434" t="s">
        <v>37</v>
      </c>
      <c r="B1434">
        <v>21</v>
      </c>
      <c r="C1434">
        <v>0</v>
      </c>
      <c r="D1434">
        <v>0</v>
      </c>
      <c r="F1434">
        <v>0</v>
      </c>
      <c r="G1434">
        <v>0</v>
      </c>
      <c r="S1434">
        <v>0</v>
      </c>
      <c r="T1434">
        <v>0</v>
      </c>
      <c r="V1434">
        <v>0</v>
      </c>
      <c r="W1434">
        <v>0</v>
      </c>
    </row>
    <row r="1435" spans="1:28" x14ac:dyDescent="0.3">
      <c r="A1435" t="s">
        <v>38</v>
      </c>
      <c r="B1435">
        <v>21</v>
      </c>
      <c r="C1435">
        <v>12</v>
      </c>
      <c r="D1435">
        <v>12</v>
      </c>
      <c r="E1435">
        <v>12</v>
      </c>
      <c r="F1435">
        <v>12</v>
      </c>
      <c r="G1435">
        <v>12</v>
      </c>
      <c r="H1435">
        <v>12</v>
      </c>
      <c r="S1435">
        <v>12</v>
      </c>
      <c r="T1435">
        <v>12</v>
      </c>
      <c r="U1435">
        <v>12</v>
      </c>
      <c r="V1435">
        <v>12</v>
      </c>
      <c r="W1435">
        <v>12</v>
      </c>
      <c r="X1435">
        <v>12</v>
      </c>
    </row>
    <row r="1436" spans="1:28" x14ac:dyDescent="0.3">
      <c r="A1436" t="s">
        <v>39</v>
      </c>
      <c r="B1436">
        <v>21</v>
      </c>
      <c r="C1436">
        <v>190</v>
      </c>
      <c r="E1436">
        <v>265</v>
      </c>
      <c r="F1436">
        <v>245</v>
      </c>
      <c r="H1436">
        <v>245</v>
      </c>
      <c r="S1436">
        <v>330</v>
      </c>
      <c r="U1436">
        <v>350</v>
      </c>
      <c r="V1436">
        <v>390</v>
      </c>
      <c r="X1436">
        <v>470</v>
      </c>
    </row>
    <row r="1437" spans="1:28" x14ac:dyDescent="0.3">
      <c r="A1437" t="s">
        <v>695</v>
      </c>
      <c r="B1437">
        <v>21</v>
      </c>
      <c r="C1437">
        <v>120</v>
      </c>
      <c r="E1437">
        <v>105</v>
      </c>
      <c r="F1437">
        <v>75</v>
      </c>
      <c r="H1437">
        <v>75</v>
      </c>
      <c r="S1437">
        <v>155</v>
      </c>
      <c r="U1437">
        <v>120</v>
      </c>
      <c r="V1437">
        <v>125</v>
      </c>
      <c r="X1437">
        <v>115</v>
      </c>
    </row>
    <row r="1438" spans="1:28" x14ac:dyDescent="0.3">
      <c r="A1438" t="s">
        <v>40</v>
      </c>
      <c r="B1438">
        <v>21</v>
      </c>
      <c r="C1438">
        <v>2</v>
      </c>
      <c r="E1438">
        <v>1</v>
      </c>
      <c r="F1438">
        <v>1</v>
      </c>
      <c r="H1438">
        <v>1</v>
      </c>
      <c r="S1438">
        <v>2</v>
      </c>
      <c r="U1438">
        <v>1</v>
      </c>
      <c r="V1438">
        <v>2</v>
      </c>
      <c r="X1438">
        <v>1</v>
      </c>
    </row>
    <row r="1439" spans="1:28" x14ac:dyDescent="0.3">
      <c r="A1439" t="s">
        <v>41</v>
      </c>
      <c r="B1439">
        <v>21</v>
      </c>
    </row>
    <row r="1440" spans="1:28" x14ac:dyDescent="0.3">
      <c r="A1440" t="s">
        <v>42</v>
      </c>
      <c r="B1440">
        <v>21</v>
      </c>
      <c r="D1440">
        <v>35</v>
      </c>
      <c r="G1440">
        <v>35</v>
      </c>
      <c r="T1440">
        <v>45</v>
      </c>
      <c r="W1440">
        <v>45</v>
      </c>
    </row>
    <row r="1441" spans="1:24" x14ac:dyDescent="0.3">
      <c r="A1441" t="s">
        <v>45</v>
      </c>
      <c r="B1441">
        <v>21</v>
      </c>
      <c r="C1441">
        <v>5</v>
      </c>
      <c r="D1441">
        <v>2</v>
      </c>
      <c r="F1441">
        <v>1</v>
      </c>
      <c r="G1441">
        <v>6</v>
      </c>
      <c r="S1441">
        <v>3</v>
      </c>
      <c r="T1441">
        <v>8</v>
      </c>
      <c r="V1441">
        <v>7</v>
      </c>
      <c r="W1441">
        <v>4</v>
      </c>
    </row>
    <row r="1442" spans="1:24" x14ac:dyDescent="0.3">
      <c r="A1442" t="s">
        <v>46</v>
      </c>
      <c r="B1442">
        <v>21</v>
      </c>
      <c r="E1442">
        <v>2</v>
      </c>
      <c r="H1442">
        <v>6</v>
      </c>
      <c r="U1442">
        <v>8</v>
      </c>
      <c r="X1442">
        <v>4</v>
      </c>
    </row>
    <row r="1443" spans="1:24" x14ac:dyDescent="0.3">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3">
      <c r="A1444" t="s">
        <v>696</v>
      </c>
      <c r="B1444">
        <v>21</v>
      </c>
      <c r="C1444">
        <v>0</v>
      </c>
      <c r="D1444">
        <v>0</v>
      </c>
      <c r="E1444">
        <v>0</v>
      </c>
      <c r="F1444">
        <v>0</v>
      </c>
      <c r="G1444">
        <v>0</v>
      </c>
      <c r="H1444">
        <v>0</v>
      </c>
      <c r="S1444">
        <v>0</v>
      </c>
      <c r="T1444">
        <v>0</v>
      </c>
      <c r="U1444">
        <v>0</v>
      </c>
      <c r="V1444">
        <v>0</v>
      </c>
      <c r="W1444">
        <v>0</v>
      </c>
      <c r="X1444">
        <v>0</v>
      </c>
    </row>
    <row r="1445" spans="1:24" x14ac:dyDescent="0.3">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3">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3">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3">
      <c r="A1448" t="s">
        <v>698</v>
      </c>
      <c r="B1448">
        <v>21</v>
      </c>
      <c r="C1448">
        <v>1</v>
      </c>
      <c r="D1448">
        <v>1</v>
      </c>
      <c r="E1448">
        <v>1</v>
      </c>
      <c r="F1448">
        <v>1</v>
      </c>
      <c r="G1448">
        <v>1</v>
      </c>
      <c r="H1448">
        <v>1</v>
      </c>
      <c r="S1448">
        <v>1</v>
      </c>
      <c r="T1448">
        <v>1</v>
      </c>
      <c r="U1448">
        <v>1</v>
      </c>
      <c r="V1448">
        <v>1</v>
      </c>
      <c r="W1448">
        <v>1</v>
      </c>
      <c r="X1448">
        <v>1</v>
      </c>
    </row>
    <row r="1449" spans="1:24" x14ac:dyDescent="0.3">
      <c r="A1449" t="s">
        <v>51</v>
      </c>
      <c r="B1449">
        <v>21</v>
      </c>
      <c r="C1449">
        <v>0</v>
      </c>
      <c r="D1449">
        <v>0</v>
      </c>
      <c r="E1449">
        <v>163</v>
      </c>
      <c r="F1449">
        <v>0</v>
      </c>
      <c r="G1449">
        <v>0</v>
      </c>
      <c r="H1449">
        <v>163</v>
      </c>
      <c r="S1449">
        <v>0</v>
      </c>
      <c r="T1449">
        <v>0</v>
      </c>
      <c r="U1449">
        <v>171</v>
      </c>
      <c r="V1449">
        <v>0</v>
      </c>
      <c r="W1449">
        <v>0</v>
      </c>
      <c r="X1449">
        <v>171</v>
      </c>
    </row>
    <row r="1450" spans="1:24" x14ac:dyDescent="0.3">
      <c r="A1450" t="s">
        <v>53</v>
      </c>
      <c r="B1450">
        <v>21</v>
      </c>
      <c r="C1450">
        <v>152</v>
      </c>
      <c r="D1450">
        <v>384</v>
      </c>
      <c r="E1450">
        <v>36</v>
      </c>
      <c r="F1450">
        <v>51</v>
      </c>
      <c r="G1450">
        <v>150</v>
      </c>
      <c r="H1450">
        <v>22</v>
      </c>
      <c r="S1450">
        <v>9</v>
      </c>
      <c r="T1450">
        <v>621</v>
      </c>
      <c r="U1450">
        <v>114</v>
      </c>
      <c r="V1450">
        <v>27</v>
      </c>
      <c r="W1450">
        <v>557</v>
      </c>
      <c r="X1450">
        <v>79</v>
      </c>
    </row>
    <row r="1451" spans="1:24" x14ac:dyDescent="0.3">
      <c r="A1451" t="s">
        <v>54</v>
      </c>
      <c r="B1451">
        <v>21</v>
      </c>
      <c r="C1451">
        <v>0</v>
      </c>
      <c r="D1451">
        <v>0</v>
      </c>
      <c r="E1451">
        <v>0</v>
      </c>
      <c r="F1451">
        <v>0</v>
      </c>
      <c r="G1451">
        <v>0</v>
      </c>
      <c r="H1451">
        <v>0</v>
      </c>
      <c r="S1451">
        <v>0</v>
      </c>
      <c r="T1451">
        <v>0</v>
      </c>
      <c r="U1451">
        <v>0</v>
      </c>
      <c r="V1451">
        <v>0</v>
      </c>
      <c r="W1451">
        <v>0</v>
      </c>
      <c r="X1451">
        <v>0</v>
      </c>
    </row>
    <row r="1452" spans="1:24" x14ac:dyDescent="0.3">
      <c r="A1452" t="s">
        <v>55</v>
      </c>
      <c r="B1452">
        <v>21</v>
      </c>
      <c r="C1452">
        <v>0</v>
      </c>
      <c r="D1452">
        <v>0</v>
      </c>
      <c r="E1452">
        <v>0</v>
      </c>
      <c r="F1452">
        <v>0</v>
      </c>
      <c r="G1452">
        <v>0</v>
      </c>
      <c r="H1452">
        <v>0</v>
      </c>
      <c r="S1452">
        <v>0</v>
      </c>
      <c r="T1452">
        <v>0</v>
      </c>
      <c r="U1452">
        <v>0</v>
      </c>
      <c r="V1452">
        <v>0</v>
      </c>
      <c r="W1452">
        <v>0</v>
      </c>
      <c r="X1452">
        <v>0</v>
      </c>
    </row>
    <row r="1453" spans="1:24" x14ac:dyDescent="0.3">
      <c r="A1453" t="s">
        <v>56</v>
      </c>
      <c r="B1453">
        <v>21</v>
      </c>
      <c r="C1453">
        <v>0.92</v>
      </c>
      <c r="D1453">
        <v>0.92</v>
      </c>
      <c r="E1453">
        <v>0.92</v>
      </c>
      <c r="F1453">
        <v>0.92</v>
      </c>
      <c r="G1453">
        <v>0.92</v>
      </c>
      <c r="H1453">
        <v>0.92</v>
      </c>
      <c r="S1453">
        <v>0.92</v>
      </c>
      <c r="T1453">
        <v>0.92</v>
      </c>
      <c r="U1453">
        <v>0.92</v>
      </c>
      <c r="V1453">
        <v>0.92</v>
      </c>
      <c r="W1453">
        <v>0.92</v>
      </c>
      <c r="X1453">
        <v>0.92</v>
      </c>
    </row>
    <row r="1454" spans="1:24" x14ac:dyDescent="0.3">
      <c r="A1454" t="s">
        <v>57</v>
      </c>
      <c r="B1454">
        <v>21</v>
      </c>
      <c r="C1454">
        <v>100</v>
      </c>
      <c r="D1454">
        <v>100</v>
      </c>
      <c r="E1454">
        <v>100</v>
      </c>
      <c r="F1454">
        <v>100</v>
      </c>
      <c r="G1454">
        <v>100</v>
      </c>
      <c r="H1454">
        <v>100</v>
      </c>
      <c r="S1454">
        <v>100</v>
      </c>
      <c r="T1454">
        <v>100</v>
      </c>
      <c r="U1454">
        <v>100</v>
      </c>
      <c r="V1454">
        <v>100</v>
      </c>
      <c r="W1454">
        <v>100</v>
      </c>
      <c r="X1454">
        <v>100</v>
      </c>
    </row>
    <row r="1455" spans="1:24" x14ac:dyDescent="0.3">
      <c r="A1455" t="s">
        <v>58</v>
      </c>
      <c r="B1455">
        <v>21</v>
      </c>
      <c r="C1455">
        <v>2</v>
      </c>
      <c r="D1455">
        <v>2</v>
      </c>
      <c r="E1455">
        <v>2</v>
      </c>
      <c r="F1455">
        <v>2</v>
      </c>
      <c r="G1455">
        <v>2</v>
      </c>
      <c r="H1455">
        <v>2</v>
      </c>
      <c r="S1455">
        <v>2</v>
      </c>
      <c r="T1455">
        <v>2</v>
      </c>
      <c r="U1455">
        <v>2</v>
      </c>
      <c r="V1455">
        <v>2</v>
      </c>
      <c r="W1455">
        <v>2</v>
      </c>
      <c r="X1455">
        <v>2</v>
      </c>
    </row>
    <row r="1456" spans="1:24" x14ac:dyDescent="0.3">
      <c r="A1456" t="s">
        <v>59</v>
      </c>
      <c r="B1456">
        <v>21</v>
      </c>
      <c r="C1456">
        <v>0</v>
      </c>
      <c r="D1456">
        <v>0</v>
      </c>
      <c r="E1456">
        <v>0</v>
      </c>
      <c r="F1456">
        <v>0</v>
      </c>
      <c r="G1456">
        <v>0</v>
      </c>
      <c r="H1456">
        <v>0</v>
      </c>
      <c r="S1456">
        <v>0</v>
      </c>
      <c r="T1456">
        <v>0</v>
      </c>
      <c r="U1456">
        <v>0</v>
      </c>
      <c r="V1456">
        <v>0</v>
      </c>
      <c r="W1456">
        <v>0</v>
      </c>
      <c r="X1456">
        <v>0</v>
      </c>
    </row>
    <row r="1457" spans="1:24" x14ac:dyDescent="0.3">
      <c r="A1457" t="s">
        <v>699</v>
      </c>
      <c r="B1457">
        <v>21</v>
      </c>
      <c r="D1457">
        <v>0</v>
      </c>
      <c r="G1457">
        <v>0</v>
      </c>
      <c r="T1457">
        <v>0</v>
      </c>
      <c r="W1457">
        <v>0</v>
      </c>
    </row>
    <row r="1458" spans="1:24" x14ac:dyDescent="0.3">
      <c r="A1458" t="s">
        <v>678</v>
      </c>
      <c r="B1458">
        <v>21</v>
      </c>
      <c r="D1458">
        <v>623</v>
      </c>
      <c r="G1458">
        <v>452</v>
      </c>
      <c r="T1458">
        <v>4722</v>
      </c>
      <c r="W1458">
        <v>906</v>
      </c>
    </row>
    <row r="1459" spans="1:24" x14ac:dyDescent="0.3">
      <c r="A1459" t="s">
        <v>78</v>
      </c>
      <c r="B1459">
        <v>21</v>
      </c>
      <c r="D1459">
        <v>12.1</v>
      </c>
      <c r="G1459">
        <v>8.8000000000000007</v>
      </c>
      <c r="T1459">
        <v>71.5</v>
      </c>
      <c r="W1459">
        <v>13.7</v>
      </c>
    </row>
    <row r="1460" spans="1:24" x14ac:dyDescent="0.3">
      <c r="A1460" t="s">
        <v>700</v>
      </c>
      <c r="B1460">
        <v>21</v>
      </c>
      <c r="E1460">
        <v>1</v>
      </c>
      <c r="H1460">
        <v>1</v>
      </c>
      <c r="U1460">
        <v>0</v>
      </c>
      <c r="X1460">
        <v>0</v>
      </c>
    </row>
    <row r="1461" spans="1:24" x14ac:dyDescent="0.3">
      <c r="A1461" t="s">
        <v>721</v>
      </c>
      <c r="B1461">
        <v>21</v>
      </c>
      <c r="E1461">
        <v>50</v>
      </c>
      <c r="H1461">
        <v>50</v>
      </c>
    </row>
    <row r="1462" spans="1:24" x14ac:dyDescent="0.3">
      <c r="A1462" t="s">
        <v>722</v>
      </c>
      <c r="B1462">
        <v>21</v>
      </c>
      <c r="E1462">
        <v>0</v>
      </c>
      <c r="H1462">
        <v>0</v>
      </c>
    </row>
    <row r="1463" spans="1:24" x14ac:dyDescent="0.3">
      <c r="A1463" t="s">
        <v>701</v>
      </c>
      <c r="B1463">
        <v>21</v>
      </c>
      <c r="C1463">
        <v>0</v>
      </c>
      <c r="D1463">
        <v>0</v>
      </c>
      <c r="E1463">
        <v>1</v>
      </c>
      <c r="F1463">
        <v>0</v>
      </c>
      <c r="G1463">
        <v>0</v>
      </c>
      <c r="H1463">
        <v>1</v>
      </c>
      <c r="S1463">
        <v>0</v>
      </c>
      <c r="T1463">
        <v>0</v>
      </c>
      <c r="U1463">
        <v>1</v>
      </c>
      <c r="V1463">
        <v>0</v>
      </c>
      <c r="W1463">
        <v>0</v>
      </c>
      <c r="X1463">
        <v>1</v>
      </c>
    </row>
    <row r="1464" spans="1:24" x14ac:dyDescent="0.3">
      <c r="A1464" t="s">
        <v>702</v>
      </c>
      <c r="B1464">
        <v>21</v>
      </c>
      <c r="C1464">
        <v>0</v>
      </c>
      <c r="D1464">
        <v>0</v>
      </c>
      <c r="E1464">
        <v>0</v>
      </c>
      <c r="F1464">
        <v>0</v>
      </c>
      <c r="G1464">
        <v>0</v>
      </c>
      <c r="H1464">
        <v>0</v>
      </c>
      <c r="S1464">
        <v>0</v>
      </c>
      <c r="T1464">
        <v>0</v>
      </c>
      <c r="U1464">
        <v>0</v>
      </c>
      <c r="V1464">
        <v>0</v>
      </c>
      <c r="W1464">
        <v>0</v>
      </c>
      <c r="X1464">
        <v>0</v>
      </c>
    </row>
    <row r="1465" spans="1:24" x14ac:dyDescent="0.3">
      <c r="A1465" t="s">
        <v>52</v>
      </c>
      <c r="B1465">
        <v>21</v>
      </c>
      <c r="C1465">
        <v>1</v>
      </c>
      <c r="D1465">
        <v>1</v>
      </c>
      <c r="E1465">
        <v>1</v>
      </c>
      <c r="F1465">
        <v>1</v>
      </c>
      <c r="G1465">
        <v>1</v>
      </c>
      <c r="H1465">
        <v>1</v>
      </c>
      <c r="S1465">
        <v>1</v>
      </c>
      <c r="T1465">
        <v>1</v>
      </c>
      <c r="U1465">
        <v>1</v>
      </c>
      <c r="V1465">
        <v>1</v>
      </c>
      <c r="W1465">
        <v>1</v>
      </c>
      <c r="X1465">
        <v>1</v>
      </c>
    </row>
    <row r="1466" spans="1:24" x14ac:dyDescent="0.3">
      <c r="A1466" t="s">
        <v>703</v>
      </c>
      <c r="B1466">
        <v>21</v>
      </c>
      <c r="C1466">
        <v>15</v>
      </c>
      <c r="D1466">
        <v>60</v>
      </c>
      <c r="E1466">
        <v>9</v>
      </c>
      <c r="F1466">
        <v>15</v>
      </c>
      <c r="G1466">
        <v>60</v>
      </c>
      <c r="H1466">
        <v>9</v>
      </c>
      <c r="S1466">
        <v>15</v>
      </c>
      <c r="T1466">
        <v>60</v>
      </c>
      <c r="U1466">
        <v>9</v>
      </c>
      <c r="V1466">
        <v>15</v>
      </c>
      <c r="W1466">
        <v>60</v>
      </c>
      <c r="X1466">
        <v>9</v>
      </c>
    </row>
    <row r="1467" spans="1:24" x14ac:dyDescent="0.3">
      <c r="A1467" t="s">
        <v>43</v>
      </c>
      <c r="B1467">
        <v>21</v>
      </c>
      <c r="C1467">
        <v>0</v>
      </c>
      <c r="D1467">
        <v>0</v>
      </c>
      <c r="E1467">
        <v>0</v>
      </c>
      <c r="F1467">
        <v>0</v>
      </c>
      <c r="G1467">
        <v>0</v>
      </c>
      <c r="H1467">
        <v>0</v>
      </c>
      <c r="S1467">
        <v>0</v>
      </c>
      <c r="T1467">
        <v>0</v>
      </c>
      <c r="U1467">
        <v>0</v>
      </c>
      <c r="V1467">
        <v>0</v>
      </c>
      <c r="W1467">
        <v>0</v>
      </c>
      <c r="X1467">
        <v>0</v>
      </c>
    </row>
    <row r="1468" spans="1:24" x14ac:dyDescent="0.3">
      <c r="A1468" t="s">
        <v>44</v>
      </c>
      <c r="B1468">
        <v>21</v>
      </c>
      <c r="C1468">
        <v>0</v>
      </c>
      <c r="D1468">
        <v>0</v>
      </c>
      <c r="E1468">
        <v>0</v>
      </c>
      <c r="F1468">
        <v>0</v>
      </c>
      <c r="G1468">
        <v>0</v>
      </c>
      <c r="H1468">
        <v>0</v>
      </c>
      <c r="S1468">
        <v>0</v>
      </c>
      <c r="T1468">
        <v>0</v>
      </c>
      <c r="U1468">
        <v>0</v>
      </c>
      <c r="V1468">
        <v>0</v>
      </c>
      <c r="W1468">
        <v>0</v>
      </c>
      <c r="X1468">
        <v>0</v>
      </c>
    </row>
    <row r="1469" spans="1:24" x14ac:dyDescent="0.3">
      <c r="A1469" t="s">
        <v>47</v>
      </c>
      <c r="B1469">
        <v>21</v>
      </c>
      <c r="C1469">
        <v>5</v>
      </c>
      <c r="D1469">
        <v>2</v>
      </c>
      <c r="E1469">
        <v>2</v>
      </c>
      <c r="F1469">
        <v>1</v>
      </c>
      <c r="G1469">
        <v>6</v>
      </c>
      <c r="H1469">
        <v>6</v>
      </c>
      <c r="S1469">
        <v>3</v>
      </c>
      <c r="T1469">
        <v>8</v>
      </c>
      <c r="U1469">
        <v>8</v>
      </c>
      <c r="V1469">
        <v>7</v>
      </c>
      <c r="W1469">
        <v>4</v>
      </c>
      <c r="X1469">
        <v>4</v>
      </c>
    </row>
    <row r="1470" spans="1:24" x14ac:dyDescent="0.3">
      <c r="A1470" t="s">
        <v>704</v>
      </c>
      <c r="B1470">
        <v>21</v>
      </c>
      <c r="C1470">
        <v>0</v>
      </c>
      <c r="D1470">
        <v>0</v>
      </c>
      <c r="E1470">
        <v>0</v>
      </c>
      <c r="F1470">
        <v>0</v>
      </c>
      <c r="G1470">
        <v>0</v>
      </c>
      <c r="H1470">
        <v>0</v>
      </c>
      <c r="S1470">
        <v>0</v>
      </c>
      <c r="T1470">
        <v>0</v>
      </c>
      <c r="U1470">
        <v>0</v>
      </c>
      <c r="V1470">
        <v>0</v>
      </c>
      <c r="W1470">
        <v>0</v>
      </c>
      <c r="X1470">
        <v>0</v>
      </c>
    </row>
    <row r="1471" spans="1:24" x14ac:dyDescent="0.3">
      <c r="A1471" t="s">
        <v>705</v>
      </c>
      <c r="B1471">
        <v>21</v>
      </c>
      <c r="C1471">
        <v>0</v>
      </c>
      <c r="D1471">
        <v>0</v>
      </c>
      <c r="E1471">
        <v>0</v>
      </c>
      <c r="F1471">
        <v>0</v>
      </c>
      <c r="G1471">
        <v>0</v>
      </c>
      <c r="H1471">
        <v>0</v>
      </c>
      <c r="S1471">
        <v>0</v>
      </c>
      <c r="T1471">
        <v>0</v>
      </c>
      <c r="U1471">
        <v>0</v>
      </c>
      <c r="V1471">
        <v>0</v>
      </c>
      <c r="W1471">
        <v>0</v>
      </c>
      <c r="X1471">
        <v>0</v>
      </c>
    </row>
    <row r="1472" spans="1:24" x14ac:dyDescent="0.3">
      <c r="A1472" t="s">
        <v>706</v>
      </c>
      <c r="B1472">
        <v>21</v>
      </c>
      <c r="C1472">
        <v>0</v>
      </c>
      <c r="D1472">
        <v>0</v>
      </c>
      <c r="E1472">
        <v>0</v>
      </c>
      <c r="F1472">
        <v>0</v>
      </c>
      <c r="G1472">
        <v>0</v>
      </c>
      <c r="H1472">
        <v>0</v>
      </c>
      <c r="S1472">
        <v>0</v>
      </c>
      <c r="T1472">
        <v>0</v>
      </c>
      <c r="U1472">
        <v>0</v>
      </c>
      <c r="V1472">
        <v>0</v>
      </c>
      <c r="W1472">
        <v>0</v>
      </c>
      <c r="X1472">
        <v>0</v>
      </c>
    </row>
    <row r="1473" spans="1:24" x14ac:dyDescent="0.3">
      <c r="A1473" t="s">
        <v>707</v>
      </c>
      <c r="B1473">
        <v>21</v>
      </c>
      <c r="C1473">
        <v>0</v>
      </c>
      <c r="D1473">
        <v>0</v>
      </c>
      <c r="E1473">
        <v>0</v>
      </c>
      <c r="F1473">
        <v>0</v>
      </c>
      <c r="G1473">
        <v>0</v>
      </c>
      <c r="H1473">
        <v>0</v>
      </c>
      <c r="S1473">
        <v>0</v>
      </c>
      <c r="T1473">
        <v>0</v>
      </c>
      <c r="U1473">
        <v>0</v>
      </c>
      <c r="V1473">
        <v>0</v>
      </c>
      <c r="W1473">
        <v>0</v>
      </c>
      <c r="X1473">
        <v>0</v>
      </c>
    </row>
    <row r="1474" spans="1:24" x14ac:dyDescent="0.3">
      <c r="A1474" t="s">
        <v>708</v>
      </c>
      <c r="B1474">
        <v>21</v>
      </c>
      <c r="C1474">
        <v>0</v>
      </c>
      <c r="D1474">
        <v>0</v>
      </c>
      <c r="E1474">
        <v>0</v>
      </c>
      <c r="F1474">
        <v>0</v>
      </c>
      <c r="G1474">
        <v>0</v>
      </c>
      <c r="H1474">
        <v>0</v>
      </c>
      <c r="S1474">
        <v>0</v>
      </c>
      <c r="T1474">
        <v>0</v>
      </c>
      <c r="U1474">
        <v>0</v>
      </c>
      <c r="V1474">
        <v>0</v>
      </c>
      <c r="W1474">
        <v>0</v>
      </c>
      <c r="X1474">
        <v>0</v>
      </c>
    </row>
    <row r="1475" spans="1:24" x14ac:dyDescent="0.3">
      <c r="A1475" t="s">
        <v>719</v>
      </c>
      <c r="B1475">
        <v>21</v>
      </c>
      <c r="D1475">
        <v>0</v>
      </c>
      <c r="G1475">
        <v>0</v>
      </c>
      <c r="T1475">
        <v>0</v>
      </c>
      <c r="W1475">
        <v>0</v>
      </c>
    </row>
    <row r="1476" spans="1:24" x14ac:dyDescent="0.3">
      <c r="A1476" t="s">
        <v>405</v>
      </c>
      <c r="B1476">
        <v>21</v>
      </c>
      <c r="D1476">
        <v>0</v>
      </c>
    </row>
    <row r="1477" spans="1:24" x14ac:dyDescent="0.3">
      <c r="A1477" t="s">
        <v>720</v>
      </c>
      <c r="B1477">
        <v>21</v>
      </c>
      <c r="C1477">
        <v>165</v>
      </c>
      <c r="D1477">
        <v>417</v>
      </c>
      <c r="E1477">
        <v>39</v>
      </c>
      <c r="F1477">
        <v>55</v>
      </c>
      <c r="G1477">
        <v>163</v>
      </c>
      <c r="H1477">
        <v>24</v>
      </c>
      <c r="S1477">
        <v>10</v>
      </c>
      <c r="T1477">
        <v>675</v>
      </c>
      <c r="U1477">
        <v>124</v>
      </c>
      <c r="V1477">
        <v>29</v>
      </c>
      <c r="W1477">
        <v>605</v>
      </c>
      <c r="X1477">
        <v>86</v>
      </c>
    </row>
    <row r="1478" spans="1:24" x14ac:dyDescent="0.3">
      <c r="A1478" t="s">
        <v>34</v>
      </c>
      <c r="B1478">
        <v>25</v>
      </c>
      <c r="C1478">
        <v>48</v>
      </c>
      <c r="E1478">
        <v>48</v>
      </c>
      <c r="K1478">
        <v>18</v>
      </c>
      <c r="L1478">
        <v>18</v>
      </c>
      <c r="M1478">
        <v>11</v>
      </c>
      <c r="N1478">
        <v>11</v>
      </c>
    </row>
    <row r="1479" spans="1:24" x14ac:dyDescent="0.3">
      <c r="A1479" t="s">
        <v>35</v>
      </c>
      <c r="B1479">
        <v>25</v>
      </c>
      <c r="C1479">
        <v>18</v>
      </c>
      <c r="E1479">
        <v>11</v>
      </c>
      <c r="K1479">
        <v>11</v>
      </c>
      <c r="L1479">
        <v>48</v>
      </c>
      <c r="M1479">
        <v>48</v>
      </c>
      <c r="N1479">
        <v>18</v>
      </c>
    </row>
    <row r="1480" spans="1:24" x14ac:dyDescent="0.3">
      <c r="A1480" t="s">
        <v>36</v>
      </c>
      <c r="B1480">
        <v>25</v>
      </c>
      <c r="C1480">
        <v>1</v>
      </c>
      <c r="E1480">
        <v>0</v>
      </c>
      <c r="K1480">
        <v>3</v>
      </c>
      <c r="L1480">
        <v>0</v>
      </c>
      <c r="M1480">
        <v>1</v>
      </c>
      <c r="N1480">
        <v>3</v>
      </c>
    </row>
    <row r="1481" spans="1:24" x14ac:dyDescent="0.3">
      <c r="A1481" t="s">
        <v>37</v>
      </c>
      <c r="B1481">
        <v>25</v>
      </c>
      <c r="C1481">
        <v>2</v>
      </c>
      <c r="K1481">
        <v>2</v>
      </c>
      <c r="M1481">
        <v>0</v>
      </c>
      <c r="N1481">
        <v>0</v>
      </c>
    </row>
    <row r="1482" spans="1:24" x14ac:dyDescent="0.3">
      <c r="A1482" t="s">
        <v>38</v>
      </c>
      <c r="B1482">
        <v>25</v>
      </c>
      <c r="C1482">
        <v>12</v>
      </c>
      <c r="E1482">
        <v>12</v>
      </c>
      <c r="K1482">
        <v>12</v>
      </c>
      <c r="L1482">
        <v>12</v>
      </c>
      <c r="M1482">
        <v>12</v>
      </c>
      <c r="N1482">
        <v>12</v>
      </c>
    </row>
    <row r="1483" spans="1:24" x14ac:dyDescent="0.3">
      <c r="A1483" t="s">
        <v>39</v>
      </c>
      <c r="B1483">
        <v>25</v>
      </c>
      <c r="M1483">
        <v>290</v>
      </c>
    </row>
    <row r="1484" spans="1:24" x14ac:dyDescent="0.3">
      <c r="A1484" t="s">
        <v>695</v>
      </c>
      <c r="B1484">
        <v>25</v>
      </c>
      <c r="M1484">
        <v>85</v>
      </c>
    </row>
    <row r="1485" spans="1:24" x14ac:dyDescent="0.3">
      <c r="A1485" t="s">
        <v>40</v>
      </c>
      <c r="B1485">
        <v>25</v>
      </c>
      <c r="M1485">
        <v>1</v>
      </c>
    </row>
    <row r="1486" spans="1:24" x14ac:dyDescent="0.3">
      <c r="A1486" t="s">
        <v>41</v>
      </c>
      <c r="B1486">
        <v>25</v>
      </c>
    </row>
    <row r="1487" spans="1:24" x14ac:dyDescent="0.3">
      <c r="A1487" t="s">
        <v>42</v>
      </c>
      <c r="B1487">
        <v>25</v>
      </c>
      <c r="C1487">
        <v>30</v>
      </c>
      <c r="K1487">
        <v>45</v>
      </c>
      <c r="N1487">
        <v>45</v>
      </c>
    </row>
    <row r="1488" spans="1:24" x14ac:dyDescent="0.3">
      <c r="A1488" t="s">
        <v>45</v>
      </c>
      <c r="B1488">
        <v>25</v>
      </c>
      <c r="C1488">
        <v>4</v>
      </c>
      <c r="K1488">
        <v>6</v>
      </c>
      <c r="M1488">
        <v>5</v>
      </c>
      <c r="N1488">
        <v>2</v>
      </c>
    </row>
    <row r="1489" spans="1:14" x14ac:dyDescent="0.3">
      <c r="A1489" t="s">
        <v>49</v>
      </c>
      <c r="B1489">
        <v>25</v>
      </c>
      <c r="C1489">
        <v>6.3</v>
      </c>
      <c r="E1489">
        <v>4</v>
      </c>
      <c r="K1489">
        <v>6.3</v>
      </c>
      <c r="L1489">
        <v>4</v>
      </c>
      <c r="M1489">
        <v>6</v>
      </c>
      <c r="N1489">
        <v>6.3</v>
      </c>
    </row>
    <row r="1490" spans="1:14" x14ac:dyDescent="0.3">
      <c r="A1490" t="s">
        <v>696</v>
      </c>
      <c r="B1490">
        <v>25</v>
      </c>
      <c r="C1490">
        <v>0</v>
      </c>
      <c r="E1490">
        <v>0</v>
      </c>
      <c r="K1490">
        <v>0</v>
      </c>
      <c r="L1490">
        <v>0</v>
      </c>
      <c r="M1490">
        <v>0</v>
      </c>
      <c r="N1490">
        <v>0</v>
      </c>
    </row>
    <row r="1491" spans="1:14" x14ac:dyDescent="0.3">
      <c r="A1491" t="s">
        <v>48</v>
      </c>
      <c r="B1491">
        <v>25</v>
      </c>
      <c r="C1491">
        <v>1900</v>
      </c>
      <c r="E1491">
        <v>1900</v>
      </c>
      <c r="K1491">
        <v>1900</v>
      </c>
      <c r="L1491">
        <v>1900</v>
      </c>
      <c r="M1491">
        <v>1900</v>
      </c>
      <c r="N1491">
        <v>1900</v>
      </c>
    </row>
    <row r="1492" spans="1:14" x14ac:dyDescent="0.3">
      <c r="A1492" t="s">
        <v>697</v>
      </c>
      <c r="B1492">
        <v>25</v>
      </c>
      <c r="C1492">
        <v>1704</v>
      </c>
      <c r="E1492">
        <v>0</v>
      </c>
      <c r="K1492">
        <v>5050</v>
      </c>
      <c r="L1492">
        <v>0</v>
      </c>
      <c r="M1492">
        <v>1770</v>
      </c>
      <c r="N1492">
        <v>5085</v>
      </c>
    </row>
    <row r="1493" spans="1:14" x14ac:dyDescent="0.3">
      <c r="A1493" t="s">
        <v>50</v>
      </c>
      <c r="B1493">
        <v>25</v>
      </c>
      <c r="C1493">
        <v>1704</v>
      </c>
      <c r="E1493">
        <v>0</v>
      </c>
      <c r="K1493">
        <v>5050</v>
      </c>
      <c r="L1493">
        <v>0</v>
      </c>
      <c r="M1493">
        <v>1770</v>
      </c>
      <c r="N1493">
        <v>5085</v>
      </c>
    </row>
    <row r="1494" spans="1:14" x14ac:dyDescent="0.3">
      <c r="A1494" t="s">
        <v>698</v>
      </c>
      <c r="B1494">
        <v>25</v>
      </c>
      <c r="C1494">
        <v>1</v>
      </c>
      <c r="E1494">
        <v>1</v>
      </c>
      <c r="K1494">
        <v>1</v>
      </c>
      <c r="L1494">
        <v>1</v>
      </c>
      <c r="M1494">
        <v>1</v>
      </c>
      <c r="N1494">
        <v>1</v>
      </c>
    </row>
    <row r="1495" spans="1:14" x14ac:dyDescent="0.3">
      <c r="A1495" t="s">
        <v>51</v>
      </c>
      <c r="B1495">
        <v>25</v>
      </c>
      <c r="C1495">
        <v>24</v>
      </c>
      <c r="E1495">
        <v>0</v>
      </c>
      <c r="K1495">
        <v>9</v>
      </c>
      <c r="L1495">
        <v>0</v>
      </c>
      <c r="M1495">
        <v>0</v>
      </c>
      <c r="N1495">
        <v>0</v>
      </c>
    </row>
    <row r="1496" spans="1:14" x14ac:dyDescent="0.3">
      <c r="A1496" t="s">
        <v>53</v>
      </c>
      <c r="B1496">
        <v>25</v>
      </c>
      <c r="C1496">
        <v>94</v>
      </c>
      <c r="E1496">
        <v>72</v>
      </c>
      <c r="K1496">
        <v>1973</v>
      </c>
      <c r="L1496">
        <v>90</v>
      </c>
      <c r="M1496">
        <v>46</v>
      </c>
      <c r="N1496">
        <v>1290</v>
      </c>
    </row>
    <row r="1497" spans="1:14" x14ac:dyDescent="0.3">
      <c r="A1497" t="s">
        <v>54</v>
      </c>
      <c r="B1497">
        <v>25</v>
      </c>
      <c r="C1497">
        <v>0</v>
      </c>
      <c r="E1497">
        <v>0</v>
      </c>
      <c r="K1497">
        <v>0</v>
      </c>
      <c r="L1497">
        <v>0</v>
      </c>
      <c r="M1497">
        <v>0</v>
      </c>
      <c r="N1497">
        <v>0</v>
      </c>
    </row>
    <row r="1498" spans="1:14" x14ac:dyDescent="0.3">
      <c r="A1498" t="s">
        <v>55</v>
      </c>
      <c r="B1498">
        <v>25</v>
      </c>
      <c r="C1498">
        <v>0</v>
      </c>
      <c r="E1498">
        <v>0</v>
      </c>
      <c r="K1498">
        <v>0</v>
      </c>
      <c r="L1498">
        <v>0</v>
      </c>
      <c r="M1498">
        <v>0</v>
      </c>
      <c r="N1498">
        <v>0</v>
      </c>
    </row>
    <row r="1499" spans="1:14" x14ac:dyDescent="0.3">
      <c r="A1499" t="s">
        <v>56</v>
      </c>
      <c r="B1499">
        <v>25</v>
      </c>
      <c r="C1499">
        <v>0.92</v>
      </c>
      <c r="E1499">
        <v>0.92</v>
      </c>
      <c r="K1499">
        <v>0.92</v>
      </c>
      <c r="L1499">
        <v>0.92</v>
      </c>
      <c r="M1499">
        <v>0.92</v>
      </c>
      <c r="N1499">
        <v>0.92</v>
      </c>
    </row>
    <row r="1500" spans="1:14" x14ac:dyDescent="0.3">
      <c r="A1500" t="s">
        <v>57</v>
      </c>
      <c r="B1500">
        <v>25</v>
      </c>
      <c r="C1500">
        <v>100</v>
      </c>
      <c r="E1500">
        <v>100</v>
      </c>
      <c r="K1500">
        <v>100</v>
      </c>
      <c r="L1500">
        <v>100</v>
      </c>
      <c r="M1500">
        <v>100</v>
      </c>
      <c r="N1500">
        <v>100</v>
      </c>
    </row>
    <row r="1501" spans="1:14" x14ac:dyDescent="0.3">
      <c r="A1501" t="s">
        <v>58</v>
      </c>
      <c r="B1501">
        <v>25</v>
      </c>
      <c r="C1501">
        <v>2</v>
      </c>
      <c r="E1501">
        <v>2</v>
      </c>
      <c r="K1501">
        <v>2</v>
      </c>
      <c r="L1501">
        <v>2</v>
      </c>
      <c r="M1501">
        <v>2</v>
      </c>
      <c r="N1501">
        <v>2</v>
      </c>
    </row>
    <row r="1502" spans="1:14" x14ac:dyDescent="0.3">
      <c r="A1502" t="s">
        <v>59</v>
      </c>
      <c r="B1502">
        <v>25</v>
      </c>
      <c r="C1502">
        <v>0</v>
      </c>
      <c r="E1502">
        <v>0</v>
      </c>
      <c r="K1502">
        <v>0</v>
      </c>
      <c r="L1502">
        <v>0</v>
      </c>
      <c r="M1502">
        <v>0</v>
      </c>
      <c r="N1502">
        <v>0</v>
      </c>
    </row>
    <row r="1503" spans="1:14" x14ac:dyDescent="0.3">
      <c r="A1503" t="s">
        <v>699</v>
      </c>
      <c r="B1503">
        <v>25</v>
      </c>
      <c r="C1503">
        <v>0</v>
      </c>
      <c r="K1503">
        <v>0</v>
      </c>
      <c r="N1503">
        <v>0</v>
      </c>
    </row>
    <row r="1504" spans="1:14" x14ac:dyDescent="0.3">
      <c r="A1504" t="s">
        <v>678</v>
      </c>
      <c r="B1504">
        <v>25</v>
      </c>
      <c r="C1504">
        <v>656</v>
      </c>
      <c r="K1504">
        <v>3145</v>
      </c>
      <c r="N1504">
        <v>1028</v>
      </c>
    </row>
    <row r="1505" spans="1:14" x14ac:dyDescent="0.3">
      <c r="A1505" t="s">
        <v>78</v>
      </c>
      <c r="B1505">
        <v>25</v>
      </c>
      <c r="C1505">
        <v>14.9</v>
      </c>
      <c r="K1505">
        <v>47.7</v>
      </c>
      <c r="N1505">
        <v>15.6</v>
      </c>
    </row>
    <row r="1506" spans="1:14" x14ac:dyDescent="0.3">
      <c r="A1506" t="s">
        <v>700</v>
      </c>
      <c r="B1506">
        <v>25</v>
      </c>
      <c r="E1506">
        <v>0</v>
      </c>
      <c r="L1506">
        <v>0</v>
      </c>
      <c r="N1506">
        <v>0</v>
      </c>
    </row>
    <row r="1507" spans="1:14" x14ac:dyDescent="0.3">
      <c r="A1507" t="s">
        <v>701</v>
      </c>
      <c r="B1507">
        <v>25</v>
      </c>
      <c r="C1507">
        <v>0</v>
      </c>
      <c r="E1507">
        <v>1</v>
      </c>
      <c r="K1507">
        <v>0</v>
      </c>
      <c r="L1507">
        <v>1</v>
      </c>
      <c r="M1507">
        <v>0</v>
      </c>
      <c r="N1507">
        <v>0</v>
      </c>
    </row>
    <row r="1508" spans="1:14" x14ac:dyDescent="0.3">
      <c r="A1508" t="s">
        <v>702</v>
      </c>
      <c r="B1508">
        <v>25</v>
      </c>
      <c r="C1508">
        <v>0</v>
      </c>
      <c r="E1508">
        <v>0</v>
      </c>
      <c r="K1508">
        <v>0</v>
      </c>
      <c r="L1508">
        <v>0</v>
      </c>
      <c r="M1508">
        <v>0</v>
      </c>
      <c r="N1508">
        <v>0</v>
      </c>
    </row>
    <row r="1509" spans="1:14" x14ac:dyDescent="0.3">
      <c r="A1509" t="s">
        <v>52</v>
      </c>
      <c r="B1509">
        <v>25</v>
      </c>
      <c r="C1509">
        <v>1</v>
      </c>
      <c r="E1509">
        <v>1</v>
      </c>
      <c r="K1509">
        <v>1</v>
      </c>
      <c r="L1509">
        <v>1</v>
      </c>
      <c r="M1509">
        <v>1</v>
      </c>
      <c r="N1509">
        <v>1</v>
      </c>
    </row>
    <row r="1510" spans="1:14" x14ac:dyDescent="0.3">
      <c r="A1510" t="s">
        <v>703</v>
      </c>
      <c r="B1510">
        <v>25</v>
      </c>
      <c r="C1510">
        <v>15</v>
      </c>
      <c r="E1510">
        <v>9</v>
      </c>
      <c r="K1510">
        <v>60</v>
      </c>
      <c r="L1510">
        <v>9</v>
      </c>
      <c r="M1510">
        <v>15</v>
      </c>
      <c r="N1510">
        <v>60</v>
      </c>
    </row>
    <row r="1511" spans="1:14" x14ac:dyDescent="0.3">
      <c r="A1511" t="s">
        <v>43</v>
      </c>
      <c r="B1511">
        <v>25</v>
      </c>
      <c r="C1511">
        <v>20</v>
      </c>
      <c r="K1511">
        <v>100</v>
      </c>
      <c r="M1511">
        <v>20</v>
      </c>
      <c r="N1511">
        <v>100</v>
      </c>
    </row>
    <row r="1512" spans="1:14" x14ac:dyDescent="0.3">
      <c r="A1512" t="s">
        <v>44</v>
      </c>
      <c r="B1512">
        <v>25</v>
      </c>
      <c r="C1512">
        <v>0</v>
      </c>
      <c r="K1512">
        <v>0</v>
      </c>
      <c r="M1512">
        <v>0</v>
      </c>
      <c r="N1512">
        <v>0</v>
      </c>
    </row>
    <row r="1513" spans="1:14" x14ac:dyDescent="0.3">
      <c r="A1513" t="s">
        <v>47</v>
      </c>
      <c r="B1513">
        <v>25</v>
      </c>
      <c r="C1513">
        <v>4</v>
      </c>
      <c r="K1513">
        <v>6</v>
      </c>
      <c r="M1513">
        <v>5</v>
      </c>
      <c r="N1513">
        <v>2</v>
      </c>
    </row>
    <row r="1514" spans="1:14" x14ac:dyDescent="0.3">
      <c r="A1514" t="s">
        <v>704</v>
      </c>
      <c r="B1514">
        <v>25</v>
      </c>
      <c r="C1514">
        <v>0</v>
      </c>
      <c r="K1514">
        <v>0</v>
      </c>
      <c r="M1514">
        <v>0</v>
      </c>
      <c r="N1514">
        <v>0</v>
      </c>
    </row>
    <row r="1515" spans="1:14" x14ac:dyDescent="0.3">
      <c r="A1515" t="s">
        <v>705</v>
      </c>
      <c r="B1515">
        <v>25</v>
      </c>
      <c r="C1515">
        <v>0</v>
      </c>
      <c r="K1515">
        <v>0</v>
      </c>
      <c r="M1515">
        <v>0</v>
      </c>
      <c r="N1515">
        <v>0</v>
      </c>
    </row>
    <row r="1516" spans="1:14" x14ac:dyDescent="0.3">
      <c r="A1516" t="s">
        <v>706</v>
      </c>
      <c r="B1516">
        <v>25</v>
      </c>
      <c r="C1516">
        <v>0</v>
      </c>
      <c r="K1516">
        <v>0</v>
      </c>
      <c r="M1516">
        <v>0</v>
      </c>
      <c r="N1516">
        <v>0</v>
      </c>
    </row>
    <row r="1517" spans="1:14" x14ac:dyDescent="0.3">
      <c r="A1517" t="s">
        <v>707</v>
      </c>
      <c r="B1517">
        <v>25</v>
      </c>
      <c r="C1517">
        <v>0</v>
      </c>
      <c r="K1517">
        <v>0</v>
      </c>
      <c r="M1517">
        <v>0</v>
      </c>
      <c r="N1517">
        <v>0</v>
      </c>
    </row>
    <row r="1518" spans="1:14" x14ac:dyDescent="0.3">
      <c r="A1518" t="s">
        <v>708</v>
      </c>
      <c r="B1518">
        <v>25</v>
      </c>
      <c r="C1518">
        <v>1</v>
      </c>
      <c r="K1518">
        <v>2</v>
      </c>
      <c r="M1518">
        <v>1</v>
      </c>
      <c r="N1518">
        <v>2</v>
      </c>
    </row>
    <row r="1519" spans="1:14" x14ac:dyDescent="0.3">
      <c r="A1519" t="s">
        <v>709</v>
      </c>
      <c r="B1519">
        <v>25</v>
      </c>
      <c r="C1519">
        <v>0</v>
      </c>
      <c r="K1519">
        <v>0</v>
      </c>
      <c r="M1519">
        <v>0</v>
      </c>
      <c r="N1519">
        <v>0</v>
      </c>
    </row>
    <row r="1520" spans="1:14" x14ac:dyDescent="0.3">
      <c r="A1520" t="s">
        <v>710</v>
      </c>
      <c r="B1520">
        <v>25</v>
      </c>
      <c r="C1520">
        <v>20</v>
      </c>
      <c r="K1520">
        <v>6</v>
      </c>
      <c r="M1520">
        <v>20</v>
      </c>
      <c r="N1520">
        <v>6</v>
      </c>
    </row>
    <row r="1521" spans="1:24" x14ac:dyDescent="0.3">
      <c r="A1521" t="s">
        <v>711</v>
      </c>
      <c r="B1521">
        <v>25</v>
      </c>
      <c r="C1521">
        <v>3</v>
      </c>
      <c r="K1521">
        <v>3</v>
      </c>
      <c r="M1521">
        <v>3</v>
      </c>
      <c r="N1521">
        <v>3</v>
      </c>
    </row>
    <row r="1522" spans="1:24" x14ac:dyDescent="0.3">
      <c r="A1522" t="s">
        <v>712</v>
      </c>
      <c r="B1522">
        <v>25</v>
      </c>
      <c r="C1522">
        <v>0</v>
      </c>
      <c r="K1522">
        <v>0</v>
      </c>
      <c r="M1522">
        <v>0</v>
      </c>
      <c r="N1522">
        <v>0</v>
      </c>
    </row>
    <row r="1523" spans="1:24" x14ac:dyDescent="0.3">
      <c r="A1523" t="s">
        <v>713</v>
      </c>
      <c r="B1523">
        <v>25</v>
      </c>
      <c r="C1523">
        <v>0</v>
      </c>
      <c r="K1523">
        <v>0</v>
      </c>
      <c r="M1523">
        <v>0</v>
      </c>
      <c r="N1523">
        <v>0</v>
      </c>
    </row>
    <row r="1524" spans="1:24" x14ac:dyDescent="0.3">
      <c r="A1524" t="s">
        <v>714</v>
      </c>
      <c r="B1524">
        <v>25</v>
      </c>
      <c r="C1524">
        <v>0</v>
      </c>
      <c r="K1524">
        <v>0</v>
      </c>
      <c r="M1524">
        <v>0</v>
      </c>
      <c r="N1524">
        <v>0</v>
      </c>
    </row>
    <row r="1525" spans="1:24" x14ac:dyDescent="0.3">
      <c r="A1525" t="s">
        <v>715</v>
      </c>
      <c r="B1525">
        <v>25</v>
      </c>
      <c r="K1525">
        <v>94</v>
      </c>
      <c r="N1525">
        <v>94</v>
      </c>
    </row>
    <row r="1526" spans="1:24" x14ac:dyDescent="0.3">
      <c r="A1526" t="s">
        <v>716</v>
      </c>
      <c r="B1526">
        <v>25</v>
      </c>
      <c r="K1526">
        <v>6</v>
      </c>
      <c r="N1526">
        <v>6</v>
      </c>
    </row>
    <row r="1527" spans="1:24" x14ac:dyDescent="0.3">
      <c r="A1527" t="s">
        <v>717</v>
      </c>
      <c r="B1527">
        <v>25</v>
      </c>
      <c r="K1527">
        <v>3</v>
      </c>
      <c r="N1527">
        <v>3</v>
      </c>
    </row>
    <row r="1528" spans="1:24" x14ac:dyDescent="0.3">
      <c r="A1528" t="s">
        <v>718</v>
      </c>
      <c r="B1528">
        <v>25</v>
      </c>
      <c r="K1528">
        <v>0</v>
      </c>
      <c r="N1528">
        <v>0</v>
      </c>
    </row>
    <row r="1529" spans="1:24" x14ac:dyDescent="0.3">
      <c r="A1529" t="s">
        <v>719</v>
      </c>
      <c r="B1529">
        <v>25</v>
      </c>
      <c r="C1529">
        <v>0</v>
      </c>
      <c r="K1529">
        <v>0</v>
      </c>
      <c r="N1529">
        <v>0</v>
      </c>
    </row>
    <row r="1530" spans="1:24" x14ac:dyDescent="0.3">
      <c r="A1530" t="s">
        <v>405</v>
      </c>
      <c r="B1530">
        <v>25</v>
      </c>
      <c r="C1530">
        <v>0</v>
      </c>
    </row>
    <row r="1531" spans="1:24" x14ac:dyDescent="0.3">
      <c r="A1531" t="s">
        <v>720</v>
      </c>
      <c r="B1531">
        <v>25</v>
      </c>
      <c r="C1531">
        <v>180</v>
      </c>
      <c r="E1531">
        <v>0</v>
      </c>
      <c r="K1531">
        <v>2243</v>
      </c>
      <c r="L1531">
        <v>0</v>
      </c>
      <c r="M1531">
        <v>50</v>
      </c>
      <c r="N1531">
        <v>1402</v>
      </c>
    </row>
    <row r="1532" spans="1:24" x14ac:dyDescent="0.3">
      <c r="A1532" t="s">
        <v>34</v>
      </c>
      <c r="B1532">
        <v>26</v>
      </c>
      <c r="P1532">
        <v>29</v>
      </c>
      <c r="R1532">
        <v>29</v>
      </c>
      <c r="S1532">
        <v>28</v>
      </c>
      <c r="T1532">
        <v>28</v>
      </c>
      <c r="W1532">
        <v>27</v>
      </c>
      <c r="X1532">
        <v>27</v>
      </c>
    </row>
    <row r="1533" spans="1:24" x14ac:dyDescent="0.3">
      <c r="A1533" t="s">
        <v>35</v>
      </c>
      <c r="B1533">
        <v>26</v>
      </c>
      <c r="P1533">
        <v>27</v>
      </c>
      <c r="R1533">
        <v>28</v>
      </c>
      <c r="S1533">
        <v>29</v>
      </c>
      <c r="T1533">
        <v>27</v>
      </c>
      <c r="W1533">
        <v>28</v>
      </c>
      <c r="X1533">
        <v>29</v>
      </c>
    </row>
    <row r="1534" spans="1:24" x14ac:dyDescent="0.3">
      <c r="A1534" t="s">
        <v>36</v>
      </c>
      <c r="B1534">
        <v>26</v>
      </c>
      <c r="P1534">
        <v>1</v>
      </c>
      <c r="R1534">
        <v>1</v>
      </c>
      <c r="S1534">
        <v>2</v>
      </c>
      <c r="T1534">
        <v>3</v>
      </c>
      <c r="W1534">
        <v>3</v>
      </c>
      <c r="X1534">
        <v>1</v>
      </c>
    </row>
    <row r="1535" spans="1:24" x14ac:dyDescent="0.3">
      <c r="A1535" t="s">
        <v>37</v>
      </c>
      <c r="B1535">
        <v>26</v>
      </c>
      <c r="P1535">
        <v>0</v>
      </c>
      <c r="S1535">
        <v>0</v>
      </c>
      <c r="T1535">
        <v>0</v>
      </c>
      <c r="W1535">
        <v>0</v>
      </c>
    </row>
    <row r="1536" spans="1:24" x14ac:dyDescent="0.3">
      <c r="A1536" t="s">
        <v>38</v>
      </c>
      <c r="B1536">
        <v>26</v>
      </c>
      <c r="P1536">
        <v>12</v>
      </c>
      <c r="R1536">
        <v>12</v>
      </c>
      <c r="S1536">
        <v>12</v>
      </c>
      <c r="T1536">
        <v>12</v>
      </c>
      <c r="W1536">
        <v>12</v>
      </c>
      <c r="X1536">
        <v>12</v>
      </c>
    </row>
    <row r="1537" spans="1:24" x14ac:dyDescent="0.3">
      <c r="A1537" t="s">
        <v>39</v>
      </c>
      <c r="B1537">
        <v>26</v>
      </c>
      <c r="S1537">
        <v>195</v>
      </c>
      <c r="X1537">
        <v>195</v>
      </c>
    </row>
    <row r="1538" spans="1:24" x14ac:dyDescent="0.3">
      <c r="A1538" t="s">
        <v>695</v>
      </c>
      <c r="B1538">
        <v>26</v>
      </c>
      <c r="S1538">
        <v>75</v>
      </c>
      <c r="X1538">
        <v>110</v>
      </c>
    </row>
    <row r="1539" spans="1:24" x14ac:dyDescent="0.3">
      <c r="A1539" t="s">
        <v>40</v>
      </c>
      <c r="B1539">
        <v>26</v>
      </c>
      <c r="S1539">
        <v>2</v>
      </c>
      <c r="X1539">
        <v>1</v>
      </c>
    </row>
    <row r="1540" spans="1:24" x14ac:dyDescent="0.3">
      <c r="A1540" t="s">
        <v>41</v>
      </c>
      <c r="B1540">
        <v>26</v>
      </c>
    </row>
    <row r="1541" spans="1:24" x14ac:dyDescent="0.3">
      <c r="A1541" t="s">
        <v>42</v>
      </c>
      <c r="B1541">
        <v>26</v>
      </c>
      <c r="P1541">
        <v>25</v>
      </c>
      <c r="T1541">
        <v>45</v>
      </c>
      <c r="W1541">
        <v>45</v>
      </c>
    </row>
    <row r="1542" spans="1:24" x14ac:dyDescent="0.3">
      <c r="A1542" t="s">
        <v>45</v>
      </c>
      <c r="B1542">
        <v>26</v>
      </c>
      <c r="P1542">
        <v>8</v>
      </c>
      <c r="S1542">
        <v>5</v>
      </c>
      <c r="T1542">
        <v>2</v>
      </c>
      <c r="W1542">
        <v>6</v>
      </c>
    </row>
    <row r="1543" spans="1:24" x14ac:dyDescent="0.3">
      <c r="A1543" t="s">
        <v>46</v>
      </c>
      <c r="B1543">
        <v>26</v>
      </c>
      <c r="R1543">
        <v>8</v>
      </c>
      <c r="X1543">
        <v>6</v>
      </c>
    </row>
    <row r="1544" spans="1:24" x14ac:dyDescent="0.3">
      <c r="A1544" t="s">
        <v>49</v>
      </c>
      <c r="B1544">
        <v>26</v>
      </c>
      <c r="P1544">
        <v>7.3</v>
      </c>
      <c r="R1544">
        <v>7.3</v>
      </c>
      <c r="S1544">
        <v>6.4</v>
      </c>
      <c r="T1544">
        <v>6.5</v>
      </c>
      <c r="W1544">
        <v>6.5</v>
      </c>
      <c r="X1544">
        <v>6.5</v>
      </c>
    </row>
    <row r="1545" spans="1:24" x14ac:dyDescent="0.3">
      <c r="A1545" t="s">
        <v>696</v>
      </c>
      <c r="B1545">
        <v>26</v>
      </c>
      <c r="P1545">
        <v>0</v>
      </c>
      <c r="R1545">
        <v>0</v>
      </c>
      <c r="S1545">
        <v>0</v>
      </c>
      <c r="T1545">
        <v>0</v>
      </c>
      <c r="W1545">
        <v>0</v>
      </c>
      <c r="X1545">
        <v>0</v>
      </c>
    </row>
    <row r="1546" spans="1:24" x14ac:dyDescent="0.3">
      <c r="A1546" t="s">
        <v>48</v>
      </c>
      <c r="B1546">
        <v>26</v>
      </c>
      <c r="P1546">
        <v>1900</v>
      </c>
      <c r="R1546">
        <v>1900</v>
      </c>
      <c r="S1546">
        <v>1900</v>
      </c>
      <c r="T1546">
        <v>1900</v>
      </c>
      <c r="W1546">
        <v>1900</v>
      </c>
      <c r="X1546">
        <v>1900</v>
      </c>
    </row>
    <row r="1547" spans="1:24" x14ac:dyDescent="0.3">
      <c r="A1547" t="s">
        <v>697</v>
      </c>
      <c r="B1547">
        <v>26</v>
      </c>
      <c r="P1547">
        <v>1770</v>
      </c>
      <c r="R1547">
        <v>1583</v>
      </c>
      <c r="S1547">
        <v>3433</v>
      </c>
      <c r="T1547">
        <v>5085</v>
      </c>
      <c r="W1547">
        <v>5085</v>
      </c>
      <c r="X1547">
        <v>1583</v>
      </c>
    </row>
    <row r="1548" spans="1:24" x14ac:dyDescent="0.3">
      <c r="A1548" t="s">
        <v>50</v>
      </c>
      <c r="B1548">
        <v>26</v>
      </c>
      <c r="P1548">
        <v>1770</v>
      </c>
      <c r="R1548">
        <v>1583</v>
      </c>
      <c r="S1548">
        <v>3433</v>
      </c>
      <c r="T1548">
        <v>5085</v>
      </c>
      <c r="W1548">
        <v>5085</v>
      </c>
      <c r="X1548">
        <v>1583</v>
      </c>
    </row>
    <row r="1549" spans="1:24" x14ac:dyDescent="0.3">
      <c r="A1549" t="s">
        <v>698</v>
      </c>
      <c r="B1549">
        <v>26</v>
      </c>
      <c r="P1549">
        <v>1</v>
      </c>
      <c r="R1549">
        <v>1</v>
      </c>
      <c r="S1549">
        <v>1</v>
      </c>
      <c r="T1549">
        <v>1</v>
      </c>
      <c r="W1549">
        <v>1</v>
      </c>
      <c r="X1549">
        <v>1</v>
      </c>
    </row>
    <row r="1550" spans="1:24" x14ac:dyDescent="0.3">
      <c r="A1550" t="s">
        <v>51</v>
      </c>
      <c r="B1550">
        <v>26</v>
      </c>
      <c r="P1550">
        <v>0</v>
      </c>
      <c r="R1550">
        <v>35</v>
      </c>
      <c r="S1550">
        <v>0</v>
      </c>
      <c r="T1550">
        <v>0</v>
      </c>
      <c r="W1550">
        <v>0</v>
      </c>
      <c r="X1550">
        <v>70</v>
      </c>
    </row>
    <row r="1551" spans="1:24" x14ac:dyDescent="0.3">
      <c r="A1551" t="s">
        <v>53</v>
      </c>
      <c r="B1551">
        <v>26</v>
      </c>
      <c r="P1551">
        <v>101</v>
      </c>
      <c r="R1551">
        <v>32</v>
      </c>
      <c r="S1551">
        <v>70</v>
      </c>
      <c r="T1551">
        <v>805</v>
      </c>
      <c r="W1551">
        <v>675</v>
      </c>
      <c r="X1551">
        <v>64</v>
      </c>
    </row>
    <row r="1552" spans="1:24" x14ac:dyDescent="0.3">
      <c r="A1552" t="s">
        <v>54</v>
      </c>
      <c r="B1552">
        <v>26</v>
      </c>
      <c r="P1552">
        <v>0</v>
      </c>
      <c r="R1552">
        <v>0</v>
      </c>
      <c r="S1552">
        <v>0</v>
      </c>
      <c r="T1552">
        <v>0</v>
      </c>
      <c r="W1552">
        <v>0</v>
      </c>
      <c r="X1552">
        <v>0</v>
      </c>
    </row>
    <row r="1553" spans="1:24" x14ac:dyDescent="0.3">
      <c r="A1553" t="s">
        <v>55</v>
      </c>
      <c r="B1553">
        <v>26</v>
      </c>
      <c r="P1553">
        <v>0</v>
      </c>
      <c r="R1553">
        <v>0</v>
      </c>
      <c r="S1553">
        <v>0</v>
      </c>
      <c r="T1553">
        <v>0</v>
      </c>
      <c r="W1553">
        <v>0</v>
      </c>
      <c r="X1553">
        <v>0</v>
      </c>
    </row>
    <row r="1554" spans="1:24" x14ac:dyDescent="0.3">
      <c r="A1554" t="s">
        <v>56</v>
      </c>
      <c r="B1554">
        <v>26</v>
      </c>
      <c r="P1554">
        <v>0.92</v>
      </c>
      <c r="R1554">
        <v>0.92</v>
      </c>
      <c r="S1554">
        <v>0.92</v>
      </c>
      <c r="T1554">
        <v>0.92</v>
      </c>
      <c r="W1554">
        <v>0.92</v>
      </c>
      <c r="X1554">
        <v>0.92</v>
      </c>
    </row>
    <row r="1555" spans="1:24" x14ac:dyDescent="0.3">
      <c r="A1555" t="s">
        <v>57</v>
      </c>
      <c r="B1555">
        <v>26</v>
      </c>
      <c r="P1555">
        <v>100</v>
      </c>
      <c r="R1555">
        <v>100</v>
      </c>
      <c r="S1555">
        <v>100</v>
      </c>
      <c r="T1555">
        <v>100</v>
      </c>
      <c r="W1555">
        <v>100</v>
      </c>
      <c r="X1555">
        <v>100</v>
      </c>
    </row>
    <row r="1556" spans="1:24" x14ac:dyDescent="0.3">
      <c r="A1556" t="s">
        <v>58</v>
      </c>
      <c r="B1556">
        <v>26</v>
      </c>
      <c r="P1556">
        <v>2</v>
      </c>
      <c r="R1556">
        <v>2</v>
      </c>
      <c r="S1556">
        <v>2</v>
      </c>
      <c r="T1556">
        <v>2</v>
      </c>
      <c r="W1556">
        <v>2</v>
      </c>
      <c r="X1556">
        <v>2</v>
      </c>
    </row>
    <row r="1557" spans="1:24" x14ac:dyDescent="0.3">
      <c r="A1557" t="s">
        <v>59</v>
      </c>
      <c r="B1557">
        <v>26</v>
      </c>
      <c r="P1557">
        <v>0</v>
      </c>
      <c r="R1557">
        <v>0</v>
      </c>
      <c r="S1557">
        <v>0</v>
      </c>
      <c r="T1557">
        <v>0</v>
      </c>
      <c r="W1557">
        <v>0</v>
      </c>
      <c r="X1557">
        <v>0</v>
      </c>
    </row>
    <row r="1558" spans="1:24" x14ac:dyDescent="0.3">
      <c r="A1558" t="s">
        <v>699</v>
      </c>
      <c r="B1558">
        <v>26</v>
      </c>
      <c r="P1558">
        <v>0</v>
      </c>
      <c r="T1558">
        <v>0</v>
      </c>
      <c r="W1558">
        <v>0</v>
      </c>
    </row>
    <row r="1559" spans="1:24" x14ac:dyDescent="0.3">
      <c r="A1559" t="s">
        <v>678</v>
      </c>
      <c r="B1559">
        <v>26</v>
      </c>
      <c r="P1559">
        <v>298</v>
      </c>
      <c r="T1559">
        <v>3236</v>
      </c>
      <c r="W1559">
        <v>1261</v>
      </c>
    </row>
    <row r="1560" spans="1:24" x14ac:dyDescent="0.3">
      <c r="A1560" t="s">
        <v>78</v>
      </c>
      <c r="B1560">
        <v>26</v>
      </c>
      <c r="P1560">
        <v>8.1</v>
      </c>
      <c r="T1560">
        <v>49</v>
      </c>
      <c r="W1560">
        <v>19.100000000000001</v>
      </c>
    </row>
    <row r="1561" spans="1:24" x14ac:dyDescent="0.3">
      <c r="A1561" t="s">
        <v>700</v>
      </c>
      <c r="B1561">
        <v>26</v>
      </c>
      <c r="R1561">
        <v>0</v>
      </c>
      <c r="T1561">
        <v>0</v>
      </c>
      <c r="X1561">
        <v>0</v>
      </c>
    </row>
    <row r="1562" spans="1:24" x14ac:dyDescent="0.3">
      <c r="A1562" t="s">
        <v>701</v>
      </c>
      <c r="B1562">
        <v>26</v>
      </c>
      <c r="P1562">
        <v>0</v>
      </c>
      <c r="R1562">
        <v>1</v>
      </c>
      <c r="S1562">
        <v>0</v>
      </c>
      <c r="T1562">
        <v>0</v>
      </c>
      <c r="W1562">
        <v>0</v>
      </c>
      <c r="X1562">
        <v>1</v>
      </c>
    </row>
    <row r="1563" spans="1:24" x14ac:dyDescent="0.3">
      <c r="A1563" t="s">
        <v>702</v>
      </c>
      <c r="B1563">
        <v>26</v>
      </c>
      <c r="P1563">
        <v>0</v>
      </c>
      <c r="R1563">
        <v>0</v>
      </c>
      <c r="S1563">
        <v>0</v>
      </c>
      <c r="T1563">
        <v>0</v>
      </c>
      <c r="W1563">
        <v>0</v>
      </c>
      <c r="X1563">
        <v>0</v>
      </c>
    </row>
    <row r="1564" spans="1:24" x14ac:dyDescent="0.3">
      <c r="A1564" t="s">
        <v>52</v>
      </c>
      <c r="B1564">
        <v>26</v>
      </c>
      <c r="P1564">
        <v>1</v>
      </c>
      <c r="R1564">
        <v>1</v>
      </c>
      <c r="S1564">
        <v>1</v>
      </c>
      <c r="T1564">
        <v>1</v>
      </c>
      <c r="W1564">
        <v>1</v>
      </c>
      <c r="X1564">
        <v>1</v>
      </c>
    </row>
    <row r="1565" spans="1:24" x14ac:dyDescent="0.3">
      <c r="A1565" t="s">
        <v>703</v>
      </c>
      <c r="B1565">
        <v>26</v>
      </c>
      <c r="P1565">
        <v>15</v>
      </c>
      <c r="R1565">
        <v>9</v>
      </c>
      <c r="S1565">
        <v>15</v>
      </c>
      <c r="T1565">
        <v>60</v>
      </c>
      <c r="W1565">
        <v>60</v>
      </c>
      <c r="X1565">
        <v>9</v>
      </c>
    </row>
    <row r="1566" spans="1:24" x14ac:dyDescent="0.3">
      <c r="A1566" t="s">
        <v>43</v>
      </c>
      <c r="B1566">
        <v>26</v>
      </c>
      <c r="P1566">
        <v>0</v>
      </c>
      <c r="R1566">
        <v>0</v>
      </c>
      <c r="S1566">
        <v>0</v>
      </c>
      <c r="T1566">
        <v>0</v>
      </c>
      <c r="W1566">
        <v>0</v>
      </c>
      <c r="X1566">
        <v>0</v>
      </c>
    </row>
    <row r="1567" spans="1:24" x14ac:dyDescent="0.3">
      <c r="A1567" t="s">
        <v>44</v>
      </c>
      <c r="B1567">
        <v>26</v>
      </c>
      <c r="P1567">
        <v>0</v>
      </c>
      <c r="R1567">
        <v>0</v>
      </c>
      <c r="S1567">
        <v>0</v>
      </c>
      <c r="T1567">
        <v>0</v>
      </c>
      <c r="W1567">
        <v>0</v>
      </c>
      <c r="X1567">
        <v>0</v>
      </c>
    </row>
    <row r="1568" spans="1:24" x14ac:dyDescent="0.3">
      <c r="A1568" t="s">
        <v>47</v>
      </c>
      <c r="B1568">
        <v>26</v>
      </c>
      <c r="P1568">
        <v>8</v>
      </c>
      <c r="R1568">
        <v>8</v>
      </c>
      <c r="S1568">
        <v>5</v>
      </c>
      <c r="T1568">
        <v>2</v>
      </c>
      <c r="W1568">
        <v>6</v>
      </c>
      <c r="X1568">
        <v>6</v>
      </c>
    </row>
    <row r="1569" spans="1:24" x14ac:dyDescent="0.3">
      <c r="A1569" t="s">
        <v>704</v>
      </c>
      <c r="B1569">
        <v>26</v>
      </c>
      <c r="P1569">
        <v>0</v>
      </c>
      <c r="R1569">
        <v>0</v>
      </c>
      <c r="S1569">
        <v>0</v>
      </c>
      <c r="T1569">
        <v>0</v>
      </c>
      <c r="W1569">
        <v>0</v>
      </c>
      <c r="X1569">
        <v>0</v>
      </c>
    </row>
    <row r="1570" spans="1:24" x14ac:dyDescent="0.3">
      <c r="A1570" t="s">
        <v>705</v>
      </c>
      <c r="B1570">
        <v>26</v>
      </c>
      <c r="P1570">
        <v>0</v>
      </c>
      <c r="R1570">
        <v>0</v>
      </c>
      <c r="S1570">
        <v>0</v>
      </c>
      <c r="T1570">
        <v>0</v>
      </c>
      <c r="W1570">
        <v>0</v>
      </c>
      <c r="X1570">
        <v>0</v>
      </c>
    </row>
    <row r="1571" spans="1:24" x14ac:dyDescent="0.3">
      <c r="A1571" t="s">
        <v>706</v>
      </c>
      <c r="B1571">
        <v>26</v>
      </c>
      <c r="P1571">
        <v>0</v>
      </c>
      <c r="R1571">
        <v>0</v>
      </c>
      <c r="S1571">
        <v>0</v>
      </c>
      <c r="T1571">
        <v>0</v>
      </c>
      <c r="W1571">
        <v>0</v>
      </c>
      <c r="X1571">
        <v>0</v>
      </c>
    </row>
    <row r="1572" spans="1:24" x14ac:dyDescent="0.3">
      <c r="A1572" t="s">
        <v>707</v>
      </c>
      <c r="B1572">
        <v>26</v>
      </c>
      <c r="P1572">
        <v>0</v>
      </c>
      <c r="R1572">
        <v>0</v>
      </c>
      <c r="S1572">
        <v>0</v>
      </c>
      <c r="T1572">
        <v>0</v>
      </c>
      <c r="W1572">
        <v>0</v>
      </c>
      <c r="X1572">
        <v>0</v>
      </c>
    </row>
    <row r="1573" spans="1:24" x14ac:dyDescent="0.3">
      <c r="A1573" t="s">
        <v>708</v>
      </c>
      <c r="B1573">
        <v>26</v>
      </c>
      <c r="P1573">
        <v>0</v>
      </c>
      <c r="R1573">
        <v>0</v>
      </c>
      <c r="S1573">
        <v>0</v>
      </c>
      <c r="T1573">
        <v>0</v>
      </c>
      <c r="W1573">
        <v>0</v>
      </c>
      <c r="X1573">
        <v>0</v>
      </c>
    </row>
    <row r="1574" spans="1:24" x14ac:dyDescent="0.3">
      <c r="A1574" t="s">
        <v>719</v>
      </c>
      <c r="B1574">
        <v>26</v>
      </c>
      <c r="P1574">
        <v>0</v>
      </c>
      <c r="T1574">
        <v>0</v>
      </c>
      <c r="W1574">
        <v>0</v>
      </c>
    </row>
    <row r="1575" spans="1:24" x14ac:dyDescent="0.3">
      <c r="A1575" t="s">
        <v>405</v>
      </c>
      <c r="B1575">
        <v>26</v>
      </c>
      <c r="P1575">
        <v>0</v>
      </c>
    </row>
    <row r="1576" spans="1:24" x14ac:dyDescent="0.3">
      <c r="A1576" t="s">
        <v>720</v>
      </c>
      <c r="B1576">
        <v>26</v>
      </c>
      <c r="P1576">
        <v>110</v>
      </c>
      <c r="R1576">
        <v>35</v>
      </c>
      <c r="S1576">
        <v>76</v>
      </c>
      <c r="T1576">
        <v>875</v>
      </c>
      <c r="W1576">
        <v>734</v>
      </c>
      <c r="X1576">
        <v>70</v>
      </c>
    </row>
    <row r="1577" spans="1:24" x14ac:dyDescent="0.3">
      <c r="A1577" t="s">
        <v>34</v>
      </c>
      <c r="B1577">
        <v>27</v>
      </c>
      <c r="P1577">
        <v>30</v>
      </c>
      <c r="R1577">
        <v>30</v>
      </c>
      <c r="S1577">
        <v>26</v>
      </c>
      <c r="T1577">
        <v>26</v>
      </c>
      <c r="W1577">
        <v>31</v>
      </c>
      <c r="X1577">
        <v>31</v>
      </c>
    </row>
    <row r="1578" spans="1:24" x14ac:dyDescent="0.3">
      <c r="A1578" t="s">
        <v>35</v>
      </c>
      <c r="B1578">
        <v>27</v>
      </c>
      <c r="P1578">
        <v>31</v>
      </c>
      <c r="R1578">
        <v>26</v>
      </c>
      <c r="S1578">
        <v>30</v>
      </c>
      <c r="T1578">
        <v>31</v>
      </c>
      <c r="W1578">
        <v>26</v>
      </c>
      <c r="X1578">
        <v>30</v>
      </c>
    </row>
    <row r="1579" spans="1:24" x14ac:dyDescent="0.3">
      <c r="A1579" t="s">
        <v>36</v>
      </c>
      <c r="B1579">
        <v>27</v>
      </c>
      <c r="P1579">
        <v>2</v>
      </c>
      <c r="R1579">
        <v>1</v>
      </c>
      <c r="S1579">
        <v>2</v>
      </c>
      <c r="T1579">
        <v>3</v>
      </c>
      <c r="W1579">
        <v>3</v>
      </c>
      <c r="X1579">
        <v>1</v>
      </c>
    </row>
    <row r="1580" spans="1:24" x14ac:dyDescent="0.3">
      <c r="A1580" t="s">
        <v>37</v>
      </c>
      <c r="B1580">
        <v>27</v>
      </c>
      <c r="P1580">
        <v>0</v>
      </c>
      <c r="S1580">
        <v>0</v>
      </c>
      <c r="T1580">
        <v>0</v>
      </c>
      <c r="W1580">
        <v>0</v>
      </c>
    </row>
    <row r="1581" spans="1:24" x14ac:dyDescent="0.3">
      <c r="A1581" t="s">
        <v>38</v>
      </c>
      <c r="B1581">
        <v>27</v>
      </c>
      <c r="P1581">
        <v>12</v>
      </c>
      <c r="R1581">
        <v>12</v>
      </c>
      <c r="S1581">
        <v>12</v>
      </c>
      <c r="T1581">
        <v>12</v>
      </c>
      <c r="W1581">
        <v>12</v>
      </c>
      <c r="X1581">
        <v>12</v>
      </c>
    </row>
    <row r="1582" spans="1:24" x14ac:dyDescent="0.3">
      <c r="A1582" t="s">
        <v>39</v>
      </c>
      <c r="B1582">
        <v>27</v>
      </c>
      <c r="S1582">
        <v>285</v>
      </c>
      <c r="X1582">
        <v>390</v>
      </c>
    </row>
    <row r="1583" spans="1:24" x14ac:dyDescent="0.3">
      <c r="A1583" t="s">
        <v>695</v>
      </c>
      <c r="B1583">
        <v>27</v>
      </c>
      <c r="S1583">
        <v>155</v>
      </c>
      <c r="X1583">
        <v>270</v>
      </c>
    </row>
    <row r="1584" spans="1:24" x14ac:dyDescent="0.3">
      <c r="A1584" t="s">
        <v>40</v>
      </c>
      <c r="B1584">
        <v>27</v>
      </c>
      <c r="S1584">
        <v>2</v>
      </c>
      <c r="X1584">
        <v>1</v>
      </c>
    </row>
    <row r="1585" spans="1:24" x14ac:dyDescent="0.3">
      <c r="A1585" t="s">
        <v>41</v>
      </c>
      <c r="B1585">
        <v>27</v>
      </c>
    </row>
    <row r="1586" spans="1:24" x14ac:dyDescent="0.3">
      <c r="A1586" t="s">
        <v>42</v>
      </c>
      <c r="B1586">
        <v>27</v>
      </c>
      <c r="P1586">
        <v>30</v>
      </c>
      <c r="T1586">
        <v>45</v>
      </c>
      <c r="W1586">
        <v>45</v>
      </c>
    </row>
    <row r="1587" spans="1:24" x14ac:dyDescent="0.3">
      <c r="A1587" t="s">
        <v>45</v>
      </c>
      <c r="B1587">
        <v>27</v>
      </c>
      <c r="P1587">
        <v>4</v>
      </c>
      <c r="S1587">
        <v>5</v>
      </c>
      <c r="T1587">
        <v>2</v>
      </c>
      <c r="W1587">
        <v>6</v>
      </c>
    </row>
    <row r="1588" spans="1:24" x14ac:dyDescent="0.3">
      <c r="A1588" t="s">
        <v>46</v>
      </c>
      <c r="B1588">
        <v>27</v>
      </c>
      <c r="R1588">
        <v>4</v>
      </c>
      <c r="X1588">
        <v>6</v>
      </c>
    </row>
    <row r="1589" spans="1:24" x14ac:dyDescent="0.3">
      <c r="A1589" t="s">
        <v>49</v>
      </c>
      <c r="B1589">
        <v>27</v>
      </c>
      <c r="P1589">
        <v>7.3</v>
      </c>
      <c r="R1589">
        <v>7.3</v>
      </c>
      <c r="S1589">
        <v>7</v>
      </c>
      <c r="T1589">
        <v>5.8</v>
      </c>
      <c r="W1589">
        <v>6.3</v>
      </c>
      <c r="X1589">
        <v>6.3</v>
      </c>
    </row>
    <row r="1590" spans="1:24" x14ac:dyDescent="0.3">
      <c r="A1590" t="s">
        <v>696</v>
      </c>
      <c r="B1590">
        <v>27</v>
      </c>
      <c r="P1590">
        <v>0</v>
      </c>
      <c r="R1590">
        <v>0</v>
      </c>
      <c r="S1590">
        <v>0</v>
      </c>
      <c r="T1590">
        <v>0</v>
      </c>
      <c r="W1590">
        <v>0</v>
      </c>
      <c r="X1590">
        <v>0</v>
      </c>
    </row>
    <row r="1591" spans="1:24" x14ac:dyDescent="0.3">
      <c r="A1591" t="s">
        <v>48</v>
      </c>
      <c r="B1591">
        <v>27</v>
      </c>
      <c r="P1591">
        <v>1900</v>
      </c>
      <c r="R1591">
        <v>1900</v>
      </c>
      <c r="S1591">
        <v>1900</v>
      </c>
      <c r="T1591">
        <v>1900</v>
      </c>
      <c r="W1591">
        <v>1900</v>
      </c>
      <c r="X1591">
        <v>1900</v>
      </c>
    </row>
    <row r="1592" spans="1:24" x14ac:dyDescent="0.3">
      <c r="A1592" t="s">
        <v>697</v>
      </c>
      <c r="B1592">
        <v>27</v>
      </c>
      <c r="P1592">
        <v>3433</v>
      </c>
      <c r="R1592">
        <v>1583</v>
      </c>
      <c r="S1592">
        <v>3433</v>
      </c>
      <c r="T1592">
        <v>5085</v>
      </c>
      <c r="W1592">
        <v>5085</v>
      </c>
      <c r="X1592">
        <v>1583</v>
      </c>
    </row>
    <row r="1593" spans="1:24" x14ac:dyDescent="0.3">
      <c r="A1593" t="s">
        <v>50</v>
      </c>
      <c r="B1593">
        <v>27</v>
      </c>
      <c r="P1593">
        <v>3433</v>
      </c>
      <c r="R1593">
        <v>1583</v>
      </c>
      <c r="S1593">
        <v>3433</v>
      </c>
      <c r="T1593">
        <v>5085</v>
      </c>
      <c r="W1593">
        <v>5085</v>
      </c>
      <c r="X1593">
        <v>1583</v>
      </c>
    </row>
    <row r="1594" spans="1:24" x14ac:dyDescent="0.3">
      <c r="A1594" t="s">
        <v>698</v>
      </c>
      <c r="B1594">
        <v>27</v>
      </c>
      <c r="P1594">
        <v>1</v>
      </c>
      <c r="R1594">
        <v>1</v>
      </c>
      <c r="S1594">
        <v>1</v>
      </c>
      <c r="T1594">
        <v>1</v>
      </c>
      <c r="W1594">
        <v>1</v>
      </c>
      <c r="X1594">
        <v>1</v>
      </c>
    </row>
    <row r="1595" spans="1:24" x14ac:dyDescent="0.3">
      <c r="A1595" t="s">
        <v>51</v>
      </c>
      <c r="B1595">
        <v>27</v>
      </c>
      <c r="P1595">
        <v>0</v>
      </c>
      <c r="R1595">
        <v>34</v>
      </c>
      <c r="S1595">
        <v>0</v>
      </c>
      <c r="T1595">
        <v>0</v>
      </c>
      <c r="W1595">
        <v>0</v>
      </c>
      <c r="X1595">
        <v>99</v>
      </c>
    </row>
    <row r="1596" spans="1:24" x14ac:dyDescent="0.3">
      <c r="A1596" t="s">
        <v>53</v>
      </c>
      <c r="B1596">
        <v>27</v>
      </c>
      <c r="P1596">
        <v>129</v>
      </c>
      <c r="R1596">
        <v>31</v>
      </c>
      <c r="S1596">
        <v>12</v>
      </c>
      <c r="T1596">
        <v>901</v>
      </c>
      <c r="W1596">
        <v>816</v>
      </c>
      <c r="X1596">
        <v>91</v>
      </c>
    </row>
    <row r="1597" spans="1:24" x14ac:dyDescent="0.3">
      <c r="A1597" t="s">
        <v>54</v>
      </c>
      <c r="B1597">
        <v>27</v>
      </c>
      <c r="P1597">
        <v>0</v>
      </c>
      <c r="R1597">
        <v>0</v>
      </c>
      <c r="S1597">
        <v>0</v>
      </c>
      <c r="T1597">
        <v>0</v>
      </c>
      <c r="W1597">
        <v>0</v>
      </c>
      <c r="X1597">
        <v>0</v>
      </c>
    </row>
    <row r="1598" spans="1:24" x14ac:dyDescent="0.3">
      <c r="A1598" t="s">
        <v>55</v>
      </c>
      <c r="B1598">
        <v>27</v>
      </c>
      <c r="P1598">
        <v>0</v>
      </c>
      <c r="R1598">
        <v>0</v>
      </c>
      <c r="S1598">
        <v>0</v>
      </c>
      <c r="T1598">
        <v>0</v>
      </c>
      <c r="W1598">
        <v>0</v>
      </c>
      <c r="X1598">
        <v>0</v>
      </c>
    </row>
    <row r="1599" spans="1:24" x14ac:dyDescent="0.3">
      <c r="A1599" t="s">
        <v>56</v>
      </c>
      <c r="B1599">
        <v>27</v>
      </c>
      <c r="P1599">
        <v>0.92</v>
      </c>
      <c r="R1599">
        <v>0.92</v>
      </c>
      <c r="S1599">
        <v>0.92</v>
      </c>
      <c r="T1599">
        <v>0.92</v>
      </c>
      <c r="W1599">
        <v>0.92</v>
      </c>
      <c r="X1599">
        <v>0.92</v>
      </c>
    </row>
    <row r="1600" spans="1:24" x14ac:dyDescent="0.3">
      <c r="A1600" t="s">
        <v>57</v>
      </c>
      <c r="B1600">
        <v>27</v>
      </c>
      <c r="P1600">
        <v>100</v>
      </c>
      <c r="R1600">
        <v>100</v>
      </c>
      <c r="S1600">
        <v>100</v>
      </c>
      <c r="T1600">
        <v>100</v>
      </c>
      <c r="W1600">
        <v>100</v>
      </c>
      <c r="X1600">
        <v>100</v>
      </c>
    </row>
    <row r="1601" spans="1:24" x14ac:dyDescent="0.3">
      <c r="A1601" t="s">
        <v>58</v>
      </c>
      <c r="B1601">
        <v>27</v>
      </c>
      <c r="P1601">
        <v>2</v>
      </c>
      <c r="R1601">
        <v>2</v>
      </c>
      <c r="S1601">
        <v>2</v>
      </c>
      <c r="T1601">
        <v>2</v>
      </c>
      <c r="W1601">
        <v>2</v>
      </c>
      <c r="X1601">
        <v>2</v>
      </c>
    </row>
    <row r="1602" spans="1:24" x14ac:dyDescent="0.3">
      <c r="A1602" t="s">
        <v>59</v>
      </c>
      <c r="B1602">
        <v>27</v>
      </c>
      <c r="P1602">
        <v>0</v>
      </c>
      <c r="R1602">
        <v>0</v>
      </c>
      <c r="S1602">
        <v>0</v>
      </c>
      <c r="T1602">
        <v>0</v>
      </c>
      <c r="W1602">
        <v>0</v>
      </c>
      <c r="X1602">
        <v>0</v>
      </c>
    </row>
    <row r="1603" spans="1:24" x14ac:dyDescent="0.3">
      <c r="A1603" t="s">
        <v>699</v>
      </c>
      <c r="B1603">
        <v>27</v>
      </c>
      <c r="P1603">
        <v>0</v>
      </c>
      <c r="T1603">
        <v>0</v>
      </c>
      <c r="W1603">
        <v>0</v>
      </c>
    </row>
    <row r="1604" spans="1:24" x14ac:dyDescent="0.3">
      <c r="A1604" t="s">
        <v>678</v>
      </c>
      <c r="B1604">
        <v>27</v>
      </c>
      <c r="P1604">
        <v>262</v>
      </c>
      <c r="T1604">
        <v>1261</v>
      </c>
      <c r="W1604">
        <v>2453</v>
      </c>
    </row>
    <row r="1605" spans="1:24" x14ac:dyDescent="0.3">
      <c r="A1605" t="s">
        <v>78</v>
      </c>
      <c r="B1605">
        <v>27</v>
      </c>
      <c r="P1605">
        <v>6</v>
      </c>
      <c r="T1605">
        <v>19.100000000000001</v>
      </c>
      <c r="W1605">
        <v>37.200000000000003</v>
      </c>
    </row>
    <row r="1606" spans="1:24" x14ac:dyDescent="0.3">
      <c r="A1606" t="s">
        <v>700</v>
      </c>
      <c r="B1606">
        <v>27</v>
      </c>
      <c r="R1606">
        <v>0</v>
      </c>
      <c r="T1606">
        <v>0</v>
      </c>
      <c r="X1606">
        <v>0</v>
      </c>
    </row>
    <row r="1607" spans="1:24" x14ac:dyDescent="0.3">
      <c r="A1607" t="s">
        <v>701</v>
      </c>
      <c r="B1607">
        <v>27</v>
      </c>
      <c r="P1607">
        <v>0</v>
      </c>
      <c r="R1607">
        <v>1</v>
      </c>
      <c r="S1607">
        <v>0</v>
      </c>
      <c r="T1607">
        <v>0</v>
      </c>
      <c r="W1607">
        <v>0</v>
      </c>
      <c r="X1607">
        <v>1</v>
      </c>
    </row>
    <row r="1608" spans="1:24" x14ac:dyDescent="0.3">
      <c r="A1608" t="s">
        <v>702</v>
      </c>
      <c r="B1608">
        <v>27</v>
      </c>
      <c r="P1608">
        <v>0</v>
      </c>
      <c r="R1608">
        <v>0</v>
      </c>
      <c r="S1608">
        <v>0</v>
      </c>
      <c r="T1608">
        <v>0</v>
      </c>
      <c r="W1608">
        <v>0</v>
      </c>
      <c r="X1608">
        <v>0</v>
      </c>
    </row>
    <row r="1609" spans="1:24" x14ac:dyDescent="0.3">
      <c r="A1609" t="s">
        <v>52</v>
      </c>
      <c r="B1609">
        <v>27</v>
      </c>
      <c r="P1609">
        <v>1</v>
      </c>
      <c r="R1609">
        <v>1</v>
      </c>
      <c r="S1609">
        <v>1</v>
      </c>
      <c r="T1609">
        <v>1</v>
      </c>
      <c r="W1609">
        <v>1</v>
      </c>
      <c r="X1609">
        <v>1</v>
      </c>
    </row>
    <row r="1610" spans="1:24" x14ac:dyDescent="0.3">
      <c r="A1610" t="s">
        <v>703</v>
      </c>
      <c r="B1610">
        <v>27</v>
      </c>
      <c r="P1610">
        <v>15</v>
      </c>
      <c r="R1610">
        <v>9</v>
      </c>
      <c r="S1610">
        <v>15</v>
      </c>
      <c r="T1610">
        <v>60</v>
      </c>
      <c r="W1610">
        <v>60</v>
      </c>
      <c r="X1610">
        <v>9</v>
      </c>
    </row>
    <row r="1611" spans="1:24" x14ac:dyDescent="0.3">
      <c r="A1611" t="s">
        <v>43</v>
      </c>
      <c r="B1611">
        <v>27</v>
      </c>
      <c r="P1611">
        <v>0</v>
      </c>
      <c r="R1611">
        <v>0</v>
      </c>
      <c r="S1611">
        <v>0</v>
      </c>
      <c r="T1611">
        <v>0</v>
      </c>
      <c r="W1611">
        <v>0</v>
      </c>
      <c r="X1611">
        <v>0</v>
      </c>
    </row>
    <row r="1612" spans="1:24" x14ac:dyDescent="0.3">
      <c r="A1612" t="s">
        <v>44</v>
      </c>
      <c r="B1612">
        <v>27</v>
      </c>
      <c r="P1612">
        <v>0</v>
      </c>
      <c r="R1612">
        <v>0</v>
      </c>
      <c r="S1612">
        <v>0</v>
      </c>
      <c r="T1612">
        <v>0</v>
      </c>
      <c r="W1612">
        <v>0</v>
      </c>
      <c r="X1612">
        <v>0</v>
      </c>
    </row>
    <row r="1613" spans="1:24" x14ac:dyDescent="0.3">
      <c r="A1613" t="s">
        <v>47</v>
      </c>
      <c r="B1613">
        <v>27</v>
      </c>
      <c r="P1613">
        <v>4</v>
      </c>
      <c r="R1613">
        <v>4</v>
      </c>
      <c r="S1613">
        <v>5</v>
      </c>
      <c r="T1613">
        <v>2</v>
      </c>
      <c r="W1613">
        <v>6</v>
      </c>
      <c r="X1613">
        <v>6</v>
      </c>
    </row>
    <row r="1614" spans="1:24" x14ac:dyDescent="0.3">
      <c r="A1614" t="s">
        <v>704</v>
      </c>
      <c r="B1614">
        <v>27</v>
      </c>
      <c r="P1614">
        <v>0</v>
      </c>
      <c r="R1614">
        <v>0</v>
      </c>
      <c r="S1614">
        <v>0</v>
      </c>
      <c r="T1614">
        <v>0</v>
      </c>
      <c r="W1614">
        <v>0</v>
      </c>
      <c r="X1614">
        <v>0</v>
      </c>
    </row>
    <row r="1615" spans="1:24" x14ac:dyDescent="0.3">
      <c r="A1615" t="s">
        <v>705</v>
      </c>
      <c r="B1615">
        <v>27</v>
      </c>
      <c r="P1615">
        <v>0</v>
      </c>
      <c r="R1615">
        <v>0</v>
      </c>
      <c r="S1615">
        <v>0</v>
      </c>
      <c r="T1615">
        <v>0</v>
      </c>
      <c r="W1615">
        <v>0</v>
      </c>
      <c r="X1615">
        <v>0</v>
      </c>
    </row>
    <row r="1616" spans="1:24" x14ac:dyDescent="0.3">
      <c r="A1616" t="s">
        <v>706</v>
      </c>
      <c r="B1616">
        <v>27</v>
      </c>
      <c r="P1616">
        <v>0</v>
      </c>
      <c r="R1616">
        <v>0</v>
      </c>
      <c r="S1616">
        <v>0</v>
      </c>
      <c r="T1616">
        <v>0</v>
      </c>
      <c r="W1616">
        <v>0</v>
      </c>
      <c r="X1616">
        <v>0</v>
      </c>
    </row>
    <row r="1617" spans="1:24" x14ac:dyDescent="0.3">
      <c r="A1617" t="s">
        <v>707</v>
      </c>
      <c r="B1617">
        <v>27</v>
      </c>
      <c r="P1617">
        <v>0</v>
      </c>
      <c r="R1617">
        <v>0</v>
      </c>
      <c r="S1617">
        <v>0</v>
      </c>
      <c r="T1617">
        <v>0</v>
      </c>
      <c r="W1617">
        <v>0</v>
      </c>
      <c r="X1617">
        <v>0</v>
      </c>
    </row>
    <row r="1618" spans="1:24" x14ac:dyDescent="0.3">
      <c r="A1618" t="s">
        <v>708</v>
      </c>
      <c r="B1618">
        <v>27</v>
      </c>
      <c r="P1618">
        <v>0</v>
      </c>
      <c r="R1618">
        <v>0</v>
      </c>
      <c r="S1618">
        <v>0</v>
      </c>
      <c r="T1618">
        <v>0</v>
      </c>
      <c r="W1618">
        <v>0</v>
      </c>
      <c r="X1618">
        <v>0</v>
      </c>
    </row>
    <row r="1619" spans="1:24" x14ac:dyDescent="0.3">
      <c r="A1619" t="s">
        <v>719</v>
      </c>
      <c r="B1619">
        <v>27</v>
      </c>
      <c r="P1619">
        <v>0</v>
      </c>
      <c r="T1619">
        <v>0</v>
      </c>
      <c r="W1619">
        <v>0</v>
      </c>
    </row>
    <row r="1620" spans="1:24" x14ac:dyDescent="0.3">
      <c r="A1620" t="s">
        <v>405</v>
      </c>
      <c r="B1620">
        <v>27</v>
      </c>
      <c r="P1620">
        <v>0</v>
      </c>
    </row>
    <row r="1621" spans="1:24" x14ac:dyDescent="0.3">
      <c r="A1621" t="s">
        <v>720</v>
      </c>
      <c r="B1621">
        <v>27</v>
      </c>
      <c r="P1621">
        <v>140</v>
      </c>
      <c r="R1621">
        <v>34</v>
      </c>
      <c r="S1621">
        <v>13</v>
      </c>
      <c r="T1621">
        <v>979</v>
      </c>
      <c r="W1621">
        <v>887</v>
      </c>
      <c r="X1621">
        <v>99</v>
      </c>
    </row>
    <row r="1622" spans="1:24" x14ac:dyDescent="0.3">
      <c r="A1622" t="s">
        <v>34</v>
      </c>
      <c r="B1622">
        <v>28</v>
      </c>
      <c r="P1622">
        <v>24</v>
      </c>
      <c r="R1622">
        <v>24</v>
      </c>
      <c r="S1622">
        <v>46</v>
      </c>
      <c r="T1622">
        <v>46</v>
      </c>
      <c r="W1622">
        <v>26</v>
      </c>
      <c r="X1622">
        <v>26</v>
      </c>
    </row>
    <row r="1623" spans="1:24" x14ac:dyDescent="0.3">
      <c r="A1623" t="s">
        <v>35</v>
      </c>
      <c r="B1623">
        <v>28</v>
      </c>
      <c r="P1623">
        <v>26</v>
      </c>
      <c r="R1623">
        <v>46</v>
      </c>
      <c r="S1623">
        <v>24</v>
      </c>
      <c r="T1623">
        <v>26</v>
      </c>
      <c r="W1623">
        <v>46</v>
      </c>
      <c r="X1623">
        <v>24</v>
      </c>
    </row>
    <row r="1624" spans="1:24" x14ac:dyDescent="0.3">
      <c r="A1624" t="s">
        <v>36</v>
      </c>
      <c r="B1624">
        <v>28</v>
      </c>
      <c r="P1624">
        <v>1</v>
      </c>
      <c r="R1624">
        <v>1</v>
      </c>
      <c r="S1624">
        <v>1</v>
      </c>
      <c r="T1624">
        <v>3</v>
      </c>
      <c r="W1624">
        <v>3</v>
      </c>
      <c r="X1624">
        <v>1</v>
      </c>
    </row>
    <row r="1625" spans="1:24" x14ac:dyDescent="0.3">
      <c r="A1625" t="s">
        <v>37</v>
      </c>
      <c r="B1625">
        <v>28</v>
      </c>
      <c r="P1625">
        <v>0</v>
      </c>
      <c r="S1625">
        <v>0</v>
      </c>
      <c r="T1625">
        <v>0</v>
      </c>
      <c r="W1625">
        <v>0</v>
      </c>
    </row>
    <row r="1626" spans="1:24" x14ac:dyDescent="0.3">
      <c r="A1626" t="s">
        <v>38</v>
      </c>
      <c r="B1626">
        <v>28</v>
      </c>
      <c r="P1626">
        <v>12</v>
      </c>
      <c r="R1626">
        <v>12</v>
      </c>
      <c r="S1626">
        <v>12</v>
      </c>
      <c r="T1626">
        <v>12</v>
      </c>
      <c r="W1626">
        <v>12</v>
      </c>
      <c r="X1626">
        <v>12</v>
      </c>
    </row>
    <row r="1627" spans="1:24" x14ac:dyDescent="0.3">
      <c r="A1627" t="s">
        <v>39</v>
      </c>
      <c r="B1627">
        <v>28</v>
      </c>
      <c r="S1627">
        <v>335</v>
      </c>
      <c r="X1627">
        <v>230</v>
      </c>
    </row>
    <row r="1628" spans="1:24" x14ac:dyDescent="0.3">
      <c r="A1628" t="s">
        <v>695</v>
      </c>
      <c r="B1628">
        <v>28</v>
      </c>
      <c r="S1628">
        <v>185</v>
      </c>
      <c r="X1628">
        <v>120</v>
      </c>
    </row>
    <row r="1629" spans="1:24" x14ac:dyDescent="0.3">
      <c r="A1629" t="s">
        <v>40</v>
      </c>
      <c r="B1629">
        <v>28</v>
      </c>
      <c r="S1629">
        <v>1</v>
      </c>
      <c r="X1629">
        <v>1</v>
      </c>
    </row>
    <row r="1630" spans="1:24" x14ac:dyDescent="0.3">
      <c r="A1630" t="s">
        <v>41</v>
      </c>
      <c r="B1630">
        <v>28</v>
      </c>
    </row>
    <row r="1631" spans="1:24" x14ac:dyDescent="0.3">
      <c r="A1631" t="s">
        <v>42</v>
      </c>
      <c r="B1631">
        <v>28</v>
      </c>
      <c r="P1631">
        <v>25</v>
      </c>
      <c r="T1631">
        <v>45</v>
      </c>
      <c r="W1631">
        <v>45</v>
      </c>
    </row>
    <row r="1632" spans="1:24" x14ac:dyDescent="0.3">
      <c r="A1632" t="s">
        <v>45</v>
      </c>
      <c r="B1632">
        <v>28</v>
      </c>
      <c r="P1632">
        <v>4</v>
      </c>
      <c r="S1632">
        <v>5</v>
      </c>
      <c r="T1632">
        <v>2</v>
      </c>
      <c r="W1632">
        <v>6</v>
      </c>
    </row>
    <row r="1633" spans="1:24" x14ac:dyDescent="0.3">
      <c r="A1633" t="s">
        <v>46</v>
      </c>
      <c r="B1633">
        <v>28</v>
      </c>
      <c r="R1633">
        <v>4</v>
      </c>
      <c r="X1633">
        <v>6</v>
      </c>
    </row>
    <row r="1634" spans="1:24" x14ac:dyDescent="0.3">
      <c r="A1634" t="s">
        <v>49</v>
      </c>
      <c r="B1634">
        <v>28</v>
      </c>
      <c r="P1634">
        <v>8.3000000000000007</v>
      </c>
      <c r="R1634">
        <v>8.3000000000000007</v>
      </c>
      <c r="S1634">
        <v>6.9</v>
      </c>
      <c r="T1634">
        <v>6.1</v>
      </c>
      <c r="W1634">
        <v>6</v>
      </c>
      <c r="X1634">
        <v>6</v>
      </c>
    </row>
    <row r="1635" spans="1:24" x14ac:dyDescent="0.3">
      <c r="A1635" t="s">
        <v>696</v>
      </c>
      <c r="B1635">
        <v>28</v>
      </c>
      <c r="P1635">
        <v>0</v>
      </c>
      <c r="R1635">
        <v>0</v>
      </c>
      <c r="S1635">
        <v>0</v>
      </c>
      <c r="T1635">
        <v>0</v>
      </c>
      <c r="W1635">
        <v>0</v>
      </c>
      <c r="X1635">
        <v>0</v>
      </c>
    </row>
    <row r="1636" spans="1:24" x14ac:dyDescent="0.3">
      <c r="A1636" t="s">
        <v>48</v>
      </c>
      <c r="B1636">
        <v>28</v>
      </c>
      <c r="P1636">
        <v>1900</v>
      </c>
      <c r="R1636">
        <v>1900</v>
      </c>
      <c r="S1636">
        <v>1900</v>
      </c>
      <c r="T1636">
        <v>1900</v>
      </c>
      <c r="W1636">
        <v>1900</v>
      </c>
      <c r="X1636">
        <v>1900</v>
      </c>
    </row>
    <row r="1637" spans="1:24" x14ac:dyDescent="0.3">
      <c r="A1637" t="s">
        <v>697</v>
      </c>
      <c r="B1637">
        <v>28</v>
      </c>
      <c r="P1637">
        <v>1770</v>
      </c>
      <c r="R1637">
        <v>1583</v>
      </c>
      <c r="S1637">
        <v>1770</v>
      </c>
      <c r="T1637">
        <v>5085</v>
      </c>
      <c r="W1637">
        <v>5085</v>
      </c>
      <c r="X1637">
        <v>1583</v>
      </c>
    </row>
    <row r="1638" spans="1:24" x14ac:dyDescent="0.3">
      <c r="A1638" t="s">
        <v>50</v>
      </c>
      <c r="B1638">
        <v>28</v>
      </c>
      <c r="P1638">
        <v>1770</v>
      </c>
      <c r="R1638">
        <v>1583</v>
      </c>
      <c r="S1638">
        <v>1770</v>
      </c>
      <c r="T1638">
        <v>5085</v>
      </c>
      <c r="W1638">
        <v>5085</v>
      </c>
      <c r="X1638">
        <v>1583</v>
      </c>
    </row>
    <row r="1639" spans="1:24" x14ac:dyDescent="0.3">
      <c r="A1639" t="s">
        <v>698</v>
      </c>
      <c r="B1639">
        <v>28</v>
      </c>
      <c r="P1639">
        <v>1</v>
      </c>
      <c r="R1639">
        <v>1</v>
      </c>
      <c r="S1639">
        <v>1</v>
      </c>
      <c r="T1639">
        <v>1</v>
      </c>
      <c r="W1639">
        <v>1</v>
      </c>
      <c r="X1639">
        <v>1</v>
      </c>
    </row>
    <row r="1640" spans="1:24" x14ac:dyDescent="0.3">
      <c r="A1640" t="s">
        <v>51</v>
      </c>
      <c r="B1640">
        <v>28</v>
      </c>
      <c r="P1640">
        <v>0</v>
      </c>
      <c r="R1640">
        <v>37</v>
      </c>
      <c r="S1640">
        <v>0</v>
      </c>
      <c r="T1640">
        <v>0</v>
      </c>
      <c r="W1640">
        <v>0</v>
      </c>
      <c r="X1640">
        <v>14</v>
      </c>
    </row>
    <row r="1641" spans="1:24" x14ac:dyDescent="0.3">
      <c r="A1641" t="s">
        <v>53</v>
      </c>
      <c r="B1641">
        <v>28</v>
      </c>
      <c r="P1641">
        <v>26</v>
      </c>
      <c r="R1641">
        <v>34</v>
      </c>
      <c r="S1641">
        <v>41</v>
      </c>
      <c r="T1641">
        <v>748</v>
      </c>
      <c r="W1641">
        <v>587</v>
      </c>
      <c r="X1641">
        <v>13</v>
      </c>
    </row>
    <row r="1642" spans="1:24" x14ac:dyDescent="0.3">
      <c r="A1642" t="s">
        <v>54</v>
      </c>
      <c r="B1642">
        <v>28</v>
      </c>
      <c r="P1642">
        <v>0</v>
      </c>
      <c r="R1642">
        <v>0</v>
      </c>
      <c r="S1642">
        <v>0</v>
      </c>
      <c r="T1642">
        <v>0</v>
      </c>
      <c r="W1642">
        <v>0</v>
      </c>
      <c r="X1642">
        <v>0</v>
      </c>
    </row>
    <row r="1643" spans="1:24" x14ac:dyDescent="0.3">
      <c r="A1643" t="s">
        <v>55</v>
      </c>
      <c r="B1643">
        <v>28</v>
      </c>
      <c r="P1643">
        <v>0</v>
      </c>
      <c r="R1643">
        <v>0</v>
      </c>
      <c r="S1643">
        <v>0</v>
      </c>
      <c r="T1643">
        <v>0</v>
      </c>
      <c r="W1643">
        <v>0</v>
      </c>
      <c r="X1643">
        <v>0</v>
      </c>
    </row>
    <row r="1644" spans="1:24" x14ac:dyDescent="0.3">
      <c r="A1644" t="s">
        <v>56</v>
      </c>
      <c r="B1644">
        <v>28</v>
      </c>
      <c r="P1644">
        <v>0.92</v>
      </c>
      <c r="R1644">
        <v>0.92</v>
      </c>
      <c r="S1644">
        <v>0.92</v>
      </c>
      <c r="T1644">
        <v>0.92</v>
      </c>
      <c r="W1644">
        <v>0.92</v>
      </c>
      <c r="X1644">
        <v>0.92</v>
      </c>
    </row>
    <row r="1645" spans="1:24" x14ac:dyDescent="0.3">
      <c r="A1645" t="s">
        <v>57</v>
      </c>
      <c r="B1645">
        <v>28</v>
      </c>
      <c r="P1645">
        <v>100</v>
      </c>
      <c r="R1645">
        <v>100</v>
      </c>
      <c r="S1645">
        <v>100</v>
      </c>
      <c r="T1645">
        <v>100</v>
      </c>
      <c r="W1645">
        <v>100</v>
      </c>
      <c r="X1645">
        <v>100</v>
      </c>
    </row>
    <row r="1646" spans="1:24" x14ac:dyDescent="0.3">
      <c r="A1646" t="s">
        <v>58</v>
      </c>
      <c r="B1646">
        <v>28</v>
      </c>
      <c r="P1646">
        <v>2</v>
      </c>
      <c r="R1646">
        <v>2</v>
      </c>
      <c r="S1646">
        <v>2</v>
      </c>
      <c r="T1646">
        <v>2</v>
      </c>
      <c r="W1646">
        <v>2</v>
      </c>
      <c r="X1646">
        <v>2</v>
      </c>
    </row>
    <row r="1647" spans="1:24" x14ac:dyDescent="0.3">
      <c r="A1647" t="s">
        <v>59</v>
      </c>
      <c r="B1647">
        <v>28</v>
      </c>
      <c r="P1647">
        <v>0</v>
      </c>
      <c r="R1647">
        <v>0</v>
      </c>
      <c r="S1647">
        <v>0</v>
      </c>
      <c r="T1647">
        <v>0</v>
      </c>
      <c r="W1647">
        <v>0</v>
      </c>
      <c r="X1647">
        <v>0</v>
      </c>
    </row>
    <row r="1648" spans="1:24" x14ac:dyDescent="0.3">
      <c r="A1648" t="s">
        <v>699</v>
      </c>
      <c r="B1648">
        <v>28</v>
      </c>
      <c r="P1648">
        <v>0</v>
      </c>
      <c r="T1648">
        <v>0</v>
      </c>
      <c r="W1648">
        <v>0</v>
      </c>
    </row>
    <row r="1649" spans="1:24" x14ac:dyDescent="0.3">
      <c r="A1649" t="s">
        <v>678</v>
      </c>
      <c r="B1649">
        <v>28</v>
      </c>
      <c r="P1649">
        <v>274</v>
      </c>
      <c r="T1649">
        <v>1161</v>
      </c>
      <c r="W1649">
        <v>3236</v>
      </c>
    </row>
    <row r="1650" spans="1:24" x14ac:dyDescent="0.3">
      <c r="A1650" t="s">
        <v>78</v>
      </c>
      <c r="B1650">
        <v>28</v>
      </c>
      <c r="P1650">
        <v>7.5</v>
      </c>
      <c r="T1650">
        <v>17.600000000000001</v>
      </c>
      <c r="W1650">
        <v>49</v>
      </c>
    </row>
    <row r="1651" spans="1:24" x14ac:dyDescent="0.3">
      <c r="A1651" t="s">
        <v>700</v>
      </c>
      <c r="B1651">
        <v>28</v>
      </c>
      <c r="R1651">
        <v>0</v>
      </c>
      <c r="T1651">
        <v>0</v>
      </c>
      <c r="X1651">
        <v>0</v>
      </c>
    </row>
    <row r="1652" spans="1:24" x14ac:dyDescent="0.3">
      <c r="A1652" t="s">
        <v>701</v>
      </c>
      <c r="B1652">
        <v>28</v>
      </c>
      <c r="P1652">
        <v>0</v>
      </c>
      <c r="R1652">
        <v>1</v>
      </c>
      <c r="S1652">
        <v>0</v>
      </c>
      <c r="T1652">
        <v>0</v>
      </c>
      <c r="W1652">
        <v>0</v>
      </c>
      <c r="X1652">
        <v>1</v>
      </c>
    </row>
    <row r="1653" spans="1:24" x14ac:dyDescent="0.3">
      <c r="A1653" t="s">
        <v>702</v>
      </c>
      <c r="B1653">
        <v>28</v>
      </c>
      <c r="P1653">
        <v>0</v>
      </c>
      <c r="R1653">
        <v>0</v>
      </c>
      <c r="S1653">
        <v>0</v>
      </c>
      <c r="T1653">
        <v>0</v>
      </c>
      <c r="W1653">
        <v>0</v>
      </c>
      <c r="X1653">
        <v>0</v>
      </c>
    </row>
    <row r="1654" spans="1:24" x14ac:dyDescent="0.3">
      <c r="A1654" t="s">
        <v>52</v>
      </c>
      <c r="B1654">
        <v>28</v>
      </c>
      <c r="P1654">
        <v>1</v>
      </c>
      <c r="R1654">
        <v>1</v>
      </c>
      <c r="S1654">
        <v>1</v>
      </c>
      <c r="T1654">
        <v>1</v>
      </c>
      <c r="W1654">
        <v>1</v>
      </c>
      <c r="X1654">
        <v>1</v>
      </c>
    </row>
    <row r="1655" spans="1:24" x14ac:dyDescent="0.3">
      <c r="A1655" t="s">
        <v>703</v>
      </c>
      <c r="B1655">
        <v>28</v>
      </c>
      <c r="P1655">
        <v>15</v>
      </c>
      <c r="R1655">
        <v>9</v>
      </c>
      <c r="S1655">
        <v>15</v>
      </c>
      <c r="T1655">
        <v>60</v>
      </c>
      <c r="W1655">
        <v>60</v>
      </c>
      <c r="X1655">
        <v>9</v>
      </c>
    </row>
    <row r="1656" spans="1:24" x14ac:dyDescent="0.3">
      <c r="A1656" t="s">
        <v>43</v>
      </c>
      <c r="B1656">
        <v>28</v>
      </c>
      <c r="P1656">
        <v>0</v>
      </c>
      <c r="R1656">
        <v>0</v>
      </c>
      <c r="S1656">
        <v>0</v>
      </c>
      <c r="T1656">
        <v>0</v>
      </c>
      <c r="W1656">
        <v>0</v>
      </c>
      <c r="X1656">
        <v>0</v>
      </c>
    </row>
    <row r="1657" spans="1:24" x14ac:dyDescent="0.3">
      <c r="A1657" t="s">
        <v>44</v>
      </c>
      <c r="B1657">
        <v>28</v>
      </c>
      <c r="P1657">
        <v>0</v>
      </c>
      <c r="R1657">
        <v>0</v>
      </c>
      <c r="S1657">
        <v>0</v>
      </c>
      <c r="T1657">
        <v>0</v>
      </c>
      <c r="W1657">
        <v>0</v>
      </c>
      <c r="X1657">
        <v>0</v>
      </c>
    </row>
    <row r="1658" spans="1:24" x14ac:dyDescent="0.3">
      <c r="A1658" t="s">
        <v>47</v>
      </c>
      <c r="B1658">
        <v>28</v>
      </c>
      <c r="P1658">
        <v>4</v>
      </c>
      <c r="R1658">
        <v>4</v>
      </c>
      <c r="S1658">
        <v>5</v>
      </c>
      <c r="T1658">
        <v>2</v>
      </c>
      <c r="W1658">
        <v>6</v>
      </c>
      <c r="X1658">
        <v>6</v>
      </c>
    </row>
    <row r="1659" spans="1:24" x14ac:dyDescent="0.3">
      <c r="A1659" t="s">
        <v>704</v>
      </c>
      <c r="B1659">
        <v>28</v>
      </c>
      <c r="P1659">
        <v>0</v>
      </c>
      <c r="R1659">
        <v>0</v>
      </c>
      <c r="S1659">
        <v>0</v>
      </c>
      <c r="T1659">
        <v>0</v>
      </c>
      <c r="W1659">
        <v>0</v>
      </c>
      <c r="X1659">
        <v>0</v>
      </c>
    </row>
    <row r="1660" spans="1:24" x14ac:dyDescent="0.3">
      <c r="A1660" t="s">
        <v>705</v>
      </c>
      <c r="B1660">
        <v>28</v>
      </c>
      <c r="P1660">
        <v>0</v>
      </c>
      <c r="R1660">
        <v>0</v>
      </c>
      <c r="S1660">
        <v>0</v>
      </c>
      <c r="T1660">
        <v>0</v>
      </c>
      <c r="W1660">
        <v>0</v>
      </c>
      <c r="X1660">
        <v>0</v>
      </c>
    </row>
    <row r="1661" spans="1:24" x14ac:dyDescent="0.3">
      <c r="A1661" t="s">
        <v>706</v>
      </c>
      <c r="B1661">
        <v>28</v>
      </c>
      <c r="P1661">
        <v>0</v>
      </c>
      <c r="R1661">
        <v>0</v>
      </c>
      <c r="S1661">
        <v>0</v>
      </c>
      <c r="T1661">
        <v>0</v>
      </c>
      <c r="W1661">
        <v>0</v>
      </c>
      <c r="X1661">
        <v>0</v>
      </c>
    </row>
    <row r="1662" spans="1:24" x14ac:dyDescent="0.3">
      <c r="A1662" t="s">
        <v>707</v>
      </c>
      <c r="B1662">
        <v>28</v>
      </c>
      <c r="P1662">
        <v>0</v>
      </c>
      <c r="R1662">
        <v>0</v>
      </c>
      <c r="S1662">
        <v>0</v>
      </c>
      <c r="T1662">
        <v>0</v>
      </c>
      <c r="W1662">
        <v>0</v>
      </c>
      <c r="X1662">
        <v>0</v>
      </c>
    </row>
    <row r="1663" spans="1:24" x14ac:dyDescent="0.3">
      <c r="A1663" t="s">
        <v>708</v>
      </c>
      <c r="B1663">
        <v>28</v>
      </c>
      <c r="P1663">
        <v>0</v>
      </c>
      <c r="R1663">
        <v>0</v>
      </c>
      <c r="S1663">
        <v>0</v>
      </c>
      <c r="T1663">
        <v>0</v>
      </c>
      <c r="W1663">
        <v>0</v>
      </c>
      <c r="X1663">
        <v>0</v>
      </c>
    </row>
    <row r="1664" spans="1:24" x14ac:dyDescent="0.3">
      <c r="A1664" t="s">
        <v>719</v>
      </c>
      <c r="B1664">
        <v>28</v>
      </c>
      <c r="P1664">
        <v>0</v>
      </c>
      <c r="T1664">
        <v>0</v>
      </c>
      <c r="W1664">
        <v>0</v>
      </c>
    </row>
    <row r="1665" spans="1:24" x14ac:dyDescent="0.3">
      <c r="A1665" t="s">
        <v>405</v>
      </c>
      <c r="B1665">
        <v>28</v>
      </c>
      <c r="P1665">
        <v>0</v>
      </c>
    </row>
    <row r="1666" spans="1:24" x14ac:dyDescent="0.3">
      <c r="A1666" t="s">
        <v>720</v>
      </c>
      <c r="B1666">
        <v>28</v>
      </c>
      <c r="P1666">
        <v>28</v>
      </c>
      <c r="R1666">
        <v>37</v>
      </c>
      <c r="S1666">
        <v>45</v>
      </c>
      <c r="T1666">
        <v>813</v>
      </c>
      <c r="W1666">
        <v>638</v>
      </c>
      <c r="X1666">
        <v>14</v>
      </c>
    </row>
    <row r="1667" spans="1:24" x14ac:dyDescent="0.3">
      <c r="A1667" t="s">
        <v>34</v>
      </c>
      <c r="B1667">
        <v>31</v>
      </c>
      <c r="P1667">
        <v>32</v>
      </c>
      <c r="R1667">
        <v>32</v>
      </c>
      <c r="S1667">
        <v>27</v>
      </c>
      <c r="T1667">
        <v>27</v>
      </c>
      <c r="W1667">
        <v>33</v>
      </c>
      <c r="X1667">
        <v>33</v>
      </c>
    </row>
    <row r="1668" spans="1:24" x14ac:dyDescent="0.3">
      <c r="A1668" t="s">
        <v>35</v>
      </c>
      <c r="B1668">
        <v>31</v>
      </c>
      <c r="P1668">
        <v>33</v>
      </c>
      <c r="R1668">
        <v>27</v>
      </c>
      <c r="S1668">
        <v>32</v>
      </c>
      <c r="T1668">
        <v>33</v>
      </c>
      <c r="W1668">
        <v>27</v>
      </c>
      <c r="X1668">
        <v>32</v>
      </c>
    </row>
    <row r="1669" spans="1:24" x14ac:dyDescent="0.3">
      <c r="A1669" t="s">
        <v>36</v>
      </c>
      <c r="B1669">
        <v>31</v>
      </c>
      <c r="P1669">
        <v>2</v>
      </c>
      <c r="R1669">
        <v>1</v>
      </c>
      <c r="S1669">
        <v>2</v>
      </c>
      <c r="T1669">
        <v>3</v>
      </c>
      <c r="W1669">
        <v>3</v>
      </c>
      <c r="X1669">
        <v>1</v>
      </c>
    </row>
    <row r="1670" spans="1:24" x14ac:dyDescent="0.3">
      <c r="A1670" t="s">
        <v>37</v>
      </c>
      <c r="B1670">
        <v>31</v>
      </c>
      <c r="P1670">
        <v>0</v>
      </c>
      <c r="S1670">
        <v>0</v>
      </c>
      <c r="T1670">
        <v>0</v>
      </c>
      <c r="W1670">
        <v>0</v>
      </c>
    </row>
    <row r="1671" spans="1:24" x14ac:dyDescent="0.3">
      <c r="A1671" t="s">
        <v>38</v>
      </c>
      <c r="B1671">
        <v>31</v>
      </c>
      <c r="P1671">
        <v>12</v>
      </c>
      <c r="R1671">
        <v>12</v>
      </c>
      <c r="S1671">
        <v>12</v>
      </c>
      <c r="T1671">
        <v>12</v>
      </c>
      <c r="W1671">
        <v>12</v>
      </c>
      <c r="X1671">
        <v>12</v>
      </c>
    </row>
    <row r="1672" spans="1:24" x14ac:dyDescent="0.3">
      <c r="A1672" t="s">
        <v>39</v>
      </c>
      <c r="B1672">
        <v>31</v>
      </c>
      <c r="P1672">
        <v>260</v>
      </c>
      <c r="S1672">
        <v>370</v>
      </c>
    </row>
    <row r="1673" spans="1:24" x14ac:dyDescent="0.3">
      <c r="A1673" t="s">
        <v>695</v>
      </c>
      <c r="B1673">
        <v>31</v>
      </c>
      <c r="P1673">
        <v>70</v>
      </c>
      <c r="S1673">
        <v>165</v>
      </c>
    </row>
    <row r="1674" spans="1:24" x14ac:dyDescent="0.3">
      <c r="A1674" t="s">
        <v>40</v>
      </c>
      <c r="B1674">
        <v>31</v>
      </c>
      <c r="P1674">
        <v>1</v>
      </c>
      <c r="S1674">
        <v>2</v>
      </c>
    </row>
    <row r="1675" spans="1:24" x14ac:dyDescent="0.3">
      <c r="A1675" t="s">
        <v>41</v>
      </c>
      <c r="B1675">
        <v>31</v>
      </c>
    </row>
    <row r="1676" spans="1:24" x14ac:dyDescent="0.3">
      <c r="A1676" t="s">
        <v>42</v>
      </c>
      <c r="B1676">
        <v>31</v>
      </c>
      <c r="P1676">
        <v>25</v>
      </c>
      <c r="T1676">
        <v>45</v>
      </c>
      <c r="W1676">
        <v>45</v>
      </c>
    </row>
    <row r="1677" spans="1:24" x14ac:dyDescent="0.3">
      <c r="A1677" t="s">
        <v>45</v>
      </c>
      <c r="B1677">
        <v>31</v>
      </c>
      <c r="P1677">
        <v>4</v>
      </c>
      <c r="S1677">
        <v>5</v>
      </c>
      <c r="T1677">
        <v>2</v>
      </c>
      <c r="W1677">
        <v>6</v>
      </c>
    </row>
    <row r="1678" spans="1:24" x14ac:dyDescent="0.3">
      <c r="A1678" t="s">
        <v>46</v>
      </c>
      <c r="B1678">
        <v>31</v>
      </c>
      <c r="R1678">
        <v>4</v>
      </c>
      <c r="X1678">
        <v>6</v>
      </c>
    </row>
    <row r="1679" spans="1:24" x14ac:dyDescent="0.3">
      <c r="A1679" t="s">
        <v>49</v>
      </c>
      <c r="B1679">
        <v>31</v>
      </c>
      <c r="P1679">
        <v>7</v>
      </c>
      <c r="R1679">
        <v>7</v>
      </c>
      <c r="S1679">
        <v>6.7</v>
      </c>
      <c r="T1679">
        <v>5.9</v>
      </c>
      <c r="W1679">
        <v>6.3</v>
      </c>
      <c r="X1679">
        <v>6.3</v>
      </c>
    </row>
    <row r="1680" spans="1:24" x14ac:dyDescent="0.3">
      <c r="A1680" t="s">
        <v>696</v>
      </c>
      <c r="B1680">
        <v>31</v>
      </c>
      <c r="P1680">
        <v>0</v>
      </c>
      <c r="R1680">
        <v>0</v>
      </c>
      <c r="S1680">
        <v>0</v>
      </c>
      <c r="T1680">
        <v>0</v>
      </c>
      <c r="W1680">
        <v>0</v>
      </c>
      <c r="X1680">
        <v>0</v>
      </c>
    </row>
    <row r="1681" spans="1:24" x14ac:dyDescent="0.3">
      <c r="A1681" t="s">
        <v>48</v>
      </c>
      <c r="B1681">
        <v>31</v>
      </c>
      <c r="P1681">
        <v>1900</v>
      </c>
      <c r="R1681">
        <v>1900</v>
      </c>
      <c r="S1681">
        <v>1900</v>
      </c>
      <c r="T1681">
        <v>1900</v>
      </c>
      <c r="W1681">
        <v>1900</v>
      </c>
      <c r="X1681">
        <v>1900</v>
      </c>
    </row>
    <row r="1682" spans="1:24" x14ac:dyDescent="0.3">
      <c r="A1682" t="s">
        <v>697</v>
      </c>
      <c r="B1682">
        <v>31</v>
      </c>
      <c r="P1682">
        <v>3433</v>
      </c>
      <c r="R1682">
        <v>1583</v>
      </c>
      <c r="S1682">
        <v>3433</v>
      </c>
      <c r="T1682">
        <v>5085</v>
      </c>
      <c r="W1682">
        <v>5085</v>
      </c>
      <c r="X1682">
        <v>1583</v>
      </c>
    </row>
    <row r="1683" spans="1:24" x14ac:dyDescent="0.3">
      <c r="A1683" t="s">
        <v>50</v>
      </c>
      <c r="B1683">
        <v>31</v>
      </c>
      <c r="P1683">
        <v>3433</v>
      </c>
      <c r="R1683">
        <v>1583</v>
      </c>
      <c r="S1683">
        <v>3433</v>
      </c>
      <c r="T1683">
        <v>5085</v>
      </c>
      <c r="W1683">
        <v>5085</v>
      </c>
      <c r="X1683">
        <v>1583</v>
      </c>
    </row>
    <row r="1684" spans="1:24" x14ac:dyDescent="0.3">
      <c r="A1684" t="s">
        <v>698</v>
      </c>
      <c r="B1684">
        <v>31</v>
      </c>
      <c r="P1684">
        <v>1</v>
      </c>
      <c r="R1684">
        <v>1</v>
      </c>
      <c r="S1684">
        <v>1</v>
      </c>
      <c r="T1684">
        <v>1</v>
      </c>
      <c r="W1684">
        <v>1</v>
      </c>
      <c r="X1684">
        <v>1</v>
      </c>
    </row>
    <row r="1685" spans="1:24" x14ac:dyDescent="0.3">
      <c r="A1685" t="s">
        <v>51</v>
      </c>
      <c r="B1685">
        <v>31</v>
      </c>
      <c r="P1685">
        <v>0</v>
      </c>
      <c r="R1685">
        <v>67</v>
      </c>
      <c r="S1685">
        <v>0</v>
      </c>
      <c r="T1685">
        <v>0</v>
      </c>
      <c r="W1685">
        <v>0</v>
      </c>
      <c r="X1685">
        <v>30</v>
      </c>
    </row>
    <row r="1686" spans="1:24" x14ac:dyDescent="0.3">
      <c r="A1686" t="s">
        <v>53</v>
      </c>
      <c r="B1686">
        <v>31</v>
      </c>
      <c r="P1686">
        <v>59</v>
      </c>
      <c r="R1686">
        <v>62</v>
      </c>
      <c r="S1686">
        <v>119</v>
      </c>
      <c r="T1686">
        <v>906</v>
      </c>
      <c r="W1686">
        <v>837</v>
      </c>
      <c r="X1686">
        <v>28</v>
      </c>
    </row>
    <row r="1687" spans="1:24" x14ac:dyDescent="0.3">
      <c r="A1687" t="s">
        <v>54</v>
      </c>
      <c r="B1687">
        <v>31</v>
      </c>
      <c r="P1687">
        <v>0</v>
      </c>
      <c r="R1687">
        <v>0</v>
      </c>
      <c r="S1687">
        <v>0</v>
      </c>
      <c r="T1687">
        <v>0</v>
      </c>
      <c r="W1687">
        <v>0</v>
      </c>
      <c r="X1687">
        <v>0</v>
      </c>
    </row>
    <row r="1688" spans="1:24" x14ac:dyDescent="0.3">
      <c r="A1688" t="s">
        <v>55</v>
      </c>
      <c r="B1688">
        <v>31</v>
      </c>
      <c r="P1688">
        <v>0</v>
      </c>
      <c r="R1688">
        <v>0</v>
      </c>
      <c r="S1688">
        <v>0</v>
      </c>
      <c r="T1688">
        <v>0</v>
      </c>
      <c r="W1688">
        <v>0</v>
      </c>
      <c r="X1688">
        <v>0</v>
      </c>
    </row>
    <row r="1689" spans="1:24" x14ac:dyDescent="0.3">
      <c r="A1689" t="s">
        <v>56</v>
      </c>
      <c r="B1689">
        <v>31</v>
      </c>
      <c r="P1689">
        <v>0.92</v>
      </c>
      <c r="R1689">
        <v>0.92</v>
      </c>
      <c r="S1689">
        <v>0.92</v>
      </c>
      <c r="T1689">
        <v>0.92</v>
      </c>
      <c r="W1689">
        <v>0.92</v>
      </c>
      <c r="X1689">
        <v>0.92</v>
      </c>
    </row>
    <row r="1690" spans="1:24" x14ac:dyDescent="0.3">
      <c r="A1690" t="s">
        <v>57</v>
      </c>
      <c r="B1690">
        <v>31</v>
      </c>
      <c r="P1690">
        <v>100</v>
      </c>
      <c r="R1690">
        <v>100</v>
      </c>
      <c r="S1690">
        <v>100</v>
      </c>
      <c r="T1690">
        <v>100</v>
      </c>
      <c r="W1690">
        <v>100</v>
      </c>
      <c r="X1690">
        <v>100</v>
      </c>
    </row>
    <row r="1691" spans="1:24" x14ac:dyDescent="0.3">
      <c r="A1691" t="s">
        <v>58</v>
      </c>
      <c r="B1691">
        <v>31</v>
      </c>
      <c r="P1691">
        <v>2</v>
      </c>
      <c r="R1691">
        <v>2</v>
      </c>
      <c r="S1691">
        <v>2</v>
      </c>
      <c r="T1691">
        <v>2</v>
      </c>
      <c r="W1691">
        <v>2</v>
      </c>
      <c r="X1691">
        <v>2</v>
      </c>
    </row>
    <row r="1692" spans="1:24" x14ac:dyDescent="0.3">
      <c r="A1692" t="s">
        <v>59</v>
      </c>
      <c r="B1692">
        <v>31</v>
      </c>
      <c r="P1692">
        <v>0</v>
      </c>
      <c r="R1692">
        <v>0</v>
      </c>
      <c r="S1692">
        <v>0</v>
      </c>
      <c r="T1692">
        <v>0</v>
      </c>
      <c r="W1692">
        <v>0</v>
      </c>
      <c r="X1692">
        <v>0</v>
      </c>
    </row>
    <row r="1693" spans="1:24" x14ac:dyDescent="0.3">
      <c r="A1693" t="s">
        <v>699</v>
      </c>
      <c r="B1693">
        <v>31</v>
      </c>
      <c r="P1693">
        <v>0</v>
      </c>
      <c r="T1693">
        <v>0</v>
      </c>
      <c r="W1693">
        <v>0</v>
      </c>
    </row>
    <row r="1694" spans="1:24" x14ac:dyDescent="0.3">
      <c r="A1694" t="s">
        <v>678</v>
      </c>
      <c r="B1694">
        <v>31</v>
      </c>
      <c r="P1694">
        <v>456</v>
      </c>
      <c r="T1694">
        <v>2453</v>
      </c>
      <c r="W1694">
        <v>2608</v>
      </c>
    </row>
    <row r="1695" spans="1:24" x14ac:dyDescent="0.3">
      <c r="A1695" t="s">
        <v>78</v>
      </c>
      <c r="B1695">
        <v>31</v>
      </c>
      <c r="P1695">
        <v>12.4</v>
      </c>
      <c r="T1695">
        <v>37.200000000000003</v>
      </c>
      <c r="W1695">
        <v>39.5</v>
      </c>
    </row>
    <row r="1696" spans="1:24" x14ac:dyDescent="0.3">
      <c r="A1696" t="s">
        <v>700</v>
      </c>
      <c r="B1696">
        <v>31</v>
      </c>
      <c r="R1696">
        <v>0</v>
      </c>
      <c r="T1696">
        <v>0</v>
      </c>
      <c r="X1696">
        <v>0</v>
      </c>
    </row>
    <row r="1697" spans="1:24" x14ac:dyDescent="0.3">
      <c r="A1697" t="s">
        <v>701</v>
      </c>
      <c r="B1697">
        <v>31</v>
      </c>
      <c r="P1697">
        <v>0</v>
      </c>
      <c r="R1697">
        <v>1</v>
      </c>
      <c r="S1697">
        <v>0</v>
      </c>
      <c r="T1697">
        <v>0</v>
      </c>
      <c r="W1697">
        <v>0</v>
      </c>
      <c r="X1697">
        <v>1</v>
      </c>
    </row>
    <row r="1698" spans="1:24" x14ac:dyDescent="0.3">
      <c r="A1698" t="s">
        <v>702</v>
      </c>
      <c r="B1698">
        <v>31</v>
      </c>
      <c r="P1698">
        <v>0</v>
      </c>
      <c r="R1698">
        <v>0</v>
      </c>
      <c r="S1698">
        <v>0</v>
      </c>
      <c r="T1698">
        <v>0</v>
      </c>
      <c r="W1698">
        <v>0</v>
      </c>
      <c r="X1698">
        <v>0</v>
      </c>
    </row>
    <row r="1699" spans="1:24" x14ac:dyDescent="0.3">
      <c r="A1699" t="s">
        <v>52</v>
      </c>
      <c r="B1699">
        <v>31</v>
      </c>
      <c r="P1699">
        <v>1</v>
      </c>
      <c r="R1699">
        <v>1</v>
      </c>
      <c r="S1699">
        <v>1</v>
      </c>
      <c r="T1699">
        <v>1</v>
      </c>
      <c r="W1699">
        <v>1</v>
      </c>
      <c r="X1699">
        <v>1</v>
      </c>
    </row>
    <row r="1700" spans="1:24" x14ac:dyDescent="0.3">
      <c r="A1700" t="s">
        <v>703</v>
      </c>
      <c r="B1700">
        <v>31</v>
      </c>
      <c r="P1700">
        <v>15</v>
      </c>
      <c r="R1700">
        <v>9</v>
      </c>
      <c r="S1700">
        <v>15</v>
      </c>
      <c r="T1700">
        <v>60</v>
      </c>
      <c r="W1700">
        <v>60</v>
      </c>
      <c r="X1700">
        <v>9</v>
      </c>
    </row>
    <row r="1701" spans="1:24" x14ac:dyDescent="0.3">
      <c r="A1701" t="s">
        <v>43</v>
      </c>
      <c r="B1701">
        <v>31</v>
      </c>
      <c r="P1701">
        <v>20</v>
      </c>
      <c r="R1701">
        <v>20</v>
      </c>
      <c r="S1701">
        <v>20</v>
      </c>
      <c r="T1701">
        <v>100</v>
      </c>
      <c r="W1701">
        <v>100</v>
      </c>
      <c r="X1701">
        <v>20</v>
      </c>
    </row>
    <row r="1702" spans="1:24" x14ac:dyDescent="0.3">
      <c r="A1702" t="s">
        <v>44</v>
      </c>
      <c r="B1702">
        <v>31</v>
      </c>
      <c r="P1702">
        <v>0</v>
      </c>
      <c r="R1702">
        <v>0</v>
      </c>
      <c r="S1702">
        <v>0</v>
      </c>
      <c r="T1702">
        <v>0</v>
      </c>
      <c r="W1702">
        <v>0</v>
      </c>
      <c r="X1702">
        <v>0</v>
      </c>
    </row>
    <row r="1703" spans="1:24" x14ac:dyDescent="0.3">
      <c r="A1703" t="s">
        <v>47</v>
      </c>
      <c r="B1703">
        <v>31</v>
      </c>
      <c r="P1703">
        <v>4</v>
      </c>
      <c r="R1703">
        <v>4</v>
      </c>
      <c r="S1703">
        <v>5</v>
      </c>
      <c r="T1703">
        <v>2</v>
      </c>
      <c r="W1703">
        <v>6</v>
      </c>
      <c r="X1703">
        <v>6</v>
      </c>
    </row>
    <row r="1704" spans="1:24" x14ac:dyDescent="0.3">
      <c r="A1704" t="s">
        <v>704</v>
      </c>
      <c r="B1704">
        <v>31</v>
      </c>
      <c r="P1704">
        <v>0</v>
      </c>
      <c r="R1704">
        <v>0</v>
      </c>
      <c r="S1704">
        <v>0</v>
      </c>
      <c r="T1704">
        <v>0</v>
      </c>
      <c r="W1704">
        <v>0</v>
      </c>
      <c r="X1704">
        <v>0</v>
      </c>
    </row>
    <row r="1705" spans="1:24" x14ac:dyDescent="0.3">
      <c r="A1705" t="s">
        <v>705</v>
      </c>
      <c r="B1705">
        <v>31</v>
      </c>
      <c r="P1705">
        <v>0</v>
      </c>
      <c r="R1705">
        <v>0</v>
      </c>
      <c r="S1705">
        <v>0</v>
      </c>
      <c r="T1705">
        <v>0</v>
      </c>
      <c r="W1705">
        <v>0</v>
      </c>
      <c r="X1705">
        <v>0</v>
      </c>
    </row>
    <row r="1706" spans="1:24" x14ac:dyDescent="0.3">
      <c r="A1706" t="s">
        <v>706</v>
      </c>
      <c r="B1706">
        <v>31</v>
      </c>
      <c r="P1706">
        <v>0</v>
      </c>
      <c r="R1706">
        <v>0</v>
      </c>
      <c r="S1706">
        <v>0</v>
      </c>
      <c r="T1706">
        <v>0</v>
      </c>
      <c r="W1706">
        <v>0</v>
      </c>
      <c r="X1706">
        <v>0</v>
      </c>
    </row>
    <row r="1707" spans="1:24" x14ac:dyDescent="0.3">
      <c r="A1707" t="s">
        <v>707</v>
      </c>
      <c r="B1707">
        <v>31</v>
      </c>
      <c r="P1707">
        <v>0</v>
      </c>
      <c r="R1707">
        <v>0</v>
      </c>
      <c r="S1707">
        <v>0</v>
      </c>
      <c r="T1707">
        <v>0</v>
      </c>
      <c r="W1707">
        <v>0</v>
      </c>
      <c r="X1707">
        <v>0</v>
      </c>
    </row>
    <row r="1708" spans="1:24" x14ac:dyDescent="0.3">
      <c r="A1708" t="s">
        <v>708</v>
      </c>
      <c r="B1708">
        <v>31</v>
      </c>
      <c r="P1708">
        <v>1</v>
      </c>
      <c r="R1708">
        <v>1</v>
      </c>
      <c r="S1708">
        <v>1</v>
      </c>
      <c r="T1708">
        <v>2</v>
      </c>
      <c r="W1708">
        <v>2</v>
      </c>
      <c r="X1708">
        <v>1</v>
      </c>
    </row>
    <row r="1709" spans="1:24" x14ac:dyDescent="0.3">
      <c r="A1709" t="s">
        <v>709</v>
      </c>
      <c r="B1709">
        <v>31</v>
      </c>
      <c r="P1709">
        <v>0</v>
      </c>
      <c r="R1709">
        <v>0</v>
      </c>
      <c r="S1709">
        <v>0</v>
      </c>
      <c r="T1709">
        <v>0</v>
      </c>
      <c r="W1709">
        <v>0</v>
      </c>
      <c r="X1709">
        <v>0</v>
      </c>
    </row>
    <row r="1710" spans="1:24" x14ac:dyDescent="0.3">
      <c r="A1710" t="s">
        <v>710</v>
      </c>
      <c r="B1710">
        <v>31</v>
      </c>
      <c r="P1710">
        <v>20</v>
      </c>
      <c r="R1710">
        <v>20</v>
      </c>
      <c r="S1710">
        <v>20</v>
      </c>
      <c r="T1710">
        <v>6</v>
      </c>
      <c r="W1710">
        <v>6</v>
      </c>
      <c r="X1710">
        <v>20</v>
      </c>
    </row>
    <row r="1711" spans="1:24" x14ac:dyDescent="0.3">
      <c r="A1711" t="s">
        <v>711</v>
      </c>
      <c r="B1711">
        <v>31</v>
      </c>
      <c r="P1711">
        <v>3</v>
      </c>
      <c r="R1711">
        <v>3</v>
      </c>
      <c r="S1711">
        <v>3</v>
      </c>
      <c r="T1711">
        <v>3</v>
      </c>
      <c r="W1711">
        <v>3</v>
      </c>
      <c r="X1711">
        <v>3</v>
      </c>
    </row>
    <row r="1712" spans="1:24" x14ac:dyDescent="0.3">
      <c r="A1712" t="s">
        <v>712</v>
      </c>
      <c r="B1712">
        <v>31</v>
      </c>
      <c r="P1712">
        <v>0</v>
      </c>
      <c r="R1712">
        <v>0</v>
      </c>
      <c r="S1712">
        <v>0</v>
      </c>
      <c r="T1712">
        <v>0</v>
      </c>
      <c r="W1712">
        <v>0</v>
      </c>
      <c r="X1712">
        <v>0</v>
      </c>
    </row>
    <row r="1713" spans="1:24" x14ac:dyDescent="0.3">
      <c r="A1713" t="s">
        <v>713</v>
      </c>
      <c r="B1713">
        <v>31</v>
      </c>
      <c r="P1713">
        <v>0</v>
      </c>
      <c r="R1713">
        <v>0</v>
      </c>
      <c r="S1713">
        <v>0</v>
      </c>
      <c r="T1713">
        <v>0</v>
      </c>
      <c r="W1713">
        <v>0</v>
      </c>
      <c r="X1713">
        <v>0</v>
      </c>
    </row>
    <row r="1714" spans="1:24" x14ac:dyDescent="0.3">
      <c r="A1714" t="s">
        <v>714</v>
      </c>
      <c r="B1714">
        <v>31</v>
      </c>
      <c r="P1714">
        <v>0</v>
      </c>
      <c r="R1714">
        <v>0</v>
      </c>
      <c r="S1714">
        <v>0</v>
      </c>
      <c r="T1714">
        <v>0</v>
      </c>
      <c r="W1714">
        <v>0</v>
      </c>
      <c r="X1714">
        <v>0</v>
      </c>
    </row>
    <row r="1715" spans="1:24" x14ac:dyDescent="0.3">
      <c r="A1715" t="s">
        <v>715</v>
      </c>
      <c r="B1715">
        <v>31</v>
      </c>
      <c r="T1715">
        <v>94</v>
      </c>
      <c r="W1715">
        <v>94</v>
      </c>
    </row>
    <row r="1716" spans="1:24" x14ac:dyDescent="0.3">
      <c r="A1716" t="s">
        <v>716</v>
      </c>
      <c r="B1716">
        <v>31</v>
      </c>
      <c r="T1716">
        <v>6</v>
      </c>
      <c r="W1716">
        <v>6</v>
      </c>
    </row>
    <row r="1717" spans="1:24" x14ac:dyDescent="0.3">
      <c r="A1717" t="s">
        <v>717</v>
      </c>
      <c r="B1717">
        <v>31</v>
      </c>
      <c r="T1717">
        <v>3</v>
      </c>
      <c r="W1717">
        <v>3</v>
      </c>
    </row>
    <row r="1718" spans="1:24" x14ac:dyDescent="0.3">
      <c r="A1718" t="s">
        <v>718</v>
      </c>
      <c r="B1718">
        <v>31</v>
      </c>
      <c r="T1718">
        <v>0</v>
      </c>
      <c r="W1718">
        <v>0</v>
      </c>
    </row>
    <row r="1719" spans="1:24" x14ac:dyDescent="0.3">
      <c r="A1719" t="s">
        <v>719</v>
      </c>
      <c r="B1719">
        <v>31</v>
      </c>
      <c r="P1719">
        <v>0</v>
      </c>
      <c r="T1719">
        <v>0</v>
      </c>
      <c r="W1719">
        <v>0</v>
      </c>
    </row>
    <row r="1720" spans="1:24" x14ac:dyDescent="0.3">
      <c r="A1720" t="s">
        <v>405</v>
      </c>
      <c r="B1720">
        <v>31</v>
      </c>
      <c r="P1720">
        <v>0</v>
      </c>
    </row>
    <row r="1721" spans="1:24" x14ac:dyDescent="0.3">
      <c r="A1721" t="s">
        <v>720</v>
      </c>
      <c r="B1721">
        <v>31</v>
      </c>
      <c r="P1721">
        <v>64</v>
      </c>
      <c r="R1721">
        <v>67</v>
      </c>
      <c r="S1721">
        <v>129</v>
      </c>
      <c r="T1721">
        <v>985</v>
      </c>
      <c r="W1721">
        <v>910</v>
      </c>
      <c r="X1721">
        <v>30</v>
      </c>
    </row>
    <row r="1722" spans="1:24" x14ac:dyDescent="0.3">
      <c r="A1722" t="s">
        <v>34</v>
      </c>
      <c r="B1722">
        <v>33</v>
      </c>
      <c r="P1722">
        <v>35</v>
      </c>
      <c r="R1722">
        <v>35</v>
      </c>
      <c r="S1722">
        <v>31</v>
      </c>
      <c r="T1722">
        <v>31</v>
      </c>
      <c r="W1722">
        <v>34</v>
      </c>
      <c r="X1722">
        <v>34</v>
      </c>
    </row>
    <row r="1723" spans="1:24" x14ac:dyDescent="0.3">
      <c r="A1723" t="s">
        <v>35</v>
      </c>
      <c r="B1723">
        <v>33</v>
      </c>
      <c r="P1723">
        <v>34</v>
      </c>
      <c r="R1723">
        <v>31</v>
      </c>
      <c r="S1723">
        <v>35</v>
      </c>
      <c r="T1723">
        <v>34</v>
      </c>
      <c r="W1723">
        <v>31</v>
      </c>
      <c r="X1723">
        <v>35</v>
      </c>
    </row>
    <row r="1724" spans="1:24" x14ac:dyDescent="0.3">
      <c r="A1724" t="s">
        <v>36</v>
      </c>
      <c r="B1724">
        <v>33</v>
      </c>
      <c r="P1724">
        <v>1</v>
      </c>
      <c r="R1724">
        <v>1</v>
      </c>
      <c r="S1724">
        <v>1</v>
      </c>
      <c r="T1724">
        <v>3</v>
      </c>
      <c r="W1724">
        <v>3</v>
      </c>
      <c r="X1724">
        <v>1</v>
      </c>
    </row>
    <row r="1725" spans="1:24" x14ac:dyDescent="0.3">
      <c r="A1725" t="s">
        <v>37</v>
      </c>
      <c r="B1725">
        <v>33</v>
      </c>
      <c r="P1725">
        <v>0</v>
      </c>
      <c r="S1725">
        <v>0</v>
      </c>
      <c r="T1725">
        <v>0</v>
      </c>
      <c r="W1725">
        <v>0</v>
      </c>
    </row>
    <row r="1726" spans="1:24" x14ac:dyDescent="0.3">
      <c r="A1726" t="s">
        <v>38</v>
      </c>
      <c r="B1726">
        <v>33</v>
      </c>
      <c r="P1726">
        <v>12</v>
      </c>
      <c r="R1726">
        <v>12</v>
      </c>
      <c r="S1726">
        <v>12</v>
      </c>
      <c r="T1726">
        <v>12</v>
      </c>
      <c r="W1726">
        <v>12</v>
      </c>
      <c r="X1726">
        <v>12</v>
      </c>
    </row>
    <row r="1727" spans="1:24" x14ac:dyDescent="0.3">
      <c r="A1727" t="s">
        <v>39</v>
      </c>
      <c r="B1727">
        <v>33</v>
      </c>
      <c r="P1727">
        <v>115</v>
      </c>
      <c r="S1727">
        <v>520</v>
      </c>
      <c r="X1727">
        <v>360</v>
      </c>
    </row>
    <row r="1728" spans="1:24" x14ac:dyDescent="0.3">
      <c r="A1728" t="s">
        <v>695</v>
      </c>
      <c r="B1728">
        <v>33</v>
      </c>
      <c r="P1728">
        <v>25</v>
      </c>
      <c r="S1728">
        <v>160</v>
      </c>
      <c r="X1728">
        <v>145</v>
      </c>
    </row>
    <row r="1729" spans="1:24" x14ac:dyDescent="0.3">
      <c r="A1729" t="s">
        <v>40</v>
      </c>
      <c r="B1729">
        <v>33</v>
      </c>
      <c r="P1729">
        <v>1</v>
      </c>
      <c r="S1729">
        <v>1</v>
      </c>
      <c r="X1729">
        <v>1</v>
      </c>
    </row>
    <row r="1730" spans="1:24" x14ac:dyDescent="0.3">
      <c r="A1730" t="s">
        <v>41</v>
      </c>
      <c r="B1730">
        <v>33</v>
      </c>
    </row>
    <row r="1731" spans="1:24" x14ac:dyDescent="0.3">
      <c r="A1731" t="s">
        <v>42</v>
      </c>
      <c r="B1731">
        <v>33</v>
      </c>
      <c r="P1731">
        <v>25</v>
      </c>
      <c r="T1731">
        <v>45</v>
      </c>
      <c r="W1731">
        <v>45</v>
      </c>
    </row>
    <row r="1732" spans="1:24" x14ac:dyDescent="0.3">
      <c r="A1732" t="s">
        <v>45</v>
      </c>
      <c r="B1732">
        <v>33</v>
      </c>
      <c r="P1732">
        <v>4</v>
      </c>
      <c r="S1732">
        <v>5</v>
      </c>
      <c r="T1732">
        <v>2</v>
      </c>
      <c r="W1732">
        <v>6</v>
      </c>
    </row>
    <row r="1733" spans="1:24" x14ac:dyDescent="0.3">
      <c r="A1733" t="s">
        <v>46</v>
      </c>
      <c r="B1733">
        <v>33</v>
      </c>
      <c r="R1733">
        <v>4</v>
      </c>
      <c r="S1733">
        <v>2</v>
      </c>
      <c r="X1733">
        <v>6</v>
      </c>
    </row>
    <row r="1734" spans="1:24" x14ac:dyDescent="0.3">
      <c r="A1734" t="s">
        <v>49</v>
      </c>
      <c r="B1734">
        <v>33</v>
      </c>
      <c r="P1734">
        <v>7</v>
      </c>
      <c r="R1734">
        <v>7</v>
      </c>
      <c r="S1734">
        <v>5.8</v>
      </c>
      <c r="T1734">
        <v>5.7</v>
      </c>
      <c r="W1734">
        <v>6.1</v>
      </c>
      <c r="X1734">
        <v>6.1</v>
      </c>
    </row>
    <row r="1735" spans="1:24" x14ac:dyDescent="0.3">
      <c r="A1735" t="s">
        <v>696</v>
      </c>
      <c r="B1735">
        <v>33</v>
      </c>
      <c r="P1735">
        <v>0</v>
      </c>
      <c r="R1735">
        <v>0</v>
      </c>
      <c r="S1735">
        <v>0</v>
      </c>
      <c r="T1735">
        <v>0</v>
      </c>
      <c r="W1735">
        <v>0</v>
      </c>
      <c r="X1735">
        <v>0</v>
      </c>
    </row>
    <row r="1736" spans="1:24" x14ac:dyDescent="0.3">
      <c r="A1736" t="s">
        <v>48</v>
      </c>
      <c r="B1736">
        <v>33</v>
      </c>
      <c r="P1736">
        <v>1900</v>
      </c>
      <c r="R1736">
        <v>1900</v>
      </c>
      <c r="S1736">
        <v>1900</v>
      </c>
      <c r="T1736">
        <v>1900</v>
      </c>
      <c r="W1736">
        <v>1900</v>
      </c>
      <c r="X1736">
        <v>1900</v>
      </c>
    </row>
    <row r="1737" spans="1:24" x14ac:dyDescent="0.3">
      <c r="A1737" t="s">
        <v>697</v>
      </c>
      <c r="B1737">
        <v>33</v>
      </c>
      <c r="P1737">
        <v>1770</v>
      </c>
      <c r="R1737">
        <v>1583</v>
      </c>
      <c r="S1737">
        <v>1770</v>
      </c>
      <c r="T1737">
        <v>5085</v>
      </c>
      <c r="W1737">
        <v>5085</v>
      </c>
      <c r="X1737">
        <v>1583</v>
      </c>
    </row>
    <row r="1738" spans="1:24" x14ac:dyDescent="0.3">
      <c r="A1738" t="s">
        <v>50</v>
      </c>
      <c r="B1738">
        <v>33</v>
      </c>
      <c r="P1738">
        <v>1770</v>
      </c>
      <c r="R1738">
        <v>1583</v>
      </c>
      <c r="S1738">
        <v>531</v>
      </c>
      <c r="T1738">
        <v>5085</v>
      </c>
      <c r="W1738">
        <v>5085</v>
      </c>
      <c r="X1738">
        <v>1583</v>
      </c>
    </row>
    <row r="1739" spans="1:24" x14ac:dyDescent="0.3">
      <c r="A1739" t="s">
        <v>698</v>
      </c>
      <c r="B1739">
        <v>33</v>
      </c>
      <c r="P1739">
        <v>1</v>
      </c>
      <c r="R1739">
        <v>1</v>
      </c>
      <c r="S1739">
        <v>1</v>
      </c>
      <c r="T1739">
        <v>1</v>
      </c>
      <c r="W1739">
        <v>1</v>
      </c>
      <c r="X1739">
        <v>1</v>
      </c>
    </row>
    <row r="1740" spans="1:24" x14ac:dyDescent="0.3">
      <c r="A1740" t="s">
        <v>51</v>
      </c>
      <c r="B1740">
        <v>33</v>
      </c>
      <c r="P1740">
        <v>0</v>
      </c>
      <c r="R1740">
        <v>99</v>
      </c>
      <c r="S1740">
        <v>0</v>
      </c>
      <c r="T1740">
        <v>0</v>
      </c>
      <c r="W1740">
        <v>0</v>
      </c>
      <c r="X1740">
        <v>38</v>
      </c>
    </row>
    <row r="1741" spans="1:24" x14ac:dyDescent="0.3">
      <c r="A1741" t="s">
        <v>53</v>
      </c>
      <c r="B1741">
        <v>33</v>
      </c>
      <c r="P1741">
        <v>56</v>
      </c>
      <c r="R1741">
        <v>91</v>
      </c>
      <c r="S1741">
        <v>86</v>
      </c>
      <c r="T1741">
        <v>887</v>
      </c>
      <c r="W1741">
        <v>823</v>
      </c>
      <c r="X1741">
        <v>35</v>
      </c>
    </row>
    <row r="1742" spans="1:24" x14ac:dyDescent="0.3">
      <c r="A1742" t="s">
        <v>54</v>
      </c>
      <c r="B1742">
        <v>33</v>
      </c>
      <c r="P1742">
        <v>0</v>
      </c>
      <c r="R1742">
        <v>0</v>
      </c>
      <c r="S1742">
        <v>0</v>
      </c>
      <c r="T1742">
        <v>0</v>
      </c>
      <c r="W1742">
        <v>0</v>
      </c>
      <c r="X1742">
        <v>0</v>
      </c>
    </row>
    <row r="1743" spans="1:24" x14ac:dyDescent="0.3">
      <c r="A1743" t="s">
        <v>55</v>
      </c>
      <c r="B1743">
        <v>33</v>
      </c>
      <c r="P1743">
        <v>0</v>
      </c>
      <c r="R1743">
        <v>0</v>
      </c>
      <c r="S1743">
        <v>0</v>
      </c>
      <c r="T1743">
        <v>0</v>
      </c>
      <c r="W1743">
        <v>0</v>
      </c>
      <c r="X1743">
        <v>0</v>
      </c>
    </row>
    <row r="1744" spans="1:24" x14ac:dyDescent="0.3">
      <c r="A1744" t="s">
        <v>56</v>
      </c>
      <c r="B1744">
        <v>33</v>
      </c>
      <c r="P1744">
        <v>0.92</v>
      </c>
      <c r="R1744">
        <v>0.92</v>
      </c>
      <c r="S1744">
        <v>0.92</v>
      </c>
      <c r="T1744">
        <v>0.92</v>
      </c>
      <c r="W1744">
        <v>0.92</v>
      </c>
      <c r="X1744">
        <v>0.92</v>
      </c>
    </row>
    <row r="1745" spans="1:24" x14ac:dyDescent="0.3">
      <c r="A1745" t="s">
        <v>57</v>
      </c>
      <c r="B1745">
        <v>33</v>
      </c>
      <c r="P1745">
        <v>100</v>
      </c>
      <c r="R1745">
        <v>100</v>
      </c>
      <c r="S1745">
        <v>100</v>
      </c>
      <c r="T1745">
        <v>100</v>
      </c>
      <c r="W1745">
        <v>100</v>
      </c>
      <c r="X1745">
        <v>100</v>
      </c>
    </row>
    <row r="1746" spans="1:24" x14ac:dyDescent="0.3">
      <c r="A1746" t="s">
        <v>58</v>
      </c>
      <c r="B1746">
        <v>33</v>
      </c>
      <c r="P1746">
        <v>2</v>
      </c>
      <c r="R1746">
        <v>2</v>
      </c>
      <c r="S1746">
        <v>2</v>
      </c>
      <c r="T1746">
        <v>2</v>
      </c>
      <c r="W1746">
        <v>2</v>
      </c>
      <c r="X1746">
        <v>2</v>
      </c>
    </row>
    <row r="1747" spans="1:24" x14ac:dyDescent="0.3">
      <c r="A1747" t="s">
        <v>59</v>
      </c>
      <c r="B1747">
        <v>33</v>
      </c>
      <c r="P1747">
        <v>0</v>
      </c>
      <c r="R1747">
        <v>0</v>
      </c>
      <c r="S1747">
        <v>0</v>
      </c>
      <c r="T1747">
        <v>0</v>
      </c>
      <c r="W1747">
        <v>0</v>
      </c>
      <c r="X1747">
        <v>0</v>
      </c>
    </row>
    <row r="1748" spans="1:24" x14ac:dyDescent="0.3">
      <c r="A1748" t="s">
        <v>699</v>
      </c>
      <c r="B1748">
        <v>33</v>
      </c>
      <c r="P1748">
        <v>0</v>
      </c>
      <c r="T1748">
        <v>0</v>
      </c>
      <c r="W1748">
        <v>0</v>
      </c>
    </row>
    <row r="1749" spans="1:24" x14ac:dyDescent="0.3">
      <c r="A1749" t="s">
        <v>678</v>
      </c>
      <c r="B1749">
        <v>33</v>
      </c>
      <c r="P1749">
        <v>375</v>
      </c>
      <c r="T1749">
        <v>2608</v>
      </c>
      <c r="W1749">
        <v>1440</v>
      </c>
    </row>
    <row r="1750" spans="1:24" x14ac:dyDescent="0.3">
      <c r="A1750" t="s">
        <v>78</v>
      </c>
      <c r="B1750">
        <v>33</v>
      </c>
      <c r="P1750">
        <v>10.199999999999999</v>
      </c>
      <c r="T1750">
        <v>39.5</v>
      </c>
      <c r="W1750">
        <v>21.8</v>
      </c>
    </row>
    <row r="1751" spans="1:24" x14ac:dyDescent="0.3">
      <c r="A1751" t="s">
        <v>700</v>
      </c>
      <c r="B1751">
        <v>33</v>
      </c>
      <c r="R1751">
        <v>0</v>
      </c>
      <c r="T1751">
        <v>0</v>
      </c>
      <c r="X1751">
        <v>0</v>
      </c>
    </row>
    <row r="1752" spans="1:24" x14ac:dyDescent="0.3">
      <c r="A1752" t="s">
        <v>701</v>
      </c>
      <c r="B1752">
        <v>33</v>
      </c>
      <c r="P1752">
        <v>0</v>
      </c>
      <c r="R1752">
        <v>1</v>
      </c>
      <c r="S1752">
        <v>0</v>
      </c>
      <c r="T1752">
        <v>0</v>
      </c>
      <c r="W1752">
        <v>0</v>
      </c>
      <c r="X1752">
        <v>1</v>
      </c>
    </row>
    <row r="1753" spans="1:24" x14ac:dyDescent="0.3">
      <c r="A1753" t="s">
        <v>702</v>
      </c>
      <c r="B1753">
        <v>33</v>
      </c>
      <c r="P1753">
        <v>0</v>
      </c>
      <c r="R1753">
        <v>0</v>
      </c>
      <c r="S1753">
        <v>0</v>
      </c>
      <c r="T1753">
        <v>0</v>
      </c>
      <c r="W1753">
        <v>0</v>
      </c>
      <c r="X1753">
        <v>0</v>
      </c>
    </row>
    <row r="1754" spans="1:24" x14ac:dyDescent="0.3">
      <c r="A1754" t="s">
        <v>52</v>
      </c>
      <c r="B1754">
        <v>33</v>
      </c>
      <c r="P1754">
        <v>1</v>
      </c>
      <c r="R1754">
        <v>1</v>
      </c>
      <c r="S1754">
        <v>1</v>
      </c>
      <c r="T1754">
        <v>1</v>
      </c>
      <c r="W1754">
        <v>1</v>
      </c>
      <c r="X1754">
        <v>1</v>
      </c>
    </row>
    <row r="1755" spans="1:24" x14ac:dyDescent="0.3">
      <c r="A1755" t="s">
        <v>703</v>
      </c>
      <c r="B1755">
        <v>33</v>
      </c>
      <c r="P1755">
        <v>15</v>
      </c>
      <c r="R1755">
        <v>9</v>
      </c>
      <c r="S1755">
        <v>15</v>
      </c>
      <c r="T1755">
        <v>60</v>
      </c>
      <c r="W1755">
        <v>60</v>
      </c>
      <c r="X1755">
        <v>9</v>
      </c>
    </row>
    <row r="1756" spans="1:24" x14ac:dyDescent="0.3">
      <c r="A1756" t="s">
        <v>43</v>
      </c>
      <c r="B1756">
        <v>33</v>
      </c>
      <c r="P1756">
        <v>20</v>
      </c>
      <c r="R1756">
        <v>20</v>
      </c>
      <c r="S1756">
        <v>20</v>
      </c>
      <c r="T1756">
        <v>100</v>
      </c>
      <c r="W1756">
        <v>100</v>
      </c>
      <c r="X1756">
        <v>20</v>
      </c>
    </row>
    <row r="1757" spans="1:24" x14ac:dyDescent="0.3">
      <c r="A1757" t="s">
        <v>44</v>
      </c>
      <c r="B1757">
        <v>33</v>
      </c>
      <c r="P1757">
        <v>0</v>
      </c>
      <c r="R1757">
        <v>0</v>
      </c>
      <c r="S1757">
        <v>0</v>
      </c>
      <c r="T1757">
        <v>0</v>
      </c>
      <c r="W1757">
        <v>0</v>
      </c>
      <c r="X1757">
        <v>0</v>
      </c>
    </row>
    <row r="1758" spans="1:24" x14ac:dyDescent="0.3">
      <c r="A1758" t="s">
        <v>47</v>
      </c>
      <c r="B1758">
        <v>33</v>
      </c>
      <c r="P1758">
        <v>4</v>
      </c>
      <c r="R1758">
        <v>4</v>
      </c>
      <c r="S1758">
        <v>5</v>
      </c>
      <c r="T1758">
        <v>2</v>
      </c>
      <c r="W1758">
        <v>6</v>
      </c>
      <c r="X1758">
        <v>6</v>
      </c>
    </row>
    <row r="1759" spans="1:24" x14ac:dyDescent="0.3">
      <c r="A1759" t="s">
        <v>704</v>
      </c>
      <c r="B1759">
        <v>33</v>
      </c>
      <c r="P1759">
        <v>0</v>
      </c>
      <c r="R1759">
        <v>0</v>
      </c>
      <c r="S1759">
        <v>0</v>
      </c>
      <c r="T1759">
        <v>0</v>
      </c>
      <c r="W1759">
        <v>0</v>
      </c>
      <c r="X1759">
        <v>0</v>
      </c>
    </row>
    <row r="1760" spans="1:24" x14ac:dyDescent="0.3">
      <c r="A1760" t="s">
        <v>705</v>
      </c>
      <c r="B1760">
        <v>33</v>
      </c>
      <c r="P1760">
        <v>0</v>
      </c>
      <c r="R1760">
        <v>0</v>
      </c>
      <c r="S1760">
        <v>0</v>
      </c>
      <c r="T1760">
        <v>0</v>
      </c>
      <c r="W1760">
        <v>0</v>
      </c>
      <c r="X1760">
        <v>0</v>
      </c>
    </row>
    <row r="1761" spans="1:24" x14ac:dyDescent="0.3">
      <c r="A1761" t="s">
        <v>706</v>
      </c>
      <c r="B1761">
        <v>33</v>
      </c>
      <c r="P1761">
        <v>0</v>
      </c>
      <c r="R1761">
        <v>0</v>
      </c>
      <c r="S1761">
        <v>0</v>
      </c>
      <c r="T1761">
        <v>0</v>
      </c>
      <c r="W1761">
        <v>0</v>
      </c>
      <c r="X1761">
        <v>0</v>
      </c>
    </row>
    <row r="1762" spans="1:24" x14ac:dyDescent="0.3">
      <c r="A1762" t="s">
        <v>707</v>
      </c>
      <c r="B1762">
        <v>33</v>
      </c>
      <c r="P1762">
        <v>0</v>
      </c>
      <c r="R1762">
        <v>0</v>
      </c>
      <c r="S1762">
        <v>0</v>
      </c>
      <c r="T1762">
        <v>0</v>
      </c>
      <c r="W1762">
        <v>0</v>
      </c>
      <c r="X1762">
        <v>0</v>
      </c>
    </row>
    <row r="1763" spans="1:24" x14ac:dyDescent="0.3">
      <c r="A1763" t="s">
        <v>708</v>
      </c>
      <c r="B1763">
        <v>33</v>
      </c>
      <c r="P1763">
        <v>1</v>
      </c>
      <c r="R1763">
        <v>1</v>
      </c>
      <c r="S1763">
        <v>1</v>
      </c>
      <c r="T1763">
        <v>2</v>
      </c>
      <c r="W1763">
        <v>2</v>
      </c>
      <c r="X1763">
        <v>1</v>
      </c>
    </row>
    <row r="1764" spans="1:24" x14ac:dyDescent="0.3">
      <c r="A1764" t="s">
        <v>709</v>
      </c>
      <c r="B1764">
        <v>33</v>
      </c>
      <c r="P1764">
        <v>0</v>
      </c>
      <c r="R1764">
        <v>0</v>
      </c>
      <c r="S1764">
        <v>0</v>
      </c>
      <c r="T1764">
        <v>0</v>
      </c>
      <c r="W1764">
        <v>0</v>
      </c>
      <c r="X1764">
        <v>0</v>
      </c>
    </row>
    <row r="1765" spans="1:24" x14ac:dyDescent="0.3">
      <c r="A1765" t="s">
        <v>710</v>
      </c>
      <c r="B1765">
        <v>33</v>
      </c>
      <c r="P1765">
        <v>20</v>
      </c>
      <c r="R1765">
        <v>20</v>
      </c>
      <c r="S1765">
        <v>20</v>
      </c>
      <c r="T1765">
        <v>6</v>
      </c>
      <c r="W1765">
        <v>6</v>
      </c>
      <c r="X1765">
        <v>20</v>
      </c>
    </row>
    <row r="1766" spans="1:24" x14ac:dyDescent="0.3">
      <c r="A1766" t="s">
        <v>711</v>
      </c>
      <c r="B1766">
        <v>33</v>
      </c>
      <c r="P1766">
        <v>3</v>
      </c>
      <c r="R1766">
        <v>3</v>
      </c>
      <c r="S1766">
        <v>3</v>
      </c>
      <c r="T1766">
        <v>3</v>
      </c>
      <c r="W1766">
        <v>3</v>
      </c>
      <c r="X1766">
        <v>3</v>
      </c>
    </row>
    <row r="1767" spans="1:24" x14ac:dyDescent="0.3">
      <c r="A1767" t="s">
        <v>712</v>
      </c>
      <c r="B1767">
        <v>33</v>
      </c>
      <c r="P1767">
        <v>0</v>
      </c>
      <c r="R1767">
        <v>0</v>
      </c>
      <c r="S1767">
        <v>0</v>
      </c>
      <c r="T1767">
        <v>0</v>
      </c>
      <c r="W1767">
        <v>0</v>
      </c>
      <c r="X1767">
        <v>0</v>
      </c>
    </row>
    <row r="1768" spans="1:24" x14ac:dyDescent="0.3">
      <c r="A1768" t="s">
        <v>713</v>
      </c>
      <c r="B1768">
        <v>33</v>
      </c>
      <c r="P1768">
        <v>0</v>
      </c>
      <c r="R1768">
        <v>0</v>
      </c>
      <c r="S1768">
        <v>0</v>
      </c>
      <c r="T1768">
        <v>0</v>
      </c>
      <c r="W1768">
        <v>0</v>
      </c>
      <c r="X1768">
        <v>0</v>
      </c>
    </row>
    <row r="1769" spans="1:24" x14ac:dyDescent="0.3">
      <c r="A1769" t="s">
        <v>714</v>
      </c>
      <c r="B1769">
        <v>33</v>
      </c>
      <c r="P1769">
        <v>0</v>
      </c>
      <c r="R1769">
        <v>0</v>
      </c>
      <c r="S1769">
        <v>0</v>
      </c>
      <c r="T1769">
        <v>0</v>
      </c>
      <c r="W1769">
        <v>0</v>
      </c>
      <c r="X1769">
        <v>0</v>
      </c>
    </row>
    <row r="1770" spans="1:24" x14ac:dyDescent="0.3">
      <c r="A1770" t="s">
        <v>715</v>
      </c>
      <c r="B1770">
        <v>33</v>
      </c>
      <c r="T1770">
        <v>94</v>
      </c>
      <c r="W1770">
        <v>94</v>
      </c>
    </row>
    <row r="1771" spans="1:24" x14ac:dyDescent="0.3">
      <c r="A1771" t="s">
        <v>716</v>
      </c>
      <c r="B1771">
        <v>33</v>
      </c>
      <c r="T1771">
        <v>6</v>
      </c>
      <c r="W1771">
        <v>6</v>
      </c>
    </row>
    <row r="1772" spans="1:24" x14ac:dyDescent="0.3">
      <c r="A1772" t="s">
        <v>717</v>
      </c>
      <c r="B1772">
        <v>33</v>
      </c>
      <c r="T1772">
        <v>3</v>
      </c>
      <c r="W1772">
        <v>3</v>
      </c>
    </row>
    <row r="1773" spans="1:24" x14ac:dyDescent="0.3">
      <c r="A1773" t="s">
        <v>718</v>
      </c>
      <c r="B1773">
        <v>33</v>
      </c>
      <c r="T1773">
        <v>0</v>
      </c>
      <c r="W1773">
        <v>0</v>
      </c>
    </row>
    <row r="1774" spans="1:24" x14ac:dyDescent="0.3">
      <c r="A1774" t="s">
        <v>719</v>
      </c>
      <c r="B1774">
        <v>33</v>
      </c>
      <c r="P1774">
        <v>0</v>
      </c>
      <c r="T1774">
        <v>0</v>
      </c>
      <c r="W1774">
        <v>0</v>
      </c>
    </row>
    <row r="1775" spans="1:24" x14ac:dyDescent="0.3">
      <c r="A1775" t="s">
        <v>405</v>
      </c>
      <c r="B1775">
        <v>33</v>
      </c>
      <c r="P1775">
        <v>0</v>
      </c>
    </row>
    <row r="1776" spans="1:24" x14ac:dyDescent="0.3">
      <c r="A1776" t="s">
        <v>720</v>
      </c>
      <c r="B1776">
        <v>33</v>
      </c>
      <c r="P1776">
        <v>61</v>
      </c>
      <c r="R1776">
        <v>99</v>
      </c>
      <c r="S1776">
        <v>93</v>
      </c>
      <c r="T1776">
        <v>964</v>
      </c>
      <c r="W1776">
        <v>895</v>
      </c>
      <c r="X1776">
        <v>38</v>
      </c>
    </row>
    <row r="1777" spans="1:27" x14ac:dyDescent="0.3">
      <c r="A1777" t="s">
        <v>34</v>
      </c>
      <c r="B1777">
        <v>34</v>
      </c>
      <c r="P1777">
        <v>37</v>
      </c>
      <c r="Q1777">
        <v>37</v>
      </c>
      <c r="R1777">
        <v>37</v>
      </c>
      <c r="S1777">
        <v>33</v>
      </c>
      <c r="T1777">
        <v>33</v>
      </c>
      <c r="U1777">
        <v>33</v>
      </c>
      <c r="V1777">
        <v>36</v>
      </c>
      <c r="W1777">
        <v>36</v>
      </c>
      <c r="X1777">
        <v>36</v>
      </c>
      <c r="Y1777">
        <v>38</v>
      </c>
      <c r="Z1777">
        <v>38</v>
      </c>
      <c r="AA1777">
        <v>38</v>
      </c>
    </row>
    <row r="1778" spans="1:27" x14ac:dyDescent="0.3">
      <c r="A1778" t="s">
        <v>35</v>
      </c>
      <c r="B1778">
        <v>34</v>
      </c>
      <c r="P1778">
        <v>36</v>
      </c>
      <c r="Q1778">
        <v>38</v>
      </c>
      <c r="R1778">
        <v>33</v>
      </c>
      <c r="S1778">
        <v>37</v>
      </c>
      <c r="T1778">
        <v>36</v>
      </c>
      <c r="U1778">
        <v>38</v>
      </c>
      <c r="V1778">
        <v>38</v>
      </c>
      <c r="W1778">
        <v>33</v>
      </c>
      <c r="X1778">
        <v>37</v>
      </c>
      <c r="Y1778">
        <v>33</v>
      </c>
      <c r="Z1778">
        <v>37</v>
      </c>
      <c r="AA1778">
        <v>36</v>
      </c>
    </row>
    <row r="1779" spans="1:27" x14ac:dyDescent="0.3">
      <c r="A1779" t="s">
        <v>36</v>
      </c>
      <c r="B1779">
        <v>34</v>
      </c>
      <c r="P1779">
        <v>1</v>
      </c>
      <c r="Q1779">
        <v>2</v>
      </c>
      <c r="R1779">
        <v>1</v>
      </c>
      <c r="S1779">
        <v>2</v>
      </c>
      <c r="T1779">
        <v>3</v>
      </c>
      <c r="U1779">
        <v>1</v>
      </c>
      <c r="V1779">
        <v>2</v>
      </c>
      <c r="W1779">
        <v>3</v>
      </c>
      <c r="X1779">
        <v>1</v>
      </c>
      <c r="Y1779">
        <v>2</v>
      </c>
      <c r="Z1779">
        <v>2</v>
      </c>
      <c r="AA1779">
        <v>0</v>
      </c>
    </row>
    <row r="1780" spans="1:27" x14ac:dyDescent="0.3">
      <c r="A1780" t="s">
        <v>37</v>
      </c>
      <c r="B1780">
        <v>34</v>
      </c>
      <c r="P1780">
        <v>0</v>
      </c>
      <c r="Q1780">
        <v>0</v>
      </c>
      <c r="S1780">
        <v>0</v>
      </c>
      <c r="T1780">
        <v>0</v>
      </c>
      <c r="V1780">
        <v>0</v>
      </c>
      <c r="W1780">
        <v>0</v>
      </c>
      <c r="Y1780">
        <v>0</v>
      </c>
      <c r="Z1780">
        <v>2</v>
      </c>
    </row>
    <row r="1781" spans="1:27" x14ac:dyDescent="0.3">
      <c r="A1781" t="s">
        <v>38</v>
      </c>
      <c r="B1781">
        <v>34</v>
      </c>
      <c r="P1781">
        <v>12</v>
      </c>
      <c r="Q1781">
        <v>12</v>
      </c>
      <c r="R1781">
        <v>12</v>
      </c>
      <c r="S1781">
        <v>12</v>
      </c>
      <c r="T1781">
        <v>12</v>
      </c>
      <c r="U1781">
        <v>12</v>
      </c>
      <c r="V1781">
        <v>12</v>
      </c>
      <c r="W1781">
        <v>12</v>
      </c>
      <c r="X1781">
        <v>12</v>
      </c>
      <c r="Y1781">
        <v>12</v>
      </c>
      <c r="Z1781">
        <v>12</v>
      </c>
      <c r="AA1781">
        <v>12</v>
      </c>
    </row>
    <row r="1782" spans="1:27" x14ac:dyDescent="0.3">
      <c r="A1782" t="s">
        <v>39</v>
      </c>
      <c r="B1782">
        <v>34</v>
      </c>
      <c r="P1782">
        <v>170</v>
      </c>
      <c r="S1782">
        <v>500</v>
      </c>
      <c r="U1782">
        <v>310</v>
      </c>
      <c r="V1782">
        <v>290</v>
      </c>
      <c r="X1782">
        <v>840</v>
      </c>
      <c r="Y1782">
        <v>340</v>
      </c>
    </row>
    <row r="1783" spans="1:27" x14ac:dyDescent="0.3">
      <c r="A1783" t="s">
        <v>695</v>
      </c>
      <c r="B1783">
        <v>34</v>
      </c>
      <c r="P1783">
        <v>95</v>
      </c>
      <c r="S1783">
        <v>170</v>
      </c>
      <c r="U1783">
        <v>110</v>
      </c>
      <c r="V1783">
        <v>125</v>
      </c>
      <c r="X1783">
        <v>90</v>
      </c>
      <c r="Y1783">
        <v>90</v>
      </c>
    </row>
    <row r="1784" spans="1:27" x14ac:dyDescent="0.3">
      <c r="A1784" t="s">
        <v>40</v>
      </c>
      <c r="B1784">
        <v>34</v>
      </c>
      <c r="P1784">
        <v>1</v>
      </c>
      <c r="S1784">
        <v>2</v>
      </c>
      <c r="U1784">
        <v>1</v>
      </c>
      <c r="V1784">
        <v>2</v>
      </c>
      <c r="X1784">
        <v>1</v>
      </c>
      <c r="Y1784">
        <v>1</v>
      </c>
    </row>
    <row r="1785" spans="1:27" x14ac:dyDescent="0.3">
      <c r="A1785" t="s">
        <v>41</v>
      </c>
      <c r="B1785">
        <v>34</v>
      </c>
    </row>
    <row r="1786" spans="1:27" x14ac:dyDescent="0.3">
      <c r="A1786" t="s">
        <v>42</v>
      </c>
      <c r="B1786">
        <v>34</v>
      </c>
      <c r="Q1786">
        <v>35</v>
      </c>
      <c r="T1786">
        <v>45</v>
      </c>
      <c r="W1786">
        <v>45</v>
      </c>
      <c r="Z1786">
        <v>35</v>
      </c>
    </row>
    <row r="1787" spans="1:27" x14ac:dyDescent="0.3">
      <c r="A1787" t="s">
        <v>45</v>
      </c>
      <c r="B1787">
        <v>34</v>
      </c>
      <c r="P1787">
        <v>3</v>
      </c>
      <c r="Q1787">
        <v>8</v>
      </c>
      <c r="S1787">
        <v>5</v>
      </c>
      <c r="T1787">
        <v>2</v>
      </c>
      <c r="V1787">
        <v>1</v>
      </c>
      <c r="W1787">
        <v>6</v>
      </c>
      <c r="Y1787">
        <v>7</v>
      </c>
      <c r="Z1787">
        <v>4</v>
      </c>
    </row>
    <row r="1788" spans="1:27" x14ac:dyDescent="0.3">
      <c r="A1788" t="s">
        <v>46</v>
      </c>
      <c r="B1788">
        <v>34</v>
      </c>
      <c r="R1788">
        <v>8</v>
      </c>
      <c r="U1788">
        <v>2</v>
      </c>
      <c r="X1788">
        <v>6</v>
      </c>
    </row>
    <row r="1789" spans="1:27" x14ac:dyDescent="0.3">
      <c r="A1789" t="s">
        <v>49</v>
      </c>
      <c r="B1789">
        <v>34</v>
      </c>
      <c r="P1789">
        <v>7.7</v>
      </c>
      <c r="Q1789">
        <v>6.9</v>
      </c>
      <c r="R1789">
        <v>6.9</v>
      </c>
      <c r="S1789">
        <v>7.7</v>
      </c>
      <c r="T1789">
        <v>6.7</v>
      </c>
      <c r="U1789">
        <v>6.7</v>
      </c>
      <c r="V1789">
        <v>7.7</v>
      </c>
      <c r="W1789">
        <v>6.4</v>
      </c>
      <c r="X1789">
        <v>6.4</v>
      </c>
      <c r="Y1789">
        <v>7.7</v>
      </c>
      <c r="Z1789">
        <v>6.7</v>
      </c>
      <c r="AA1789">
        <v>4</v>
      </c>
    </row>
    <row r="1790" spans="1:27" x14ac:dyDescent="0.3">
      <c r="A1790" t="s">
        <v>696</v>
      </c>
      <c r="B1790">
        <v>34</v>
      </c>
      <c r="P1790">
        <v>0</v>
      </c>
      <c r="Q1790">
        <v>0</v>
      </c>
      <c r="R1790">
        <v>0</v>
      </c>
      <c r="S1790">
        <v>0</v>
      </c>
      <c r="T1790">
        <v>0</v>
      </c>
      <c r="U1790">
        <v>0</v>
      </c>
      <c r="V1790">
        <v>0</v>
      </c>
      <c r="W1790">
        <v>0</v>
      </c>
      <c r="X1790">
        <v>0</v>
      </c>
      <c r="Y1790">
        <v>0</v>
      </c>
      <c r="Z1790">
        <v>0</v>
      </c>
      <c r="AA1790">
        <v>0</v>
      </c>
    </row>
    <row r="1791" spans="1:27" x14ac:dyDescent="0.3">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3">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3">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3">
      <c r="A1794" t="s">
        <v>698</v>
      </c>
      <c r="B1794">
        <v>34</v>
      </c>
      <c r="P1794">
        <v>1</v>
      </c>
      <c r="Q1794">
        <v>1</v>
      </c>
      <c r="R1794">
        <v>1</v>
      </c>
      <c r="S1794">
        <v>1</v>
      </c>
      <c r="T1794">
        <v>1</v>
      </c>
      <c r="U1794">
        <v>1</v>
      </c>
      <c r="V1794">
        <v>1</v>
      </c>
      <c r="W1794">
        <v>1</v>
      </c>
      <c r="X1794">
        <v>1</v>
      </c>
      <c r="Y1794">
        <v>1</v>
      </c>
      <c r="Z1794">
        <v>1</v>
      </c>
      <c r="AA1794">
        <v>1</v>
      </c>
    </row>
    <row r="1795" spans="1:27" x14ac:dyDescent="0.3">
      <c r="A1795" t="s">
        <v>51</v>
      </c>
      <c r="B1795">
        <v>34</v>
      </c>
      <c r="P1795">
        <v>0</v>
      </c>
      <c r="Q1795">
        <v>0</v>
      </c>
      <c r="R1795">
        <v>149</v>
      </c>
      <c r="S1795">
        <v>0</v>
      </c>
      <c r="T1795">
        <v>0</v>
      </c>
      <c r="U1795">
        <v>359</v>
      </c>
      <c r="V1795">
        <v>0</v>
      </c>
      <c r="W1795">
        <v>0</v>
      </c>
      <c r="X1795">
        <v>150</v>
      </c>
      <c r="Y1795">
        <v>0</v>
      </c>
      <c r="Z1795">
        <v>26</v>
      </c>
      <c r="AA1795">
        <v>0</v>
      </c>
    </row>
    <row r="1796" spans="1:27" x14ac:dyDescent="0.3">
      <c r="A1796" t="s">
        <v>53</v>
      </c>
      <c r="B1796">
        <v>34</v>
      </c>
      <c r="P1796">
        <v>95</v>
      </c>
      <c r="Q1796">
        <v>369</v>
      </c>
      <c r="R1796">
        <v>98</v>
      </c>
      <c r="S1796">
        <v>125</v>
      </c>
      <c r="T1796">
        <v>452</v>
      </c>
      <c r="U1796">
        <v>357</v>
      </c>
      <c r="V1796">
        <v>183</v>
      </c>
      <c r="W1796">
        <v>612</v>
      </c>
      <c r="X1796">
        <v>121</v>
      </c>
      <c r="Y1796">
        <v>167</v>
      </c>
      <c r="Z1796">
        <v>210</v>
      </c>
      <c r="AA1796">
        <v>57</v>
      </c>
    </row>
    <row r="1797" spans="1:27" x14ac:dyDescent="0.3">
      <c r="A1797" t="s">
        <v>54</v>
      </c>
      <c r="B1797">
        <v>34</v>
      </c>
      <c r="P1797">
        <v>0</v>
      </c>
      <c r="Q1797">
        <v>0</v>
      </c>
      <c r="R1797">
        <v>0</v>
      </c>
      <c r="S1797">
        <v>0</v>
      </c>
      <c r="T1797">
        <v>0</v>
      </c>
      <c r="U1797">
        <v>0</v>
      </c>
      <c r="V1797">
        <v>0</v>
      </c>
      <c r="W1797">
        <v>0</v>
      </c>
      <c r="X1797">
        <v>0</v>
      </c>
      <c r="Y1797">
        <v>0</v>
      </c>
      <c r="Z1797">
        <v>0</v>
      </c>
      <c r="AA1797">
        <v>0</v>
      </c>
    </row>
    <row r="1798" spans="1:27" x14ac:dyDescent="0.3">
      <c r="A1798" t="s">
        <v>55</v>
      </c>
      <c r="B1798">
        <v>34</v>
      </c>
      <c r="P1798">
        <v>0</v>
      </c>
      <c r="Q1798">
        <v>0</v>
      </c>
      <c r="R1798">
        <v>0</v>
      </c>
      <c r="S1798">
        <v>0</v>
      </c>
      <c r="T1798">
        <v>0</v>
      </c>
      <c r="U1798">
        <v>0</v>
      </c>
      <c r="V1798">
        <v>0</v>
      </c>
      <c r="W1798">
        <v>0</v>
      </c>
      <c r="X1798">
        <v>0</v>
      </c>
      <c r="Y1798">
        <v>0</v>
      </c>
      <c r="Z1798">
        <v>0</v>
      </c>
      <c r="AA1798">
        <v>0</v>
      </c>
    </row>
    <row r="1799" spans="1:27" x14ac:dyDescent="0.3">
      <c r="A1799" t="s">
        <v>56</v>
      </c>
      <c r="B1799">
        <v>34</v>
      </c>
      <c r="P1799">
        <v>0.92</v>
      </c>
      <c r="Q1799">
        <v>0.92</v>
      </c>
      <c r="R1799">
        <v>0.92</v>
      </c>
      <c r="S1799">
        <v>0.92</v>
      </c>
      <c r="T1799">
        <v>0.92</v>
      </c>
      <c r="U1799">
        <v>0.92</v>
      </c>
      <c r="V1799">
        <v>0.92</v>
      </c>
      <c r="W1799">
        <v>0.92</v>
      </c>
      <c r="X1799">
        <v>0.92</v>
      </c>
      <c r="Y1799">
        <v>0.92</v>
      </c>
      <c r="Z1799">
        <v>0.92</v>
      </c>
      <c r="AA1799">
        <v>0.92</v>
      </c>
    </row>
    <row r="1800" spans="1:27" x14ac:dyDescent="0.3">
      <c r="A1800" t="s">
        <v>57</v>
      </c>
      <c r="B1800">
        <v>34</v>
      </c>
      <c r="P1800">
        <v>100</v>
      </c>
      <c r="Q1800">
        <v>100</v>
      </c>
      <c r="R1800">
        <v>100</v>
      </c>
      <c r="S1800">
        <v>100</v>
      </c>
      <c r="T1800">
        <v>100</v>
      </c>
      <c r="U1800">
        <v>100</v>
      </c>
      <c r="V1800">
        <v>100</v>
      </c>
      <c r="W1800">
        <v>100</v>
      </c>
      <c r="X1800">
        <v>100</v>
      </c>
      <c r="Y1800">
        <v>100</v>
      </c>
      <c r="Z1800">
        <v>100</v>
      </c>
      <c r="AA1800">
        <v>100</v>
      </c>
    </row>
    <row r="1801" spans="1:27" x14ac:dyDescent="0.3">
      <c r="A1801" t="s">
        <v>58</v>
      </c>
      <c r="B1801">
        <v>34</v>
      </c>
      <c r="P1801">
        <v>2</v>
      </c>
      <c r="Q1801">
        <v>2</v>
      </c>
      <c r="R1801">
        <v>2</v>
      </c>
      <c r="S1801">
        <v>2</v>
      </c>
      <c r="T1801">
        <v>2</v>
      </c>
      <c r="U1801">
        <v>2</v>
      </c>
      <c r="V1801">
        <v>2</v>
      </c>
      <c r="W1801">
        <v>2</v>
      </c>
      <c r="X1801">
        <v>2</v>
      </c>
      <c r="Y1801">
        <v>2</v>
      </c>
      <c r="Z1801">
        <v>2</v>
      </c>
      <c r="AA1801">
        <v>2</v>
      </c>
    </row>
    <row r="1802" spans="1:27" x14ac:dyDescent="0.3">
      <c r="A1802" t="s">
        <v>59</v>
      </c>
      <c r="B1802">
        <v>34</v>
      </c>
      <c r="P1802">
        <v>0</v>
      </c>
      <c r="Q1802">
        <v>0</v>
      </c>
      <c r="R1802">
        <v>0</v>
      </c>
      <c r="S1802">
        <v>0</v>
      </c>
      <c r="T1802">
        <v>0</v>
      </c>
      <c r="U1802">
        <v>0</v>
      </c>
      <c r="V1802">
        <v>0</v>
      </c>
      <c r="W1802">
        <v>0</v>
      </c>
      <c r="X1802">
        <v>0</v>
      </c>
      <c r="Y1802">
        <v>0</v>
      </c>
      <c r="Z1802">
        <v>0</v>
      </c>
      <c r="AA1802">
        <v>0</v>
      </c>
    </row>
    <row r="1803" spans="1:27" x14ac:dyDescent="0.3">
      <c r="A1803" t="s">
        <v>699</v>
      </c>
      <c r="B1803">
        <v>34</v>
      </c>
      <c r="Q1803">
        <v>0</v>
      </c>
      <c r="T1803">
        <v>0</v>
      </c>
      <c r="W1803">
        <v>0</v>
      </c>
      <c r="Z1803">
        <v>0</v>
      </c>
    </row>
    <row r="1804" spans="1:27" x14ac:dyDescent="0.3">
      <c r="A1804" t="s">
        <v>678</v>
      </c>
      <c r="B1804">
        <v>34</v>
      </c>
      <c r="Q1804">
        <v>363</v>
      </c>
      <c r="T1804">
        <v>1440</v>
      </c>
      <c r="W1804">
        <v>6910</v>
      </c>
      <c r="Z1804">
        <v>590</v>
      </c>
    </row>
    <row r="1805" spans="1:27" x14ac:dyDescent="0.3">
      <c r="A1805" t="s">
        <v>78</v>
      </c>
      <c r="B1805">
        <v>34</v>
      </c>
      <c r="Q1805">
        <v>7.1</v>
      </c>
      <c r="T1805">
        <v>21.8</v>
      </c>
      <c r="W1805">
        <v>104.7</v>
      </c>
      <c r="Z1805">
        <v>11.5</v>
      </c>
    </row>
    <row r="1806" spans="1:27" x14ac:dyDescent="0.3">
      <c r="A1806" t="s">
        <v>700</v>
      </c>
      <c r="B1806">
        <v>34</v>
      </c>
      <c r="R1806">
        <v>0</v>
      </c>
      <c r="U1806">
        <v>0</v>
      </c>
      <c r="X1806">
        <v>0</v>
      </c>
      <c r="AA1806">
        <v>0</v>
      </c>
    </row>
    <row r="1807" spans="1:27" x14ac:dyDescent="0.3">
      <c r="A1807" t="s">
        <v>701</v>
      </c>
      <c r="B1807">
        <v>34</v>
      </c>
      <c r="P1807">
        <v>0</v>
      </c>
      <c r="Q1807">
        <v>0</v>
      </c>
      <c r="R1807">
        <v>1</v>
      </c>
      <c r="S1807">
        <v>0</v>
      </c>
      <c r="T1807">
        <v>0</v>
      </c>
      <c r="U1807">
        <v>1</v>
      </c>
      <c r="V1807">
        <v>0</v>
      </c>
      <c r="W1807">
        <v>0</v>
      </c>
      <c r="X1807">
        <v>1</v>
      </c>
      <c r="Y1807">
        <v>0</v>
      </c>
      <c r="Z1807">
        <v>0</v>
      </c>
      <c r="AA1807">
        <v>1</v>
      </c>
    </row>
    <row r="1808" spans="1:27" x14ac:dyDescent="0.3">
      <c r="A1808" t="s">
        <v>702</v>
      </c>
      <c r="B1808">
        <v>34</v>
      </c>
      <c r="P1808">
        <v>0</v>
      </c>
      <c r="Q1808">
        <v>0</v>
      </c>
      <c r="R1808">
        <v>0</v>
      </c>
      <c r="S1808">
        <v>0</v>
      </c>
      <c r="T1808">
        <v>0</v>
      </c>
      <c r="U1808">
        <v>0</v>
      </c>
      <c r="V1808">
        <v>0</v>
      </c>
      <c r="W1808">
        <v>0</v>
      </c>
      <c r="X1808">
        <v>0</v>
      </c>
      <c r="Y1808">
        <v>0</v>
      </c>
      <c r="Z1808">
        <v>0</v>
      </c>
      <c r="AA1808">
        <v>0</v>
      </c>
    </row>
    <row r="1809" spans="1:27" x14ac:dyDescent="0.3">
      <c r="A1809" t="s">
        <v>52</v>
      </c>
      <c r="B1809">
        <v>34</v>
      </c>
      <c r="P1809">
        <v>1</v>
      </c>
      <c r="Q1809">
        <v>1</v>
      </c>
      <c r="R1809">
        <v>1</v>
      </c>
      <c r="S1809">
        <v>1</v>
      </c>
      <c r="T1809">
        <v>1</v>
      </c>
      <c r="U1809">
        <v>1</v>
      </c>
      <c r="V1809">
        <v>1</v>
      </c>
      <c r="W1809">
        <v>1</v>
      </c>
      <c r="X1809">
        <v>1</v>
      </c>
      <c r="Y1809">
        <v>1</v>
      </c>
      <c r="Z1809">
        <v>1</v>
      </c>
      <c r="AA1809">
        <v>1</v>
      </c>
    </row>
    <row r="1810" spans="1:27" x14ac:dyDescent="0.3">
      <c r="A1810" t="s">
        <v>703</v>
      </c>
      <c r="B1810">
        <v>34</v>
      </c>
      <c r="P1810">
        <v>15</v>
      </c>
      <c r="Q1810">
        <v>60</v>
      </c>
      <c r="R1810">
        <v>9</v>
      </c>
      <c r="S1810">
        <v>15</v>
      </c>
      <c r="T1810">
        <v>60</v>
      </c>
      <c r="U1810">
        <v>9</v>
      </c>
      <c r="V1810">
        <v>15</v>
      </c>
      <c r="W1810">
        <v>60</v>
      </c>
      <c r="X1810">
        <v>9</v>
      </c>
      <c r="Y1810">
        <v>15</v>
      </c>
      <c r="Z1810">
        <v>60</v>
      </c>
      <c r="AA1810">
        <v>9</v>
      </c>
    </row>
    <row r="1811" spans="1:27" x14ac:dyDescent="0.3">
      <c r="A1811" t="s">
        <v>43</v>
      </c>
      <c r="B1811">
        <v>34</v>
      </c>
      <c r="P1811">
        <v>20</v>
      </c>
      <c r="Q1811">
        <v>100</v>
      </c>
      <c r="R1811">
        <v>20</v>
      </c>
      <c r="S1811">
        <v>20</v>
      </c>
      <c r="T1811">
        <v>100</v>
      </c>
      <c r="U1811">
        <v>20</v>
      </c>
      <c r="V1811">
        <v>20</v>
      </c>
      <c r="W1811">
        <v>100</v>
      </c>
      <c r="X1811">
        <v>20</v>
      </c>
      <c r="Y1811">
        <v>20</v>
      </c>
      <c r="Z1811">
        <v>100</v>
      </c>
    </row>
    <row r="1812" spans="1:27" x14ac:dyDescent="0.3">
      <c r="A1812" t="s">
        <v>44</v>
      </c>
      <c r="B1812">
        <v>34</v>
      </c>
      <c r="P1812">
        <v>0</v>
      </c>
      <c r="Q1812">
        <v>0</v>
      </c>
      <c r="R1812">
        <v>0</v>
      </c>
      <c r="S1812">
        <v>0</v>
      </c>
      <c r="T1812">
        <v>0</v>
      </c>
      <c r="U1812">
        <v>0</v>
      </c>
      <c r="V1812">
        <v>0</v>
      </c>
      <c r="W1812">
        <v>0</v>
      </c>
      <c r="X1812">
        <v>0</v>
      </c>
      <c r="Y1812">
        <v>0</v>
      </c>
      <c r="Z1812">
        <v>0</v>
      </c>
    </row>
    <row r="1813" spans="1:27" x14ac:dyDescent="0.3">
      <c r="A1813" t="s">
        <v>47</v>
      </c>
      <c r="B1813">
        <v>34</v>
      </c>
      <c r="P1813">
        <v>3</v>
      </c>
      <c r="Q1813">
        <v>8</v>
      </c>
      <c r="R1813">
        <v>8</v>
      </c>
      <c r="S1813">
        <v>5</v>
      </c>
      <c r="T1813">
        <v>2</v>
      </c>
      <c r="U1813">
        <v>2</v>
      </c>
      <c r="V1813">
        <v>1</v>
      </c>
      <c r="W1813">
        <v>6</v>
      </c>
      <c r="X1813">
        <v>6</v>
      </c>
      <c r="Y1813">
        <v>7</v>
      </c>
      <c r="Z1813">
        <v>4</v>
      </c>
    </row>
    <row r="1814" spans="1:27" x14ac:dyDescent="0.3">
      <c r="A1814" t="s">
        <v>704</v>
      </c>
      <c r="B1814">
        <v>34</v>
      </c>
      <c r="P1814">
        <v>0</v>
      </c>
      <c r="Q1814">
        <v>0</v>
      </c>
      <c r="R1814">
        <v>0</v>
      </c>
      <c r="S1814">
        <v>0</v>
      </c>
      <c r="T1814">
        <v>0</v>
      </c>
      <c r="U1814">
        <v>0</v>
      </c>
      <c r="V1814">
        <v>0</v>
      </c>
      <c r="W1814">
        <v>0</v>
      </c>
      <c r="X1814">
        <v>0</v>
      </c>
      <c r="Y1814">
        <v>0</v>
      </c>
      <c r="Z1814">
        <v>0</v>
      </c>
    </row>
    <row r="1815" spans="1:27" x14ac:dyDescent="0.3">
      <c r="A1815" t="s">
        <v>705</v>
      </c>
      <c r="B1815">
        <v>34</v>
      </c>
      <c r="P1815">
        <v>0</v>
      </c>
      <c r="Q1815">
        <v>0</v>
      </c>
      <c r="R1815">
        <v>0</v>
      </c>
      <c r="S1815">
        <v>0</v>
      </c>
      <c r="T1815">
        <v>0</v>
      </c>
      <c r="U1815">
        <v>0</v>
      </c>
      <c r="V1815">
        <v>0</v>
      </c>
      <c r="W1815">
        <v>0</v>
      </c>
      <c r="X1815">
        <v>0</v>
      </c>
      <c r="Y1815">
        <v>0</v>
      </c>
      <c r="Z1815">
        <v>0</v>
      </c>
    </row>
    <row r="1816" spans="1:27" x14ac:dyDescent="0.3">
      <c r="A1816" t="s">
        <v>706</v>
      </c>
      <c r="B1816">
        <v>34</v>
      </c>
      <c r="P1816">
        <v>0</v>
      </c>
      <c r="Q1816">
        <v>0</v>
      </c>
      <c r="R1816">
        <v>0</v>
      </c>
      <c r="S1816">
        <v>0</v>
      </c>
      <c r="T1816">
        <v>0</v>
      </c>
      <c r="U1816">
        <v>0</v>
      </c>
      <c r="V1816">
        <v>0</v>
      </c>
      <c r="W1816">
        <v>0</v>
      </c>
      <c r="X1816">
        <v>0</v>
      </c>
      <c r="Y1816">
        <v>0</v>
      </c>
      <c r="Z1816">
        <v>0</v>
      </c>
    </row>
    <row r="1817" spans="1:27" x14ac:dyDescent="0.3">
      <c r="A1817" t="s">
        <v>707</v>
      </c>
      <c r="B1817">
        <v>34</v>
      </c>
      <c r="P1817">
        <v>0</v>
      </c>
      <c r="Q1817">
        <v>0</v>
      </c>
      <c r="R1817">
        <v>0</v>
      </c>
      <c r="S1817">
        <v>0</v>
      </c>
      <c r="T1817">
        <v>0</v>
      </c>
      <c r="U1817">
        <v>0</v>
      </c>
      <c r="V1817">
        <v>0</v>
      </c>
      <c r="W1817">
        <v>0</v>
      </c>
      <c r="X1817">
        <v>0</v>
      </c>
      <c r="Y1817">
        <v>0</v>
      </c>
      <c r="Z1817">
        <v>0</v>
      </c>
    </row>
    <row r="1818" spans="1:27" x14ac:dyDescent="0.3">
      <c r="A1818" t="s">
        <v>708</v>
      </c>
      <c r="B1818">
        <v>34</v>
      </c>
      <c r="P1818">
        <v>1</v>
      </c>
      <c r="Q1818">
        <v>2</v>
      </c>
      <c r="R1818">
        <v>1</v>
      </c>
      <c r="S1818">
        <v>1</v>
      </c>
      <c r="T1818">
        <v>2</v>
      </c>
      <c r="U1818">
        <v>1</v>
      </c>
      <c r="V1818">
        <v>1</v>
      </c>
      <c r="W1818">
        <v>2</v>
      </c>
      <c r="X1818">
        <v>1</v>
      </c>
      <c r="Y1818">
        <v>1</v>
      </c>
      <c r="Z1818">
        <v>2</v>
      </c>
    </row>
    <row r="1819" spans="1:27" x14ac:dyDescent="0.3">
      <c r="A1819" t="s">
        <v>709</v>
      </c>
      <c r="B1819">
        <v>34</v>
      </c>
      <c r="P1819">
        <v>0</v>
      </c>
      <c r="Q1819">
        <v>0</v>
      </c>
      <c r="R1819">
        <v>0</v>
      </c>
      <c r="S1819">
        <v>0</v>
      </c>
      <c r="T1819">
        <v>0</v>
      </c>
      <c r="U1819">
        <v>0</v>
      </c>
      <c r="V1819">
        <v>0</v>
      </c>
      <c r="W1819">
        <v>0</v>
      </c>
      <c r="X1819">
        <v>0</v>
      </c>
      <c r="Y1819">
        <v>0</v>
      </c>
      <c r="Z1819">
        <v>0</v>
      </c>
    </row>
    <row r="1820" spans="1:27" x14ac:dyDescent="0.3">
      <c r="A1820" t="s">
        <v>710</v>
      </c>
      <c r="B1820">
        <v>34</v>
      </c>
      <c r="P1820">
        <v>20</v>
      </c>
      <c r="Q1820">
        <v>6</v>
      </c>
      <c r="R1820">
        <v>20</v>
      </c>
      <c r="S1820">
        <v>20</v>
      </c>
      <c r="T1820">
        <v>6</v>
      </c>
      <c r="U1820">
        <v>20</v>
      </c>
      <c r="V1820">
        <v>20</v>
      </c>
      <c r="W1820">
        <v>6</v>
      </c>
      <c r="X1820">
        <v>20</v>
      </c>
      <c r="Y1820">
        <v>20</v>
      </c>
      <c r="Z1820">
        <v>6</v>
      </c>
    </row>
    <row r="1821" spans="1:27" x14ac:dyDescent="0.3">
      <c r="A1821" t="s">
        <v>711</v>
      </c>
      <c r="B1821">
        <v>34</v>
      </c>
      <c r="P1821">
        <v>3</v>
      </c>
      <c r="Q1821">
        <v>3</v>
      </c>
      <c r="R1821">
        <v>3</v>
      </c>
      <c r="S1821">
        <v>3</v>
      </c>
      <c r="T1821">
        <v>3</v>
      </c>
      <c r="U1821">
        <v>3</v>
      </c>
      <c r="V1821">
        <v>3</v>
      </c>
      <c r="W1821">
        <v>3</v>
      </c>
      <c r="X1821">
        <v>3</v>
      </c>
      <c r="Y1821">
        <v>3</v>
      </c>
      <c r="Z1821">
        <v>3</v>
      </c>
    </row>
    <row r="1822" spans="1:27" x14ac:dyDescent="0.3">
      <c r="A1822" t="s">
        <v>712</v>
      </c>
      <c r="B1822">
        <v>34</v>
      </c>
      <c r="P1822">
        <v>0</v>
      </c>
      <c r="Q1822">
        <v>0</v>
      </c>
      <c r="R1822">
        <v>0</v>
      </c>
      <c r="S1822">
        <v>0</v>
      </c>
      <c r="T1822">
        <v>0</v>
      </c>
      <c r="U1822">
        <v>0</v>
      </c>
      <c r="V1822">
        <v>0</v>
      </c>
      <c r="W1822">
        <v>0</v>
      </c>
      <c r="X1822">
        <v>0</v>
      </c>
      <c r="Y1822">
        <v>0</v>
      </c>
      <c r="Z1822">
        <v>0</v>
      </c>
    </row>
    <row r="1823" spans="1:27" x14ac:dyDescent="0.3">
      <c r="A1823" t="s">
        <v>713</v>
      </c>
      <c r="B1823">
        <v>34</v>
      </c>
      <c r="P1823">
        <v>0</v>
      </c>
      <c r="Q1823">
        <v>0</v>
      </c>
      <c r="R1823">
        <v>0</v>
      </c>
      <c r="S1823">
        <v>0</v>
      </c>
      <c r="T1823">
        <v>0</v>
      </c>
      <c r="U1823">
        <v>0</v>
      </c>
      <c r="V1823">
        <v>0</v>
      </c>
      <c r="W1823">
        <v>0</v>
      </c>
      <c r="X1823">
        <v>0</v>
      </c>
      <c r="Y1823">
        <v>0</v>
      </c>
      <c r="Z1823">
        <v>0</v>
      </c>
    </row>
    <row r="1824" spans="1:27" x14ac:dyDescent="0.3">
      <c r="A1824" t="s">
        <v>714</v>
      </c>
      <c r="B1824">
        <v>34</v>
      </c>
      <c r="P1824">
        <v>0</v>
      </c>
      <c r="Q1824">
        <v>0</v>
      </c>
      <c r="R1824">
        <v>0</v>
      </c>
      <c r="S1824">
        <v>0</v>
      </c>
      <c r="T1824">
        <v>0</v>
      </c>
      <c r="U1824">
        <v>0</v>
      </c>
      <c r="V1824">
        <v>0</v>
      </c>
      <c r="W1824">
        <v>0</v>
      </c>
      <c r="X1824">
        <v>0</v>
      </c>
      <c r="Y1824">
        <v>0</v>
      </c>
      <c r="Z1824">
        <v>0</v>
      </c>
    </row>
    <row r="1825" spans="1:27" x14ac:dyDescent="0.3">
      <c r="A1825" t="s">
        <v>715</v>
      </c>
      <c r="B1825">
        <v>34</v>
      </c>
      <c r="Q1825">
        <v>94</v>
      </c>
      <c r="T1825">
        <v>94</v>
      </c>
      <c r="W1825">
        <v>94</v>
      </c>
      <c r="Z1825">
        <v>94</v>
      </c>
    </row>
    <row r="1826" spans="1:27" x14ac:dyDescent="0.3">
      <c r="A1826" t="s">
        <v>716</v>
      </c>
      <c r="B1826">
        <v>34</v>
      </c>
      <c r="Q1826">
        <v>6</v>
      </c>
      <c r="T1826">
        <v>6</v>
      </c>
      <c r="W1826">
        <v>6</v>
      </c>
      <c r="Z1826">
        <v>6</v>
      </c>
    </row>
    <row r="1827" spans="1:27" x14ac:dyDescent="0.3">
      <c r="A1827" t="s">
        <v>717</v>
      </c>
      <c r="B1827">
        <v>34</v>
      </c>
      <c r="Q1827">
        <v>3</v>
      </c>
      <c r="T1827">
        <v>3</v>
      </c>
      <c r="W1827">
        <v>3</v>
      </c>
      <c r="Z1827">
        <v>3</v>
      </c>
    </row>
    <row r="1828" spans="1:27" x14ac:dyDescent="0.3">
      <c r="A1828" t="s">
        <v>718</v>
      </c>
      <c r="B1828">
        <v>34</v>
      </c>
      <c r="Q1828">
        <v>0</v>
      </c>
      <c r="T1828">
        <v>0</v>
      </c>
      <c r="W1828">
        <v>0</v>
      </c>
      <c r="Z1828">
        <v>0</v>
      </c>
    </row>
    <row r="1829" spans="1:27" x14ac:dyDescent="0.3">
      <c r="A1829" t="s">
        <v>719</v>
      </c>
      <c r="B1829">
        <v>34</v>
      </c>
      <c r="Q1829">
        <v>0</v>
      </c>
      <c r="T1829">
        <v>0</v>
      </c>
      <c r="W1829">
        <v>0</v>
      </c>
      <c r="Z1829">
        <v>0</v>
      </c>
    </row>
    <row r="1830" spans="1:27" x14ac:dyDescent="0.3">
      <c r="A1830" t="s">
        <v>405</v>
      </c>
      <c r="B1830">
        <v>34</v>
      </c>
      <c r="Q1830">
        <v>0</v>
      </c>
    </row>
    <row r="1831" spans="1:27" x14ac:dyDescent="0.3">
      <c r="A1831" t="s">
        <v>720</v>
      </c>
      <c r="B1831">
        <v>34</v>
      </c>
      <c r="P1831">
        <v>103</v>
      </c>
      <c r="Q1831">
        <v>401</v>
      </c>
      <c r="R1831">
        <v>107</v>
      </c>
      <c r="S1831">
        <v>136</v>
      </c>
      <c r="T1831">
        <v>491</v>
      </c>
      <c r="U1831">
        <v>388</v>
      </c>
      <c r="V1831">
        <v>199</v>
      </c>
      <c r="W1831">
        <v>665</v>
      </c>
      <c r="X1831">
        <v>132</v>
      </c>
      <c r="Y1831">
        <v>182</v>
      </c>
      <c r="Z1831">
        <v>290</v>
      </c>
      <c r="AA1831">
        <v>0</v>
      </c>
    </row>
    <row r="1832" spans="1:27" x14ac:dyDescent="0.3">
      <c r="A1832" t="s">
        <v>34</v>
      </c>
      <c r="B1832">
        <v>36</v>
      </c>
      <c r="P1832">
        <v>40</v>
      </c>
      <c r="Q1832">
        <v>40</v>
      </c>
      <c r="R1832">
        <v>40</v>
      </c>
      <c r="S1832">
        <v>34</v>
      </c>
      <c r="T1832">
        <v>34</v>
      </c>
      <c r="U1832">
        <v>34</v>
      </c>
      <c r="V1832">
        <v>39</v>
      </c>
      <c r="W1832">
        <v>39</v>
      </c>
      <c r="X1832">
        <v>39</v>
      </c>
      <c r="Y1832">
        <v>41</v>
      </c>
      <c r="Z1832">
        <v>41</v>
      </c>
      <c r="AA1832">
        <v>41</v>
      </c>
    </row>
    <row r="1833" spans="1:27" x14ac:dyDescent="0.3">
      <c r="A1833" t="s">
        <v>35</v>
      </c>
      <c r="B1833">
        <v>36</v>
      </c>
      <c r="P1833">
        <v>39</v>
      </c>
      <c r="Q1833">
        <v>41</v>
      </c>
      <c r="R1833">
        <v>34</v>
      </c>
      <c r="S1833">
        <v>40</v>
      </c>
      <c r="T1833">
        <v>39</v>
      </c>
      <c r="U1833">
        <v>41</v>
      </c>
      <c r="V1833">
        <v>41</v>
      </c>
      <c r="W1833">
        <v>34</v>
      </c>
      <c r="X1833">
        <v>40</v>
      </c>
      <c r="Y1833">
        <v>34</v>
      </c>
      <c r="Z1833">
        <v>40</v>
      </c>
      <c r="AA1833">
        <v>39</v>
      </c>
    </row>
    <row r="1834" spans="1:27" x14ac:dyDescent="0.3">
      <c r="A1834" t="s">
        <v>36</v>
      </c>
      <c r="B1834">
        <v>36</v>
      </c>
      <c r="P1834">
        <v>1</v>
      </c>
      <c r="Q1834">
        <v>2</v>
      </c>
      <c r="R1834">
        <v>1</v>
      </c>
      <c r="S1834">
        <v>2</v>
      </c>
      <c r="T1834">
        <v>3</v>
      </c>
      <c r="U1834">
        <v>1</v>
      </c>
      <c r="V1834">
        <v>2</v>
      </c>
      <c r="W1834">
        <v>3</v>
      </c>
      <c r="X1834">
        <v>1</v>
      </c>
      <c r="Y1834">
        <v>1</v>
      </c>
      <c r="Z1834">
        <v>2</v>
      </c>
      <c r="AA1834">
        <v>0</v>
      </c>
    </row>
    <row r="1835" spans="1:27" x14ac:dyDescent="0.3">
      <c r="A1835" t="s">
        <v>37</v>
      </c>
      <c r="B1835">
        <v>36</v>
      </c>
      <c r="P1835">
        <v>0</v>
      </c>
      <c r="Q1835">
        <v>0</v>
      </c>
      <c r="S1835">
        <v>0</v>
      </c>
      <c r="T1835">
        <v>0</v>
      </c>
      <c r="V1835">
        <v>0</v>
      </c>
      <c r="W1835">
        <v>0</v>
      </c>
      <c r="Y1835">
        <v>0</v>
      </c>
      <c r="Z1835">
        <v>2</v>
      </c>
    </row>
    <row r="1836" spans="1:27" x14ac:dyDescent="0.3">
      <c r="A1836" t="s">
        <v>38</v>
      </c>
      <c r="B1836">
        <v>36</v>
      </c>
      <c r="P1836">
        <v>12</v>
      </c>
      <c r="Q1836">
        <v>12</v>
      </c>
      <c r="R1836">
        <v>12</v>
      </c>
      <c r="S1836">
        <v>12</v>
      </c>
      <c r="T1836">
        <v>12</v>
      </c>
      <c r="U1836">
        <v>12</v>
      </c>
      <c r="V1836">
        <v>12</v>
      </c>
      <c r="W1836">
        <v>12</v>
      </c>
      <c r="X1836">
        <v>12</v>
      </c>
      <c r="Y1836">
        <v>12</v>
      </c>
      <c r="Z1836">
        <v>12</v>
      </c>
      <c r="AA1836">
        <v>12</v>
      </c>
    </row>
    <row r="1837" spans="1:27" x14ac:dyDescent="0.3">
      <c r="A1837" t="s">
        <v>39</v>
      </c>
      <c r="B1837">
        <v>36</v>
      </c>
      <c r="P1837">
        <v>145</v>
      </c>
      <c r="R1837">
        <v>115</v>
      </c>
      <c r="S1837">
        <v>515</v>
      </c>
      <c r="U1837">
        <v>255</v>
      </c>
      <c r="V1837">
        <v>350</v>
      </c>
      <c r="X1837">
        <v>400</v>
      </c>
      <c r="Y1837">
        <v>140</v>
      </c>
    </row>
    <row r="1838" spans="1:27" x14ac:dyDescent="0.3">
      <c r="A1838" t="s">
        <v>695</v>
      </c>
      <c r="B1838">
        <v>36</v>
      </c>
      <c r="P1838">
        <v>90</v>
      </c>
      <c r="R1838">
        <v>60</v>
      </c>
      <c r="S1838">
        <v>155</v>
      </c>
      <c r="U1838">
        <v>100</v>
      </c>
      <c r="V1838">
        <v>140</v>
      </c>
      <c r="X1838">
        <v>130</v>
      </c>
      <c r="Y1838">
        <v>100</v>
      </c>
    </row>
    <row r="1839" spans="1:27" x14ac:dyDescent="0.3">
      <c r="A1839" t="s">
        <v>40</v>
      </c>
      <c r="B1839">
        <v>36</v>
      </c>
      <c r="P1839">
        <v>1</v>
      </c>
      <c r="R1839">
        <v>1</v>
      </c>
      <c r="S1839">
        <v>2</v>
      </c>
      <c r="U1839">
        <v>1</v>
      </c>
      <c r="V1839">
        <v>2</v>
      </c>
      <c r="X1839">
        <v>1</v>
      </c>
      <c r="Y1839">
        <v>1</v>
      </c>
    </row>
    <row r="1840" spans="1:27" x14ac:dyDescent="0.3">
      <c r="A1840" t="s">
        <v>41</v>
      </c>
      <c r="B1840">
        <v>36</v>
      </c>
    </row>
    <row r="1841" spans="1:27" x14ac:dyDescent="0.3">
      <c r="A1841" t="s">
        <v>42</v>
      </c>
      <c r="B1841">
        <v>36</v>
      </c>
      <c r="Q1841">
        <v>35</v>
      </c>
      <c r="T1841">
        <v>45</v>
      </c>
      <c r="W1841">
        <v>55</v>
      </c>
      <c r="Z1841">
        <v>35</v>
      </c>
    </row>
    <row r="1842" spans="1:27" x14ac:dyDescent="0.3">
      <c r="A1842" t="s">
        <v>45</v>
      </c>
      <c r="B1842">
        <v>36</v>
      </c>
      <c r="P1842">
        <v>3</v>
      </c>
      <c r="Q1842">
        <v>8</v>
      </c>
      <c r="S1842">
        <v>5</v>
      </c>
      <c r="T1842">
        <v>2</v>
      </c>
      <c r="V1842">
        <v>1</v>
      </c>
      <c r="W1842">
        <v>6</v>
      </c>
      <c r="Y1842">
        <v>7</v>
      </c>
      <c r="Z1842">
        <v>4</v>
      </c>
    </row>
    <row r="1843" spans="1:27" x14ac:dyDescent="0.3">
      <c r="A1843" t="s">
        <v>46</v>
      </c>
      <c r="B1843">
        <v>36</v>
      </c>
      <c r="R1843">
        <v>8</v>
      </c>
      <c r="U1843">
        <v>2</v>
      </c>
      <c r="X1843">
        <v>6</v>
      </c>
    </row>
    <row r="1844" spans="1:27" x14ac:dyDescent="0.3">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3">
      <c r="A1845" t="s">
        <v>696</v>
      </c>
      <c r="B1845">
        <v>36</v>
      </c>
      <c r="P1845">
        <v>0</v>
      </c>
      <c r="Q1845">
        <v>0</v>
      </c>
      <c r="R1845">
        <v>0</v>
      </c>
      <c r="S1845">
        <v>0</v>
      </c>
      <c r="T1845">
        <v>0</v>
      </c>
      <c r="U1845">
        <v>0</v>
      </c>
      <c r="V1845">
        <v>0</v>
      </c>
      <c r="W1845">
        <v>0</v>
      </c>
      <c r="X1845">
        <v>0</v>
      </c>
      <c r="Y1845">
        <v>0</v>
      </c>
      <c r="Z1845">
        <v>0</v>
      </c>
      <c r="AA1845">
        <v>0</v>
      </c>
    </row>
    <row r="1846" spans="1:27" x14ac:dyDescent="0.3">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3">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3">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3">
      <c r="A1849" t="s">
        <v>698</v>
      </c>
      <c r="B1849">
        <v>36</v>
      </c>
      <c r="P1849">
        <v>1</v>
      </c>
      <c r="Q1849">
        <v>1</v>
      </c>
      <c r="R1849">
        <v>1</v>
      </c>
      <c r="S1849">
        <v>1</v>
      </c>
      <c r="T1849">
        <v>1</v>
      </c>
      <c r="U1849">
        <v>1</v>
      </c>
      <c r="V1849">
        <v>1</v>
      </c>
      <c r="W1849">
        <v>1</v>
      </c>
      <c r="X1849">
        <v>1</v>
      </c>
      <c r="Y1849">
        <v>1</v>
      </c>
      <c r="Z1849">
        <v>1</v>
      </c>
      <c r="AA1849">
        <v>1</v>
      </c>
    </row>
    <row r="1850" spans="1:27" x14ac:dyDescent="0.3">
      <c r="A1850" t="s">
        <v>51</v>
      </c>
      <c r="B1850">
        <v>36</v>
      </c>
      <c r="P1850">
        <v>0</v>
      </c>
      <c r="Q1850">
        <v>0</v>
      </c>
      <c r="R1850">
        <v>217</v>
      </c>
      <c r="S1850">
        <v>0</v>
      </c>
      <c r="T1850">
        <v>0</v>
      </c>
      <c r="U1850">
        <v>198</v>
      </c>
      <c r="V1850">
        <v>0</v>
      </c>
      <c r="W1850">
        <v>0</v>
      </c>
      <c r="X1850">
        <v>139</v>
      </c>
      <c r="Y1850">
        <v>0</v>
      </c>
      <c r="Z1850">
        <v>89</v>
      </c>
      <c r="AA1850">
        <v>0</v>
      </c>
    </row>
    <row r="1851" spans="1:27" x14ac:dyDescent="0.3">
      <c r="A1851" t="s">
        <v>53</v>
      </c>
      <c r="B1851">
        <v>36</v>
      </c>
      <c r="P1851">
        <v>46</v>
      </c>
      <c r="Q1851">
        <v>90</v>
      </c>
      <c r="R1851">
        <v>83</v>
      </c>
      <c r="S1851">
        <v>42</v>
      </c>
      <c r="T1851">
        <v>424</v>
      </c>
      <c r="U1851">
        <v>64</v>
      </c>
      <c r="V1851">
        <v>167</v>
      </c>
      <c r="W1851">
        <v>816</v>
      </c>
      <c r="X1851">
        <v>45</v>
      </c>
      <c r="Y1851">
        <v>49</v>
      </c>
      <c r="Z1851">
        <v>31</v>
      </c>
      <c r="AA1851">
        <v>82</v>
      </c>
    </row>
    <row r="1852" spans="1:27" x14ac:dyDescent="0.3">
      <c r="A1852" t="s">
        <v>54</v>
      </c>
      <c r="B1852">
        <v>36</v>
      </c>
      <c r="P1852">
        <v>0</v>
      </c>
      <c r="Q1852">
        <v>0</v>
      </c>
      <c r="R1852">
        <v>0</v>
      </c>
      <c r="S1852">
        <v>0</v>
      </c>
      <c r="T1852">
        <v>0</v>
      </c>
      <c r="U1852">
        <v>0</v>
      </c>
      <c r="V1852">
        <v>0</v>
      </c>
      <c r="W1852">
        <v>0</v>
      </c>
      <c r="X1852">
        <v>0</v>
      </c>
      <c r="Y1852">
        <v>0</v>
      </c>
      <c r="Z1852">
        <v>0</v>
      </c>
      <c r="AA1852">
        <v>0</v>
      </c>
    </row>
    <row r="1853" spans="1:27" x14ac:dyDescent="0.3">
      <c r="A1853" t="s">
        <v>55</v>
      </c>
      <c r="B1853">
        <v>36</v>
      </c>
      <c r="P1853">
        <v>0</v>
      </c>
      <c r="Q1853">
        <v>0</v>
      </c>
      <c r="R1853">
        <v>0</v>
      </c>
      <c r="S1853">
        <v>0</v>
      </c>
      <c r="T1853">
        <v>0</v>
      </c>
      <c r="U1853">
        <v>0</v>
      </c>
      <c r="V1853">
        <v>0</v>
      </c>
      <c r="W1853">
        <v>0</v>
      </c>
      <c r="X1853">
        <v>0</v>
      </c>
      <c r="Y1853">
        <v>0</v>
      </c>
      <c r="Z1853">
        <v>0</v>
      </c>
      <c r="AA1853">
        <v>0</v>
      </c>
    </row>
    <row r="1854" spans="1:27" x14ac:dyDescent="0.3">
      <c r="A1854" t="s">
        <v>56</v>
      </c>
      <c r="B1854">
        <v>36</v>
      </c>
      <c r="P1854">
        <v>0.92</v>
      </c>
      <c r="Q1854">
        <v>0.92</v>
      </c>
      <c r="R1854">
        <v>0.92</v>
      </c>
      <c r="S1854">
        <v>0.92</v>
      </c>
      <c r="T1854">
        <v>0.92</v>
      </c>
      <c r="U1854">
        <v>0.92</v>
      </c>
      <c r="V1854">
        <v>0.92</v>
      </c>
      <c r="W1854">
        <v>0.92</v>
      </c>
      <c r="X1854">
        <v>0.92</v>
      </c>
      <c r="Y1854">
        <v>0.92</v>
      </c>
      <c r="Z1854">
        <v>0.92</v>
      </c>
      <c r="AA1854">
        <v>0.92</v>
      </c>
    </row>
    <row r="1855" spans="1:27" x14ac:dyDescent="0.3">
      <c r="A1855" t="s">
        <v>57</v>
      </c>
      <c r="B1855">
        <v>36</v>
      </c>
      <c r="P1855">
        <v>100</v>
      </c>
      <c r="Q1855">
        <v>100</v>
      </c>
      <c r="R1855">
        <v>100</v>
      </c>
      <c r="S1855">
        <v>100</v>
      </c>
      <c r="T1855">
        <v>100</v>
      </c>
      <c r="U1855">
        <v>100</v>
      </c>
      <c r="V1855">
        <v>100</v>
      </c>
      <c r="W1855">
        <v>100</v>
      </c>
      <c r="X1855">
        <v>100</v>
      </c>
      <c r="Y1855">
        <v>100</v>
      </c>
      <c r="Z1855">
        <v>100</v>
      </c>
      <c r="AA1855">
        <v>100</v>
      </c>
    </row>
    <row r="1856" spans="1:27" x14ac:dyDescent="0.3">
      <c r="A1856" t="s">
        <v>58</v>
      </c>
      <c r="B1856">
        <v>36</v>
      </c>
      <c r="P1856">
        <v>2</v>
      </c>
      <c r="Q1856">
        <v>2</v>
      </c>
      <c r="R1856">
        <v>2</v>
      </c>
      <c r="S1856">
        <v>2</v>
      </c>
      <c r="T1856">
        <v>2</v>
      </c>
      <c r="U1856">
        <v>2</v>
      </c>
      <c r="V1856">
        <v>2</v>
      </c>
      <c r="W1856">
        <v>2</v>
      </c>
      <c r="X1856">
        <v>2</v>
      </c>
      <c r="Y1856">
        <v>2</v>
      </c>
      <c r="Z1856">
        <v>2</v>
      </c>
      <c r="AA1856">
        <v>2</v>
      </c>
    </row>
    <row r="1857" spans="1:27" x14ac:dyDescent="0.3">
      <c r="A1857" t="s">
        <v>59</v>
      </c>
      <c r="B1857">
        <v>36</v>
      </c>
      <c r="P1857">
        <v>0</v>
      </c>
      <c r="Q1857">
        <v>0</v>
      </c>
      <c r="R1857">
        <v>0</v>
      </c>
      <c r="S1857">
        <v>0</v>
      </c>
      <c r="T1857">
        <v>0</v>
      </c>
      <c r="U1857">
        <v>0</v>
      </c>
      <c r="V1857">
        <v>0</v>
      </c>
      <c r="W1857">
        <v>0</v>
      </c>
      <c r="X1857">
        <v>0</v>
      </c>
      <c r="Y1857">
        <v>0</v>
      </c>
      <c r="Z1857">
        <v>0</v>
      </c>
      <c r="AA1857">
        <v>0</v>
      </c>
    </row>
    <row r="1858" spans="1:27" x14ac:dyDescent="0.3">
      <c r="A1858" t="s">
        <v>699</v>
      </c>
      <c r="B1858">
        <v>36</v>
      </c>
      <c r="Q1858">
        <v>0</v>
      </c>
      <c r="T1858">
        <v>0</v>
      </c>
      <c r="W1858">
        <v>0</v>
      </c>
      <c r="Z1858">
        <v>0</v>
      </c>
    </row>
    <row r="1859" spans="1:27" x14ac:dyDescent="0.3">
      <c r="A1859" t="s">
        <v>678</v>
      </c>
      <c r="B1859">
        <v>36</v>
      </c>
      <c r="Q1859">
        <v>640</v>
      </c>
      <c r="T1859">
        <v>6910</v>
      </c>
      <c r="W1859">
        <v>5039</v>
      </c>
      <c r="Z1859">
        <v>378</v>
      </c>
    </row>
    <row r="1860" spans="1:27" x14ac:dyDescent="0.3">
      <c r="A1860" t="s">
        <v>78</v>
      </c>
      <c r="B1860">
        <v>36</v>
      </c>
      <c r="Q1860">
        <v>12.5</v>
      </c>
      <c r="T1860">
        <v>104.7</v>
      </c>
      <c r="W1860">
        <v>62.5</v>
      </c>
      <c r="Z1860">
        <v>7.4</v>
      </c>
    </row>
    <row r="1861" spans="1:27" x14ac:dyDescent="0.3">
      <c r="A1861" t="s">
        <v>700</v>
      </c>
      <c r="B1861">
        <v>36</v>
      </c>
      <c r="R1861">
        <v>1</v>
      </c>
      <c r="U1861">
        <v>0</v>
      </c>
      <c r="X1861">
        <v>1</v>
      </c>
      <c r="AA1861">
        <v>0</v>
      </c>
    </row>
    <row r="1862" spans="1:27" x14ac:dyDescent="0.3">
      <c r="A1862" t="s">
        <v>721</v>
      </c>
      <c r="B1862">
        <v>36</v>
      </c>
      <c r="R1862">
        <v>50</v>
      </c>
      <c r="X1862">
        <v>50</v>
      </c>
    </row>
    <row r="1863" spans="1:27" x14ac:dyDescent="0.3">
      <c r="A1863" t="s">
        <v>722</v>
      </c>
      <c r="B1863">
        <v>36</v>
      </c>
      <c r="R1863">
        <v>0</v>
      </c>
      <c r="X1863">
        <v>0</v>
      </c>
    </row>
    <row r="1864" spans="1:27" x14ac:dyDescent="0.3">
      <c r="A1864" t="s">
        <v>701</v>
      </c>
      <c r="B1864">
        <v>36</v>
      </c>
      <c r="P1864">
        <v>0</v>
      </c>
      <c r="Q1864">
        <v>0</v>
      </c>
      <c r="R1864">
        <v>1</v>
      </c>
      <c r="S1864">
        <v>0</v>
      </c>
      <c r="T1864">
        <v>0</v>
      </c>
      <c r="U1864">
        <v>1</v>
      </c>
      <c r="V1864">
        <v>0</v>
      </c>
      <c r="W1864">
        <v>0</v>
      </c>
      <c r="X1864">
        <v>1</v>
      </c>
      <c r="Y1864">
        <v>0</v>
      </c>
      <c r="Z1864">
        <v>0</v>
      </c>
      <c r="AA1864">
        <v>1</v>
      </c>
    </row>
    <row r="1865" spans="1:27" x14ac:dyDescent="0.3">
      <c r="A1865" t="s">
        <v>702</v>
      </c>
      <c r="B1865">
        <v>36</v>
      </c>
      <c r="P1865">
        <v>0</v>
      </c>
      <c r="Q1865">
        <v>0</v>
      </c>
      <c r="R1865">
        <v>0</v>
      </c>
      <c r="S1865">
        <v>0</v>
      </c>
      <c r="T1865">
        <v>0</v>
      </c>
      <c r="U1865">
        <v>0</v>
      </c>
      <c r="V1865">
        <v>0</v>
      </c>
      <c r="W1865">
        <v>0</v>
      </c>
      <c r="X1865">
        <v>0</v>
      </c>
      <c r="Y1865">
        <v>0</v>
      </c>
      <c r="Z1865">
        <v>0</v>
      </c>
      <c r="AA1865">
        <v>0</v>
      </c>
    </row>
    <row r="1866" spans="1:27" x14ac:dyDescent="0.3">
      <c r="A1866" t="s">
        <v>52</v>
      </c>
      <c r="B1866">
        <v>36</v>
      </c>
      <c r="P1866">
        <v>1</v>
      </c>
      <c r="Q1866">
        <v>1</v>
      </c>
      <c r="R1866">
        <v>1</v>
      </c>
      <c r="S1866">
        <v>1</v>
      </c>
      <c r="T1866">
        <v>1</v>
      </c>
      <c r="U1866">
        <v>1</v>
      </c>
      <c r="V1866">
        <v>1</v>
      </c>
      <c r="W1866">
        <v>1</v>
      </c>
      <c r="X1866">
        <v>1</v>
      </c>
      <c r="Y1866">
        <v>1</v>
      </c>
      <c r="Z1866">
        <v>1</v>
      </c>
      <c r="AA1866">
        <v>1</v>
      </c>
    </row>
    <row r="1867" spans="1:27" x14ac:dyDescent="0.3">
      <c r="A1867" t="s">
        <v>703</v>
      </c>
      <c r="B1867">
        <v>36</v>
      </c>
      <c r="P1867">
        <v>15</v>
      </c>
      <c r="Q1867">
        <v>60</v>
      </c>
      <c r="R1867">
        <v>9</v>
      </c>
      <c r="S1867">
        <v>15</v>
      </c>
      <c r="T1867">
        <v>60</v>
      </c>
      <c r="U1867">
        <v>9</v>
      </c>
      <c r="V1867">
        <v>15</v>
      </c>
      <c r="W1867">
        <v>60</v>
      </c>
      <c r="X1867">
        <v>9</v>
      </c>
      <c r="Y1867">
        <v>15</v>
      </c>
      <c r="Z1867">
        <v>60</v>
      </c>
      <c r="AA1867">
        <v>9</v>
      </c>
    </row>
    <row r="1868" spans="1:27" x14ac:dyDescent="0.3">
      <c r="A1868" t="s">
        <v>43</v>
      </c>
      <c r="B1868">
        <v>36</v>
      </c>
      <c r="P1868">
        <v>20</v>
      </c>
      <c r="Q1868">
        <v>100</v>
      </c>
      <c r="R1868">
        <v>20</v>
      </c>
      <c r="S1868">
        <v>20</v>
      </c>
      <c r="T1868">
        <v>100</v>
      </c>
      <c r="U1868">
        <v>20</v>
      </c>
      <c r="V1868">
        <v>20</v>
      </c>
      <c r="W1868">
        <v>100</v>
      </c>
      <c r="X1868">
        <v>20</v>
      </c>
      <c r="Y1868">
        <v>20</v>
      </c>
      <c r="Z1868">
        <v>100</v>
      </c>
    </row>
    <row r="1869" spans="1:27" x14ac:dyDescent="0.3">
      <c r="A1869" t="s">
        <v>44</v>
      </c>
      <c r="B1869">
        <v>36</v>
      </c>
      <c r="P1869">
        <v>0</v>
      </c>
      <c r="Q1869">
        <v>0</v>
      </c>
      <c r="R1869">
        <v>0</v>
      </c>
      <c r="S1869">
        <v>0</v>
      </c>
      <c r="T1869">
        <v>0</v>
      </c>
      <c r="U1869">
        <v>0</v>
      </c>
      <c r="V1869">
        <v>0</v>
      </c>
      <c r="W1869">
        <v>0</v>
      </c>
      <c r="X1869">
        <v>0</v>
      </c>
      <c r="Y1869">
        <v>0</v>
      </c>
      <c r="Z1869">
        <v>0</v>
      </c>
    </row>
    <row r="1870" spans="1:27" x14ac:dyDescent="0.3">
      <c r="A1870" t="s">
        <v>47</v>
      </c>
      <c r="B1870">
        <v>36</v>
      </c>
      <c r="P1870">
        <v>3</v>
      </c>
      <c r="Q1870">
        <v>8</v>
      </c>
      <c r="R1870">
        <v>8</v>
      </c>
      <c r="S1870">
        <v>5</v>
      </c>
      <c r="T1870">
        <v>2</v>
      </c>
      <c r="U1870">
        <v>2</v>
      </c>
      <c r="V1870">
        <v>1</v>
      </c>
      <c r="W1870">
        <v>6</v>
      </c>
      <c r="X1870">
        <v>6</v>
      </c>
      <c r="Y1870">
        <v>7</v>
      </c>
      <c r="Z1870">
        <v>4</v>
      </c>
    </row>
    <row r="1871" spans="1:27" x14ac:dyDescent="0.3">
      <c r="A1871" t="s">
        <v>704</v>
      </c>
      <c r="B1871">
        <v>36</v>
      </c>
      <c r="P1871">
        <v>0</v>
      </c>
      <c r="Q1871">
        <v>0</v>
      </c>
      <c r="R1871">
        <v>0</v>
      </c>
      <c r="S1871">
        <v>0</v>
      </c>
      <c r="T1871">
        <v>0</v>
      </c>
      <c r="U1871">
        <v>0</v>
      </c>
      <c r="V1871">
        <v>0</v>
      </c>
      <c r="W1871">
        <v>0</v>
      </c>
      <c r="X1871">
        <v>0</v>
      </c>
      <c r="Y1871">
        <v>0</v>
      </c>
      <c r="Z1871">
        <v>0</v>
      </c>
    </row>
    <row r="1872" spans="1:27" x14ac:dyDescent="0.3">
      <c r="A1872" t="s">
        <v>705</v>
      </c>
      <c r="B1872">
        <v>36</v>
      </c>
      <c r="P1872">
        <v>0</v>
      </c>
      <c r="Q1872">
        <v>0</v>
      </c>
      <c r="R1872">
        <v>0</v>
      </c>
      <c r="S1872">
        <v>0</v>
      </c>
      <c r="T1872">
        <v>0</v>
      </c>
      <c r="U1872">
        <v>0</v>
      </c>
      <c r="V1872">
        <v>0</v>
      </c>
      <c r="W1872">
        <v>0</v>
      </c>
      <c r="X1872">
        <v>0</v>
      </c>
      <c r="Y1872">
        <v>0</v>
      </c>
      <c r="Z1872">
        <v>0</v>
      </c>
    </row>
    <row r="1873" spans="1:27" x14ac:dyDescent="0.3">
      <c r="A1873" t="s">
        <v>706</v>
      </c>
      <c r="B1873">
        <v>36</v>
      </c>
      <c r="P1873">
        <v>0</v>
      </c>
      <c r="Q1873">
        <v>0</v>
      </c>
      <c r="R1873">
        <v>0</v>
      </c>
      <c r="S1873">
        <v>0</v>
      </c>
      <c r="T1873">
        <v>0</v>
      </c>
      <c r="U1873">
        <v>0</v>
      </c>
      <c r="V1873">
        <v>0</v>
      </c>
      <c r="W1873">
        <v>0</v>
      </c>
      <c r="X1873">
        <v>0</v>
      </c>
      <c r="Y1873">
        <v>0</v>
      </c>
      <c r="Z1873">
        <v>0</v>
      </c>
    </row>
    <row r="1874" spans="1:27" x14ac:dyDescent="0.3">
      <c r="A1874" t="s">
        <v>707</v>
      </c>
      <c r="B1874">
        <v>36</v>
      </c>
      <c r="P1874">
        <v>0</v>
      </c>
      <c r="Q1874">
        <v>0</v>
      </c>
      <c r="R1874">
        <v>0</v>
      </c>
      <c r="S1874">
        <v>0</v>
      </c>
      <c r="T1874">
        <v>0</v>
      </c>
      <c r="U1874">
        <v>0</v>
      </c>
      <c r="V1874">
        <v>0</v>
      </c>
      <c r="W1874">
        <v>0</v>
      </c>
      <c r="X1874">
        <v>0</v>
      </c>
      <c r="Y1874">
        <v>0</v>
      </c>
      <c r="Z1874">
        <v>0</v>
      </c>
    </row>
    <row r="1875" spans="1:27" x14ac:dyDescent="0.3">
      <c r="A1875" t="s">
        <v>708</v>
      </c>
      <c r="B1875">
        <v>36</v>
      </c>
      <c r="P1875">
        <v>1</v>
      </c>
      <c r="Q1875">
        <v>2</v>
      </c>
      <c r="R1875">
        <v>1</v>
      </c>
      <c r="S1875">
        <v>1</v>
      </c>
      <c r="T1875">
        <v>2</v>
      </c>
      <c r="U1875">
        <v>1</v>
      </c>
      <c r="V1875">
        <v>1</v>
      </c>
      <c r="W1875">
        <v>2</v>
      </c>
      <c r="X1875">
        <v>1</v>
      </c>
      <c r="Y1875">
        <v>1</v>
      </c>
      <c r="Z1875">
        <v>2</v>
      </c>
    </row>
    <row r="1876" spans="1:27" x14ac:dyDescent="0.3">
      <c r="A1876" t="s">
        <v>709</v>
      </c>
      <c r="B1876">
        <v>36</v>
      </c>
      <c r="P1876">
        <v>0</v>
      </c>
      <c r="Q1876">
        <v>0</v>
      </c>
      <c r="R1876">
        <v>0</v>
      </c>
      <c r="S1876">
        <v>0</v>
      </c>
      <c r="T1876">
        <v>0</v>
      </c>
      <c r="U1876">
        <v>0</v>
      </c>
      <c r="V1876">
        <v>0</v>
      </c>
      <c r="W1876">
        <v>0</v>
      </c>
      <c r="X1876">
        <v>0</v>
      </c>
      <c r="Y1876">
        <v>0</v>
      </c>
      <c r="Z1876">
        <v>0</v>
      </c>
    </row>
    <row r="1877" spans="1:27" x14ac:dyDescent="0.3">
      <c r="A1877" t="s">
        <v>710</v>
      </c>
      <c r="B1877">
        <v>36</v>
      </c>
      <c r="P1877">
        <v>20</v>
      </c>
      <c r="Q1877">
        <v>6</v>
      </c>
      <c r="R1877">
        <v>20</v>
      </c>
      <c r="S1877">
        <v>20</v>
      </c>
      <c r="T1877">
        <v>6</v>
      </c>
      <c r="U1877">
        <v>20</v>
      </c>
      <c r="V1877">
        <v>20</v>
      </c>
      <c r="W1877">
        <v>6</v>
      </c>
      <c r="X1877">
        <v>20</v>
      </c>
      <c r="Y1877">
        <v>20</v>
      </c>
      <c r="Z1877">
        <v>6</v>
      </c>
    </row>
    <row r="1878" spans="1:27" x14ac:dyDescent="0.3">
      <c r="A1878" t="s">
        <v>711</v>
      </c>
      <c r="B1878">
        <v>36</v>
      </c>
      <c r="P1878">
        <v>3</v>
      </c>
      <c r="Q1878">
        <v>3</v>
      </c>
      <c r="R1878">
        <v>3</v>
      </c>
      <c r="S1878">
        <v>3</v>
      </c>
      <c r="T1878">
        <v>3</v>
      </c>
      <c r="U1878">
        <v>3</v>
      </c>
      <c r="V1878">
        <v>3</v>
      </c>
      <c r="W1878">
        <v>3</v>
      </c>
      <c r="X1878">
        <v>3</v>
      </c>
      <c r="Y1878">
        <v>3</v>
      </c>
      <c r="Z1878">
        <v>3</v>
      </c>
    </row>
    <row r="1879" spans="1:27" x14ac:dyDescent="0.3">
      <c r="A1879" t="s">
        <v>712</v>
      </c>
      <c r="B1879">
        <v>36</v>
      </c>
      <c r="P1879">
        <v>0</v>
      </c>
      <c r="Q1879">
        <v>0</v>
      </c>
      <c r="R1879">
        <v>0</v>
      </c>
      <c r="S1879">
        <v>0</v>
      </c>
      <c r="T1879">
        <v>0</v>
      </c>
      <c r="U1879">
        <v>0</v>
      </c>
      <c r="V1879">
        <v>0</v>
      </c>
      <c r="W1879">
        <v>0</v>
      </c>
      <c r="X1879">
        <v>0</v>
      </c>
      <c r="Y1879">
        <v>0</v>
      </c>
      <c r="Z1879">
        <v>0</v>
      </c>
    </row>
    <row r="1880" spans="1:27" x14ac:dyDescent="0.3">
      <c r="A1880" t="s">
        <v>713</v>
      </c>
      <c r="B1880">
        <v>36</v>
      </c>
      <c r="P1880">
        <v>0</v>
      </c>
      <c r="Q1880">
        <v>0</v>
      </c>
      <c r="R1880">
        <v>0</v>
      </c>
      <c r="S1880">
        <v>0</v>
      </c>
      <c r="T1880">
        <v>0</v>
      </c>
      <c r="U1880">
        <v>0</v>
      </c>
      <c r="V1880">
        <v>0</v>
      </c>
      <c r="W1880">
        <v>0</v>
      </c>
      <c r="X1880">
        <v>0</v>
      </c>
      <c r="Y1880">
        <v>0</v>
      </c>
      <c r="Z1880">
        <v>0</v>
      </c>
    </row>
    <row r="1881" spans="1:27" x14ac:dyDescent="0.3">
      <c r="A1881" t="s">
        <v>714</v>
      </c>
      <c r="B1881">
        <v>36</v>
      </c>
      <c r="P1881">
        <v>0</v>
      </c>
      <c r="Q1881">
        <v>0</v>
      </c>
      <c r="R1881">
        <v>0</v>
      </c>
      <c r="S1881">
        <v>0</v>
      </c>
      <c r="T1881">
        <v>0</v>
      </c>
      <c r="U1881">
        <v>0</v>
      </c>
      <c r="V1881">
        <v>0</v>
      </c>
      <c r="W1881">
        <v>0</v>
      </c>
      <c r="X1881">
        <v>0</v>
      </c>
      <c r="Y1881">
        <v>0</v>
      </c>
      <c r="Z1881">
        <v>0</v>
      </c>
    </row>
    <row r="1882" spans="1:27" x14ac:dyDescent="0.3">
      <c r="A1882" t="s">
        <v>715</v>
      </c>
      <c r="B1882">
        <v>36</v>
      </c>
      <c r="Q1882">
        <v>94</v>
      </c>
      <c r="T1882">
        <v>94</v>
      </c>
      <c r="W1882">
        <v>94</v>
      </c>
      <c r="Z1882">
        <v>94</v>
      </c>
    </row>
    <row r="1883" spans="1:27" x14ac:dyDescent="0.3">
      <c r="A1883" t="s">
        <v>716</v>
      </c>
      <c r="B1883">
        <v>36</v>
      </c>
      <c r="Q1883">
        <v>6</v>
      </c>
      <c r="T1883">
        <v>6</v>
      </c>
      <c r="W1883">
        <v>6</v>
      </c>
      <c r="Z1883">
        <v>6</v>
      </c>
    </row>
    <row r="1884" spans="1:27" x14ac:dyDescent="0.3">
      <c r="A1884" t="s">
        <v>717</v>
      </c>
      <c r="B1884">
        <v>36</v>
      </c>
      <c r="Q1884">
        <v>3</v>
      </c>
      <c r="T1884">
        <v>3</v>
      </c>
      <c r="W1884">
        <v>3</v>
      </c>
      <c r="Z1884">
        <v>3</v>
      </c>
    </row>
    <row r="1885" spans="1:27" x14ac:dyDescent="0.3">
      <c r="A1885" t="s">
        <v>718</v>
      </c>
      <c r="B1885">
        <v>36</v>
      </c>
      <c r="Q1885">
        <v>0</v>
      </c>
      <c r="T1885">
        <v>0</v>
      </c>
      <c r="W1885">
        <v>0</v>
      </c>
      <c r="Z1885">
        <v>0</v>
      </c>
    </row>
    <row r="1886" spans="1:27" x14ac:dyDescent="0.3">
      <c r="A1886" t="s">
        <v>719</v>
      </c>
      <c r="B1886">
        <v>36</v>
      </c>
      <c r="Q1886">
        <v>0</v>
      </c>
      <c r="T1886">
        <v>0</v>
      </c>
      <c r="W1886">
        <v>0</v>
      </c>
      <c r="Z1886">
        <v>0</v>
      </c>
    </row>
    <row r="1887" spans="1:27" x14ac:dyDescent="0.3">
      <c r="A1887" t="s">
        <v>405</v>
      </c>
      <c r="B1887">
        <v>36</v>
      </c>
      <c r="Q1887">
        <v>0</v>
      </c>
    </row>
    <row r="1888" spans="1:27" x14ac:dyDescent="0.3">
      <c r="A1888" t="s">
        <v>720</v>
      </c>
      <c r="B1888">
        <v>36</v>
      </c>
      <c r="P1888">
        <v>50</v>
      </c>
      <c r="Q1888">
        <v>98</v>
      </c>
      <c r="R1888">
        <v>90</v>
      </c>
      <c r="S1888">
        <v>46</v>
      </c>
      <c r="T1888">
        <v>461</v>
      </c>
      <c r="U1888">
        <v>70</v>
      </c>
      <c r="V1888">
        <v>182</v>
      </c>
      <c r="W1888">
        <v>887</v>
      </c>
      <c r="X1888">
        <v>49</v>
      </c>
      <c r="Y1888">
        <v>53</v>
      </c>
      <c r="Z1888">
        <v>123</v>
      </c>
      <c r="AA1888">
        <v>0</v>
      </c>
    </row>
    <row r="1889" spans="1:24" x14ac:dyDescent="0.3">
      <c r="A1889" t="s">
        <v>34</v>
      </c>
      <c r="B1889">
        <v>39</v>
      </c>
      <c r="P1889">
        <v>42</v>
      </c>
      <c r="R1889">
        <v>42</v>
      </c>
      <c r="S1889">
        <v>36</v>
      </c>
      <c r="T1889">
        <v>36</v>
      </c>
      <c r="W1889">
        <v>43</v>
      </c>
      <c r="X1889">
        <v>43</v>
      </c>
    </row>
    <row r="1890" spans="1:24" x14ac:dyDescent="0.3">
      <c r="A1890" t="s">
        <v>35</v>
      </c>
      <c r="B1890">
        <v>39</v>
      </c>
      <c r="P1890">
        <v>43</v>
      </c>
      <c r="R1890">
        <v>36</v>
      </c>
      <c r="S1890">
        <v>42</v>
      </c>
      <c r="T1890">
        <v>43</v>
      </c>
      <c r="W1890">
        <v>36</v>
      </c>
      <c r="X1890">
        <v>42</v>
      </c>
    </row>
    <row r="1891" spans="1:24" x14ac:dyDescent="0.3">
      <c r="A1891" t="s">
        <v>36</v>
      </c>
      <c r="B1891">
        <v>39</v>
      </c>
      <c r="P1891">
        <v>2</v>
      </c>
      <c r="R1891">
        <v>1</v>
      </c>
      <c r="S1891">
        <v>2</v>
      </c>
      <c r="T1891">
        <v>3</v>
      </c>
      <c r="W1891">
        <v>3</v>
      </c>
      <c r="X1891">
        <v>1</v>
      </c>
    </row>
    <row r="1892" spans="1:24" x14ac:dyDescent="0.3">
      <c r="A1892" t="s">
        <v>37</v>
      </c>
      <c r="B1892">
        <v>39</v>
      </c>
      <c r="P1892">
        <v>0</v>
      </c>
      <c r="S1892">
        <v>0</v>
      </c>
      <c r="T1892">
        <v>0</v>
      </c>
      <c r="W1892">
        <v>0</v>
      </c>
    </row>
    <row r="1893" spans="1:24" x14ac:dyDescent="0.3">
      <c r="A1893" t="s">
        <v>38</v>
      </c>
      <c r="B1893">
        <v>39</v>
      </c>
      <c r="P1893">
        <v>12</v>
      </c>
      <c r="R1893">
        <v>12</v>
      </c>
      <c r="S1893">
        <v>12</v>
      </c>
      <c r="T1893">
        <v>12</v>
      </c>
      <c r="W1893">
        <v>12</v>
      </c>
      <c r="X1893">
        <v>12</v>
      </c>
    </row>
    <row r="1894" spans="1:24" x14ac:dyDescent="0.3">
      <c r="A1894" t="s">
        <v>39</v>
      </c>
      <c r="B1894">
        <v>39</v>
      </c>
      <c r="R1894">
        <v>340</v>
      </c>
      <c r="S1894">
        <v>390</v>
      </c>
      <c r="X1894">
        <v>795</v>
      </c>
    </row>
    <row r="1895" spans="1:24" x14ac:dyDescent="0.3">
      <c r="A1895" t="s">
        <v>695</v>
      </c>
      <c r="B1895">
        <v>39</v>
      </c>
      <c r="R1895">
        <v>100</v>
      </c>
      <c r="S1895">
        <v>115</v>
      </c>
      <c r="X1895">
        <v>85</v>
      </c>
    </row>
    <row r="1896" spans="1:24" x14ac:dyDescent="0.3">
      <c r="A1896" t="s">
        <v>40</v>
      </c>
      <c r="B1896">
        <v>39</v>
      </c>
      <c r="R1896">
        <v>1</v>
      </c>
      <c r="S1896">
        <v>2</v>
      </c>
      <c r="X1896">
        <v>1</v>
      </c>
    </row>
    <row r="1897" spans="1:24" x14ac:dyDescent="0.3">
      <c r="A1897" t="s">
        <v>41</v>
      </c>
      <c r="B1897">
        <v>39</v>
      </c>
    </row>
    <row r="1898" spans="1:24" x14ac:dyDescent="0.3">
      <c r="A1898" t="s">
        <v>42</v>
      </c>
      <c r="B1898">
        <v>39</v>
      </c>
      <c r="P1898">
        <v>45</v>
      </c>
      <c r="T1898">
        <v>55</v>
      </c>
      <c r="W1898">
        <v>55</v>
      </c>
    </row>
    <row r="1899" spans="1:24" x14ac:dyDescent="0.3">
      <c r="A1899" t="s">
        <v>45</v>
      </c>
      <c r="B1899">
        <v>39</v>
      </c>
      <c r="P1899">
        <v>3</v>
      </c>
      <c r="R1899">
        <v>2</v>
      </c>
      <c r="S1899">
        <v>2</v>
      </c>
      <c r="T1899">
        <v>1</v>
      </c>
      <c r="W1899">
        <v>1</v>
      </c>
    </row>
    <row r="1900" spans="1:24" x14ac:dyDescent="0.3">
      <c r="A1900" t="s">
        <v>770</v>
      </c>
      <c r="B1900">
        <v>39</v>
      </c>
      <c r="R1900">
        <v>3</v>
      </c>
      <c r="T1900">
        <v>2</v>
      </c>
      <c r="W1900">
        <v>4</v>
      </c>
    </row>
    <row r="1901" spans="1:24" x14ac:dyDescent="0.3">
      <c r="A1901" t="s">
        <v>771</v>
      </c>
      <c r="B1901">
        <v>39</v>
      </c>
      <c r="T1901">
        <v>4</v>
      </c>
    </row>
    <row r="1902" spans="1:24" x14ac:dyDescent="0.3">
      <c r="A1902" t="s">
        <v>46</v>
      </c>
      <c r="B1902">
        <v>39</v>
      </c>
      <c r="X1902">
        <v>1</v>
      </c>
    </row>
    <row r="1903" spans="1:24" x14ac:dyDescent="0.3">
      <c r="A1903" t="s">
        <v>772</v>
      </c>
      <c r="B1903">
        <v>39</v>
      </c>
      <c r="X1903">
        <v>4</v>
      </c>
    </row>
    <row r="1904" spans="1:24" x14ac:dyDescent="0.3">
      <c r="A1904" t="s">
        <v>49</v>
      </c>
      <c r="B1904">
        <v>39</v>
      </c>
      <c r="P1904">
        <v>9.9</v>
      </c>
      <c r="R1904">
        <v>9.6</v>
      </c>
      <c r="S1904">
        <v>9.6</v>
      </c>
      <c r="T1904">
        <v>7.3</v>
      </c>
      <c r="W1904">
        <v>7.3</v>
      </c>
      <c r="X1904">
        <v>7.3</v>
      </c>
    </row>
    <row r="1905" spans="1:24" x14ac:dyDescent="0.3">
      <c r="A1905" t="s">
        <v>696</v>
      </c>
      <c r="B1905">
        <v>39</v>
      </c>
      <c r="P1905">
        <v>0</v>
      </c>
      <c r="R1905">
        <v>0</v>
      </c>
      <c r="S1905">
        <v>0</v>
      </c>
      <c r="T1905">
        <v>0</v>
      </c>
      <c r="W1905">
        <v>0</v>
      </c>
      <c r="X1905">
        <v>0</v>
      </c>
    </row>
    <row r="1906" spans="1:24" x14ac:dyDescent="0.3">
      <c r="A1906" t="s">
        <v>48</v>
      </c>
      <c r="B1906">
        <v>39</v>
      </c>
      <c r="P1906">
        <v>1900</v>
      </c>
      <c r="R1906">
        <v>1900</v>
      </c>
      <c r="S1906">
        <v>1900</v>
      </c>
      <c r="T1906">
        <v>1900</v>
      </c>
      <c r="W1906">
        <v>1900</v>
      </c>
      <c r="X1906">
        <v>1900</v>
      </c>
    </row>
    <row r="1907" spans="1:24" x14ac:dyDescent="0.3">
      <c r="A1907" t="s">
        <v>697</v>
      </c>
      <c r="B1907">
        <v>39</v>
      </c>
      <c r="P1907">
        <v>3433</v>
      </c>
      <c r="R1907">
        <v>1583</v>
      </c>
      <c r="S1907">
        <v>3433</v>
      </c>
      <c r="T1907">
        <v>5085</v>
      </c>
      <c r="W1907">
        <v>5085</v>
      </c>
      <c r="X1907">
        <v>1583</v>
      </c>
    </row>
    <row r="1908" spans="1:24" x14ac:dyDescent="0.3">
      <c r="A1908" t="s">
        <v>50</v>
      </c>
      <c r="B1908">
        <v>39</v>
      </c>
      <c r="P1908">
        <v>3433</v>
      </c>
      <c r="R1908">
        <v>1583</v>
      </c>
      <c r="S1908">
        <v>3433</v>
      </c>
      <c r="T1908">
        <v>5085</v>
      </c>
      <c r="W1908">
        <v>5085</v>
      </c>
      <c r="X1908">
        <v>1583</v>
      </c>
    </row>
    <row r="1909" spans="1:24" x14ac:dyDescent="0.3">
      <c r="A1909" t="s">
        <v>698</v>
      </c>
      <c r="B1909">
        <v>39</v>
      </c>
      <c r="P1909">
        <v>1</v>
      </c>
      <c r="R1909">
        <v>1</v>
      </c>
      <c r="S1909">
        <v>1</v>
      </c>
      <c r="T1909">
        <v>1</v>
      </c>
      <c r="W1909">
        <v>1</v>
      </c>
      <c r="X1909">
        <v>1</v>
      </c>
    </row>
    <row r="1910" spans="1:24" x14ac:dyDescent="0.3">
      <c r="A1910" t="s">
        <v>51</v>
      </c>
      <c r="B1910">
        <v>39</v>
      </c>
      <c r="P1910">
        <v>0</v>
      </c>
      <c r="R1910">
        <v>77</v>
      </c>
      <c r="S1910">
        <v>0</v>
      </c>
      <c r="T1910">
        <v>0</v>
      </c>
      <c r="W1910">
        <v>0</v>
      </c>
      <c r="X1910">
        <v>233</v>
      </c>
    </row>
    <row r="1911" spans="1:24" x14ac:dyDescent="0.3">
      <c r="A1911" t="s">
        <v>53</v>
      </c>
      <c r="B1911">
        <v>39</v>
      </c>
      <c r="P1911">
        <v>488</v>
      </c>
      <c r="R1911">
        <v>221</v>
      </c>
      <c r="S1911">
        <v>72</v>
      </c>
      <c r="T1911">
        <v>496</v>
      </c>
      <c r="W1911">
        <v>806</v>
      </c>
      <c r="X1911">
        <v>214</v>
      </c>
    </row>
    <row r="1912" spans="1:24" x14ac:dyDescent="0.3">
      <c r="A1912" t="s">
        <v>54</v>
      </c>
      <c r="B1912">
        <v>39</v>
      </c>
      <c r="P1912">
        <v>0</v>
      </c>
      <c r="R1912">
        <v>0</v>
      </c>
      <c r="S1912">
        <v>0</v>
      </c>
      <c r="T1912">
        <v>0</v>
      </c>
      <c r="W1912">
        <v>0</v>
      </c>
      <c r="X1912">
        <v>0</v>
      </c>
    </row>
    <row r="1913" spans="1:24" x14ac:dyDescent="0.3">
      <c r="A1913" t="s">
        <v>55</v>
      </c>
      <c r="B1913">
        <v>39</v>
      </c>
      <c r="P1913">
        <v>0</v>
      </c>
      <c r="R1913">
        <v>0</v>
      </c>
      <c r="S1913">
        <v>0</v>
      </c>
      <c r="T1913">
        <v>0</v>
      </c>
      <c r="W1913">
        <v>0</v>
      </c>
      <c r="X1913">
        <v>0</v>
      </c>
    </row>
    <row r="1914" spans="1:24" x14ac:dyDescent="0.3">
      <c r="A1914" t="s">
        <v>56</v>
      </c>
      <c r="B1914">
        <v>39</v>
      </c>
      <c r="P1914">
        <v>0.92</v>
      </c>
      <c r="R1914">
        <v>0.92</v>
      </c>
      <c r="S1914">
        <v>0.92</v>
      </c>
      <c r="T1914">
        <v>0.92</v>
      </c>
      <c r="W1914">
        <v>0.92</v>
      </c>
      <c r="X1914">
        <v>0.92</v>
      </c>
    </row>
    <row r="1915" spans="1:24" x14ac:dyDescent="0.3">
      <c r="A1915" t="s">
        <v>57</v>
      </c>
      <c r="B1915">
        <v>39</v>
      </c>
      <c r="P1915">
        <v>100</v>
      </c>
      <c r="R1915">
        <v>100</v>
      </c>
      <c r="S1915">
        <v>100</v>
      </c>
      <c r="T1915">
        <v>100</v>
      </c>
      <c r="W1915">
        <v>100</v>
      </c>
      <c r="X1915">
        <v>100</v>
      </c>
    </row>
    <row r="1916" spans="1:24" x14ac:dyDescent="0.3">
      <c r="A1916" t="s">
        <v>58</v>
      </c>
      <c r="B1916">
        <v>39</v>
      </c>
      <c r="P1916">
        <v>2</v>
      </c>
      <c r="R1916">
        <v>2</v>
      </c>
      <c r="S1916">
        <v>2</v>
      </c>
      <c r="T1916">
        <v>2</v>
      </c>
      <c r="W1916">
        <v>2</v>
      </c>
      <c r="X1916">
        <v>2</v>
      </c>
    </row>
    <row r="1917" spans="1:24" x14ac:dyDescent="0.3">
      <c r="A1917" t="s">
        <v>59</v>
      </c>
      <c r="B1917">
        <v>39</v>
      </c>
      <c r="P1917">
        <v>0</v>
      </c>
      <c r="R1917">
        <v>0</v>
      </c>
      <c r="S1917">
        <v>0</v>
      </c>
      <c r="T1917">
        <v>0</v>
      </c>
      <c r="W1917">
        <v>0</v>
      </c>
      <c r="X1917">
        <v>0</v>
      </c>
    </row>
    <row r="1918" spans="1:24" x14ac:dyDescent="0.3">
      <c r="A1918" t="s">
        <v>699</v>
      </c>
      <c r="B1918">
        <v>39</v>
      </c>
      <c r="P1918">
        <v>0</v>
      </c>
      <c r="T1918">
        <v>0</v>
      </c>
      <c r="W1918">
        <v>0</v>
      </c>
    </row>
    <row r="1919" spans="1:24" x14ac:dyDescent="0.3">
      <c r="A1919" t="s">
        <v>678</v>
      </c>
      <c r="B1919">
        <v>39</v>
      </c>
      <c r="P1919">
        <v>610</v>
      </c>
      <c r="T1919">
        <v>5039</v>
      </c>
      <c r="W1919">
        <v>1361</v>
      </c>
    </row>
    <row r="1920" spans="1:24" x14ac:dyDescent="0.3">
      <c r="A1920" t="s">
        <v>78</v>
      </c>
      <c r="B1920">
        <v>39</v>
      </c>
      <c r="P1920">
        <v>9.1999999999999993</v>
      </c>
      <c r="T1920">
        <v>62.5</v>
      </c>
      <c r="W1920">
        <v>16.899999999999999</v>
      </c>
    </row>
    <row r="1921" spans="1:24" x14ac:dyDescent="0.3">
      <c r="A1921" t="s">
        <v>700</v>
      </c>
      <c r="B1921">
        <v>39</v>
      </c>
      <c r="R1921">
        <v>0</v>
      </c>
      <c r="T1921">
        <v>0</v>
      </c>
      <c r="X1921">
        <v>0</v>
      </c>
    </row>
    <row r="1922" spans="1:24" x14ac:dyDescent="0.3">
      <c r="A1922" t="s">
        <v>701</v>
      </c>
      <c r="B1922">
        <v>39</v>
      </c>
      <c r="P1922">
        <v>0</v>
      </c>
      <c r="R1922">
        <v>1</v>
      </c>
      <c r="S1922">
        <v>0</v>
      </c>
      <c r="T1922">
        <v>0</v>
      </c>
      <c r="W1922">
        <v>0</v>
      </c>
      <c r="X1922">
        <v>1</v>
      </c>
    </row>
    <row r="1923" spans="1:24" x14ac:dyDescent="0.3">
      <c r="A1923" t="s">
        <v>702</v>
      </c>
      <c r="B1923">
        <v>39</v>
      </c>
      <c r="P1923">
        <v>0</v>
      </c>
      <c r="R1923">
        <v>0</v>
      </c>
      <c r="S1923">
        <v>0</v>
      </c>
      <c r="T1923">
        <v>0</v>
      </c>
      <c r="W1923">
        <v>0</v>
      </c>
      <c r="X1923">
        <v>0</v>
      </c>
    </row>
    <row r="1924" spans="1:24" x14ac:dyDescent="0.3">
      <c r="A1924" t="s">
        <v>52</v>
      </c>
      <c r="B1924">
        <v>39</v>
      </c>
      <c r="P1924">
        <v>1</v>
      </c>
      <c r="R1924">
        <v>1</v>
      </c>
      <c r="S1924">
        <v>1</v>
      </c>
      <c r="T1924">
        <v>1</v>
      </c>
      <c r="W1924">
        <v>1</v>
      </c>
      <c r="X1924">
        <v>1</v>
      </c>
    </row>
    <row r="1925" spans="1:24" x14ac:dyDescent="0.3">
      <c r="A1925" t="s">
        <v>703</v>
      </c>
      <c r="B1925">
        <v>39</v>
      </c>
      <c r="P1925">
        <v>15</v>
      </c>
      <c r="R1925">
        <v>9</v>
      </c>
      <c r="S1925">
        <v>15</v>
      </c>
      <c r="T1925">
        <v>60</v>
      </c>
      <c r="W1925">
        <v>60</v>
      </c>
      <c r="X1925">
        <v>9</v>
      </c>
    </row>
    <row r="1926" spans="1:24" x14ac:dyDescent="0.3">
      <c r="A1926" t="s">
        <v>43</v>
      </c>
      <c r="B1926">
        <v>39</v>
      </c>
      <c r="P1926">
        <v>20</v>
      </c>
      <c r="R1926">
        <v>20</v>
      </c>
      <c r="S1926">
        <v>20</v>
      </c>
      <c r="T1926">
        <v>100</v>
      </c>
      <c r="W1926">
        <v>100</v>
      </c>
      <c r="X1926">
        <v>20</v>
      </c>
    </row>
    <row r="1927" spans="1:24" x14ac:dyDescent="0.3">
      <c r="A1927" t="s">
        <v>44</v>
      </c>
      <c r="B1927">
        <v>39</v>
      </c>
      <c r="P1927">
        <v>0</v>
      </c>
      <c r="R1927">
        <v>0</v>
      </c>
      <c r="S1927">
        <v>0</v>
      </c>
      <c r="T1927">
        <v>0</v>
      </c>
      <c r="W1927">
        <v>0</v>
      </c>
      <c r="X1927">
        <v>0</v>
      </c>
    </row>
    <row r="1928" spans="1:24" x14ac:dyDescent="0.3">
      <c r="A1928" t="s">
        <v>47</v>
      </c>
      <c r="B1928">
        <v>39</v>
      </c>
      <c r="P1928">
        <v>3</v>
      </c>
      <c r="R1928">
        <v>2</v>
      </c>
      <c r="S1928">
        <v>2</v>
      </c>
      <c r="T1928">
        <v>1</v>
      </c>
      <c r="W1928">
        <v>1</v>
      </c>
      <c r="X1928">
        <v>1</v>
      </c>
    </row>
    <row r="1929" spans="1:24" x14ac:dyDescent="0.3">
      <c r="A1929" t="s">
        <v>704</v>
      </c>
      <c r="B1929">
        <v>39</v>
      </c>
      <c r="P1929">
        <v>0</v>
      </c>
      <c r="R1929">
        <v>3</v>
      </c>
      <c r="S1929">
        <v>0</v>
      </c>
      <c r="T1929">
        <v>2</v>
      </c>
      <c r="W1929">
        <v>4</v>
      </c>
      <c r="X1929">
        <v>4</v>
      </c>
    </row>
    <row r="1930" spans="1:24" x14ac:dyDescent="0.3">
      <c r="A1930" t="s">
        <v>705</v>
      </c>
      <c r="B1930">
        <v>39</v>
      </c>
      <c r="P1930">
        <v>0</v>
      </c>
      <c r="R1930">
        <v>0</v>
      </c>
      <c r="S1930">
        <v>0</v>
      </c>
      <c r="T1930">
        <v>4</v>
      </c>
      <c r="W1930">
        <v>0</v>
      </c>
      <c r="X1930">
        <v>0</v>
      </c>
    </row>
    <row r="1931" spans="1:24" x14ac:dyDescent="0.3">
      <c r="A1931" t="s">
        <v>706</v>
      </c>
      <c r="B1931">
        <v>39</v>
      </c>
      <c r="P1931">
        <v>0</v>
      </c>
      <c r="R1931">
        <v>0</v>
      </c>
      <c r="S1931">
        <v>0</v>
      </c>
      <c r="T1931">
        <v>0</v>
      </c>
      <c r="W1931">
        <v>0</v>
      </c>
      <c r="X1931">
        <v>0</v>
      </c>
    </row>
    <row r="1932" spans="1:24" x14ac:dyDescent="0.3">
      <c r="A1932" t="s">
        <v>707</v>
      </c>
      <c r="B1932">
        <v>39</v>
      </c>
      <c r="P1932">
        <v>0</v>
      </c>
      <c r="R1932">
        <v>0</v>
      </c>
      <c r="S1932">
        <v>0</v>
      </c>
      <c r="T1932">
        <v>0</v>
      </c>
      <c r="W1932">
        <v>0</v>
      </c>
      <c r="X1932">
        <v>0</v>
      </c>
    </row>
    <row r="1933" spans="1:24" x14ac:dyDescent="0.3">
      <c r="A1933" t="s">
        <v>708</v>
      </c>
      <c r="B1933">
        <v>39</v>
      </c>
      <c r="P1933">
        <v>1</v>
      </c>
      <c r="R1933">
        <v>1</v>
      </c>
      <c r="S1933">
        <v>1</v>
      </c>
      <c r="T1933">
        <v>2</v>
      </c>
      <c r="W1933">
        <v>2</v>
      </c>
      <c r="X1933">
        <v>1</v>
      </c>
    </row>
    <row r="1934" spans="1:24" x14ac:dyDescent="0.3">
      <c r="A1934" t="s">
        <v>709</v>
      </c>
      <c r="B1934">
        <v>39</v>
      </c>
      <c r="P1934">
        <v>0</v>
      </c>
      <c r="R1934">
        <v>0</v>
      </c>
      <c r="S1934">
        <v>0</v>
      </c>
      <c r="T1934">
        <v>0</v>
      </c>
      <c r="W1934">
        <v>0</v>
      </c>
      <c r="X1934">
        <v>0</v>
      </c>
    </row>
    <row r="1935" spans="1:24" x14ac:dyDescent="0.3">
      <c r="A1935" t="s">
        <v>710</v>
      </c>
      <c r="B1935">
        <v>39</v>
      </c>
      <c r="P1935">
        <v>20</v>
      </c>
      <c r="R1935">
        <v>20</v>
      </c>
      <c r="S1935">
        <v>20</v>
      </c>
      <c r="T1935">
        <v>6</v>
      </c>
      <c r="W1935">
        <v>6</v>
      </c>
      <c r="X1935">
        <v>20</v>
      </c>
    </row>
    <row r="1936" spans="1:24" x14ac:dyDescent="0.3">
      <c r="A1936" t="s">
        <v>711</v>
      </c>
      <c r="B1936">
        <v>39</v>
      </c>
      <c r="P1936">
        <v>3</v>
      </c>
      <c r="R1936">
        <v>3</v>
      </c>
      <c r="S1936">
        <v>3</v>
      </c>
      <c r="T1936">
        <v>3</v>
      </c>
      <c r="W1936">
        <v>3</v>
      </c>
      <c r="X1936">
        <v>3</v>
      </c>
    </row>
    <row r="1937" spans="1:24" x14ac:dyDescent="0.3">
      <c r="A1937" t="s">
        <v>712</v>
      </c>
      <c r="B1937">
        <v>39</v>
      </c>
      <c r="P1937">
        <v>0</v>
      </c>
      <c r="R1937">
        <v>0</v>
      </c>
      <c r="S1937">
        <v>0</v>
      </c>
      <c r="T1937">
        <v>0</v>
      </c>
      <c r="W1937">
        <v>0</v>
      </c>
      <c r="X1937">
        <v>0</v>
      </c>
    </row>
    <row r="1938" spans="1:24" x14ac:dyDescent="0.3">
      <c r="A1938" t="s">
        <v>713</v>
      </c>
      <c r="B1938">
        <v>39</v>
      </c>
      <c r="P1938">
        <v>0</v>
      </c>
      <c r="R1938">
        <v>0</v>
      </c>
      <c r="S1938">
        <v>0</v>
      </c>
      <c r="T1938">
        <v>0</v>
      </c>
      <c r="W1938">
        <v>0</v>
      </c>
      <c r="X1938">
        <v>0</v>
      </c>
    </row>
    <row r="1939" spans="1:24" x14ac:dyDescent="0.3">
      <c r="A1939" t="s">
        <v>714</v>
      </c>
      <c r="B1939">
        <v>39</v>
      </c>
      <c r="P1939">
        <v>0</v>
      </c>
      <c r="R1939">
        <v>0</v>
      </c>
      <c r="S1939">
        <v>0</v>
      </c>
      <c r="T1939">
        <v>0</v>
      </c>
      <c r="W1939">
        <v>0</v>
      </c>
      <c r="X1939">
        <v>0</v>
      </c>
    </row>
    <row r="1940" spans="1:24" x14ac:dyDescent="0.3">
      <c r="A1940" t="s">
        <v>715</v>
      </c>
      <c r="B1940">
        <v>39</v>
      </c>
      <c r="T1940">
        <v>94</v>
      </c>
      <c r="W1940">
        <v>94</v>
      </c>
    </row>
    <row r="1941" spans="1:24" x14ac:dyDescent="0.3">
      <c r="A1941" t="s">
        <v>716</v>
      </c>
      <c r="B1941">
        <v>39</v>
      </c>
      <c r="T1941">
        <v>6</v>
      </c>
      <c r="W1941">
        <v>6</v>
      </c>
    </row>
    <row r="1942" spans="1:24" x14ac:dyDescent="0.3">
      <c r="A1942" t="s">
        <v>717</v>
      </c>
      <c r="B1942">
        <v>39</v>
      </c>
      <c r="T1942">
        <v>3</v>
      </c>
      <c r="W1942">
        <v>3</v>
      </c>
    </row>
    <row r="1943" spans="1:24" x14ac:dyDescent="0.3">
      <c r="A1943" t="s">
        <v>718</v>
      </c>
      <c r="B1943">
        <v>39</v>
      </c>
      <c r="T1943">
        <v>0</v>
      </c>
      <c r="W1943">
        <v>0</v>
      </c>
    </row>
    <row r="1944" spans="1:24" x14ac:dyDescent="0.3">
      <c r="A1944" t="s">
        <v>719</v>
      </c>
      <c r="B1944">
        <v>39</v>
      </c>
      <c r="P1944">
        <v>0</v>
      </c>
      <c r="T1944">
        <v>0</v>
      </c>
      <c r="W1944">
        <v>0</v>
      </c>
    </row>
    <row r="1945" spans="1:24" x14ac:dyDescent="0.3">
      <c r="A1945" t="s">
        <v>405</v>
      </c>
      <c r="B1945">
        <v>39</v>
      </c>
      <c r="P1945">
        <v>0</v>
      </c>
    </row>
    <row r="1946" spans="1:24" x14ac:dyDescent="0.3">
      <c r="A1946" t="s">
        <v>720</v>
      </c>
      <c r="B1946">
        <v>39</v>
      </c>
      <c r="P1946">
        <v>530</v>
      </c>
      <c r="R1946">
        <v>240</v>
      </c>
      <c r="S1946">
        <v>78</v>
      </c>
      <c r="T1946">
        <v>539</v>
      </c>
      <c r="W1946">
        <v>876</v>
      </c>
      <c r="X1946">
        <v>233</v>
      </c>
    </row>
    <row r="1947" spans="1:24" x14ac:dyDescent="0.3">
      <c r="A1947" t="s">
        <v>34</v>
      </c>
      <c r="B1947">
        <v>43</v>
      </c>
      <c r="P1947">
        <v>45</v>
      </c>
      <c r="R1947">
        <v>45</v>
      </c>
      <c r="S1947">
        <v>39</v>
      </c>
      <c r="T1947">
        <v>39</v>
      </c>
      <c r="W1947">
        <v>44</v>
      </c>
      <c r="X1947">
        <v>44</v>
      </c>
    </row>
    <row r="1948" spans="1:24" x14ac:dyDescent="0.3">
      <c r="A1948" t="s">
        <v>35</v>
      </c>
      <c r="B1948">
        <v>43</v>
      </c>
      <c r="P1948">
        <v>44</v>
      </c>
      <c r="R1948">
        <v>39</v>
      </c>
      <c r="S1948">
        <v>45</v>
      </c>
      <c r="T1948">
        <v>44</v>
      </c>
      <c r="W1948">
        <v>39</v>
      </c>
      <c r="X1948">
        <v>45</v>
      </c>
    </row>
    <row r="1949" spans="1:24" x14ac:dyDescent="0.3">
      <c r="A1949" t="s">
        <v>36</v>
      </c>
      <c r="B1949">
        <v>43</v>
      </c>
      <c r="P1949">
        <v>2</v>
      </c>
      <c r="R1949">
        <v>1</v>
      </c>
      <c r="S1949">
        <v>2</v>
      </c>
      <c r="T1949">
        <v>3</v>
      </c>
      <c r="W1949">
        <v>3</v>
      </c>
      <c r="X1949">
        <v>1</v>
      </c>
    </row>
    <row r="1950" spans="1:24" x14ac:dyDescent="0.3">
      <c r="A1950" t="s">
        <v>37</v>
      </c>
      <c r="B1950">
        <v>43</v>
      </c>
      <c r="P1950">
        <v>0</v>
      </c>
      <c r="S1950">
        <v>0</v>
      </c>
      <c r="T1950">
        <v>0</v>
      </c>
      <c r="W1950">
        <v>0</v>
      </c>
    </row>
    <row r="1951" spans="1:24" x14ac:dyDescent="0.3">
      <c r="A1951" t="s">
        <v>38</v>
      </c>
      <c r="B1951">
        <v>43</v>
      </c>
      <c r="P1951">
        <v>12</v>
      </c>
      <c r="R1951">
        <v>12</v>
      </c>
      <c r="S1951">
        <v>12</v>
      </c>
      <c r="T1951">
        <v>12</v>
      </c>
      <c r="W1951">
        <v>12</v>
      </c>
      <c r="X1951">
        <v>12</v>
      </c>
    </row>
    <row r="1952" spans="1:24" x14ac:dyDescent="0.3">
      <c r="A1952" t="s">
        <v>39</v>
      </c>
      <c r="B1952">
        <v>43</v>
      </c>
      <c r="R1952">
        <v>325</v>
      </c>
      <c r="S1952">
        <v>780</v>
      </c>
      <c r="X1952">
        <v>570</v>
      </c>
    </row>
    <row r="1953" spans="1:24" x14ac:dyDescent="0.3">
      <c r="A1953" t="s">
        <v>695</v>
      </c>
      <c r="B1953">
        <v>43</v>
      </c>
      <c r="R1953">
        <v>200</v>
      </c>
      <c r="S1953">
        <v>145</v>
      </c>
      <c r="X1953">
        <v>85</v>
      </c>
    </row>
    <row r="1954" spans="1:24" x14ac:dyDescent="0.3">
      <c r="A1954" t="s">
        <v>40</v>
      </c>
      <c r="B1954">
        <v>43</v>
      </c>
      <c r="R1954">
        <v>1</v>
      </c>
      <c r="S1954">
        <v>2</v>
      </c>
      <c r="X1954">
        <v>1</v>
      </c>
    </row>
    <row r="1955" spans="1:24" x14ac:dyDescent="0.3">
      <c r="A1955" t="s">
        <v>41</v>
      </c>
      <c r="B1955">
        <v>43</v>
      </c>
    </row>
    <row r="1956" spans="1:24" x14ac:dyDescent="0.3">
      <c r="A1956" t="s">
        <v>42</v>
      </c>
      <c r="B1956">
        <v>43</v>
      </c>
      <c r="P1956">
        <v>45</v>
      </c>
      <c r="T1956">
        <v>55</v>
      </c>
      <c r="W1956">
        <v>55</v>
      </c>
    </row>
    <row r="1957" spans="1:24" x14ac:dyDescent="0.3">
      <c r="A1957" t="s">
        <v>45</v>
      </c>
      <c r="B1957">
        <v>43</v>
      </c>
      <c r="P1957">
        <v>4</v>
      </c>
      <c r="R1957">
        <v>4</v>
      </c>
      <c r="S1957">
        <v>2</v>
      </c>
      <c r="T1957">
        <v>1</v>
      </c>
      <c r="W1957">
        <v>1</v>
      </c>
    </row>
    <row r="1958" spans="1:24" x14ac:dyDescent="0.3">
      <c r="A1958" t="s">
        <v>770</v>
      </c>
      <c r="B1958">
        <v>43</v>
      </c>
      <c r="R1958">
        <v>2</v>
      </c>
      <c r="T1958">
        <v>2</v>
      </c>
      <c r="W1958">
        <v>3</v>
      </c>
    </row>
    <row r="1959" spans="1:24" x14ac:dyDescent="0.3">
      <c r="A1959" t="s">
        <v>771</v>
      </c>
      <c r="B1959">
        <v>43</v>
      </c>
      <c r="T1959">
        <v>3</v>
      </c>
    </row>
    <row r="1960" spans="1:24" x14ac:dyDescent="0.3">
      <c r="A1960" t="s">
        <v>46</v>
      </c>
      <c r="B1960">
        <v>43</v>
      </c>
      <c r="X1960">
        <v>1</v>
      </c>
    </row>
    <row r="1961" spans="1:24" x14ac:dyDescent="0.3">
      <c r="A1961" t="s">
        <v>772</v>
      </c>
      <c r="B1961">
        <v>43</v>
      </c>
      <c r="X1961">
        <v>3</v>
      </c>
    </row>
    <row r="1962" spans="1:24" x14ac:dyDescent="0.3">
      <c r="A1962" t="s">
        <v>49</v>
      </c>
      <c r="B1962">
        <v>43</v>
      </c>
      <c r="P1962">
        <v>9.9</v>
      </c>
      <c r="R1962">
        <v>9.9</v>
      </c>
      <c r="S1962">
        <v>9.6</v>
      </c>
      <c r="T1962">
        <v>7.3</v>
      </c>
      <c r="W1962">
        <v>7.3</v>
      </c>
      <c r="X1962">
        <v>7.3</v>
      </c>
    </row>
    <row r="1963" spans="1:24" x14ac:dyDescent="0.3">
      <c r="A1963" t="s">
        <v>696</v>
      </c>
      <c r="B1963">
        <v>43</v>
      </c>
      <c r="P1963">
        <v>0</v>
      </c>
      <c r="R1963">
        <v>0</v>
      </c>
      <c r="S1963">
        <v>0</v>
      </c>
      <c r="T1963">
        <v>0</v>
      </c>
      <c r="W1963">
        <v>0</v>
      </c>
      <c r="X1963">
        <v>0</v>
      </c>
    </row>
    <row r="1964" spans="1:24" x14ac:dyDescent="0.3">
      <c r="A1964" t="s">
        <v>48</v>
      </c>
      <c r="B1964">
        <v>43</v>
      </c>
      <c r="P1964">
        <v>1900</v>
      </c>
      <c r="R1964">
        <v>1900</v>
      </c>
      <c r="S1964">
        <v>1900</v>
      </c>
      <c r="T1964">
        <v>1900</v>
      </c>
      <c r="W1964">
        <v>1900</v>
      </c>
      <c r="X1964">
        <v>1900</v>
      </c>
    </row>
    <row r="1965" spans="1:24" x14ac:dyDescent="0.3">
      <c r="A1965" t="s">
        <v>697</v>
      </c>
      <c r="B1965">
        <v>43</v>
      </c>
      <c r="P1965">
        <v>3433</v>
      </c>
      <c r="R1965">
        <v>1583</v>
      </c>
      <c r="S1965">
        <v>3433</v>
      </c>
      <c r="T1965">
        <v>5085</v>
      </c>
      <c r="W1965">
        <v>5085</v>
      </c>
      <c r="X1965">
        <v>1583</v>
      </c>
    </row>
    <row r="1966" spans="1:24" x14ac:dyDescent="0.3">
      <c r="A1966" t="s">
        <v>50</v>
      </c>
      <c r="B1966">
        <v>43</v>
      </c>
      <c r="P1966">
        <v>3433</v>
      </c>
      <c r="R1966">
        <v>1583</v>
      </c>
      <c r="S1966">
        <v>3433</v>
      </c>
      <c r="T1966">
        <v>5085</v>
      </c>
      <c r="W1966">
        <v>5085</v>
      </c>
      <c r="X1966">
        <v>1583</v>
      </c>
    </row>
    <row r="1967" spans="1:24" x14ac:dyDescent="0.3">
      <c r="A1967" t="s">
        <v>698</v>
      </c>
      <c r="B1967">
        <v>43</v>
      </c>
      <c r="P1967">
        <v>1</v>
      </c>
      <c r="R1967">
        <v>1</v>
      </c>
      <c r="S1967">
        <v>1</v>
      </c>
      <c r="T1967">
        <v>1</v>
      </c>
      <c r="W1967">
        <v>1</v>
      </c>
      <c r="X1967">
        <v>1</v>
      </c>
    </row>
    <row r="1968" spans="1:24" x14ac:dyDescent="0.3">
      <c r="A1968" t="s">
        <v>51</v>
      </c>
      <c r="B1968">
        <v>43</v>
      </c>
      <c r="P1968">
        <v>0</v>
      </c>
      <c r="R1968">
        <v>94</v>
      </c>
      <c r="S1968">
        <v>0</v>
      </c>
      <c r="T1968">
        <v>0</v>
      </c>
      <c r="W1968">
        <v>0</v>
      </c>
      <c r="X1968">
        <v>672</v>
      </c>
    </row>
    <row r="1969" spans="1:24" x14ac:dyDescent="0.3">
      <c r="A1969" t="s">
        <v>53</v>
      </c>
      <c r="B1969">
        <v>43</v>
      </c>
      <c r="P1969">
        <v>88</v>
      </c>
      <c r="R1969">
        <v>114</v>
      </c>
      <c r="S1969">
        <v>71</v>
      </c>
      <c r="T1969">
        <v>904</v>
      </c>
      <c r="W1969">
        <v>902</v>
      </c>
      <c r="X1969">
        <v>618</v>
      </c>
    </row>
    <row r="1970" spans="1:24" x14ac:dyDescent="0.3">
      <c r="A1970" t="s">
        <v>54</v>
      </c>
      <c r="B1970">
        <v>43</v>
      </c>
      <c r="P1970">
        <v>0</v>
      </c>
      <c r="R1970">
        <v>0</v>
      </c>
      <c r="S1970">
        <v>0</v>
      </c>
      <c r="T1970">
        <v>0</v>
      </c>
      <c r="W1970">
        <v>0</v>
      </c>
      <c r="X1970">
        <v>0</v>
      </c>
    </row>
    <row r="1971" spans="1:24" x14ac:dyDescent="0.3">
      <c r="A1971" t="s">
        <v>55</v>
      </c>
      <c r="B1971">
        <v>43</v>
      </c>
      <c r="P1971">
        <v>0</v>
      </c>
      <c r="R1971">
        <v>0</v>
      </c>
      <c r="S1971">
        <v>0</v>
      </c>
      <c r="T1971">
        <v>0</v>
      </c>
      <c r="W1971">
        <v>0</v>
      </c>
      <c r="X1971">
        <v>0</v>
      </c>
    </row>
    <row r="1972" spans="1:24" x14ac:dyDescent="0.3">
      <c r="A1972" t="s">
        <v>56</v>
      </c>
      <c r="B1972">
        <v>43</v>
      </c>
      <c r="P1972">
        <v>0.92</v>
      </c>
      <c r="R1972">
        <v>0.92</v>
      </c>
      <c r="S1972">
        <v>0.92</v>
      </c>
      <c r="T1972">
        <v>0.92</v>
      </c>
      <c r="W1972">
        <v>0.92</v>
      </c>
      <c r="X1972">
        <v>0.92</v>
      </c>
    </row>
    <row r="1973" spans="1:24" x14ac:dyDescent="0.3">
      <c r="A1973" t="s">
        <v>57</v>
      </c>
      <c r="B1973">
        <v>43</v>
      </c>
      <c r="P1973">
        <v>100</v>
      </c>
      <c r="R1973">
        <v>100</v>
      </c>
      <c r="S1973">
        <v>100</v>
      </c>
      <c r="T1973">
        <v>100</v>
      </c>
      <c r="W1973">
        <v>100</v>
      </c>
      <c r="X1973">
        <v>100</v>
      </c>
    </row>
    <row r="1974" spans="1:24" x14ac:dyDescent="0.3">
      <c r="A1974" t="s">
        <v>58</v>
      </c>
      <c r="B1974">
        <v>43</v>
      </c>
      <c r="P1974">
        <v>2</v>
      </c>
      <c r="R1974">
        <v>2</v>
      </c>
      <c r="S1974">
        <v>2</v>
      </c>
      <c r="T1974">
        <v>2</v>
      </c>
      <c r="W1974">
        <v>2</v>
      </c>
      <c r="X1974">
        <v>2</v>
      </c>
    </row>
    <row r="1975" spans="1:24" x14ac:dyDescent="0.3">
      <c r="A1975" t="s">
        <v>59</v>
      </c>
      <c r="B1975">
        <v>43</v>
      </c>
      <c r="P1975">
        <v>0</v>
      </c>
      <c r="R1975">
        <v>0</v>
      </c>
      <c r="S1975">
        <v>0</v>
      </c>
      <c r="T1975">
        <v>0</v>
      </c>
      <c r="W1975">
        <v>0</v>
      </c>
      <c r="X1975">
        <v>0</v>
      </c>
    </row>
    <row r="1976" spans="1:24" x14ac:dyDescent="0.3">
      <c r="A1976" t="s">
        <v>699</v>
      </c>
      <c r="B1976">
        <v>43</v>
      </c>
      <c r="P1976">
        <v>0</v>
      </c>
      <c r="T1976">
        <v>0</v>
      </c>
      <c r="W1976">
        <v>0</v>
      </c>
    </row>
    <row r="1977" spans="1:24" x14ac:dyDescent="0.3">
      <c r="A1977" t="s">
        <v>678</v>
      </c>
      <c r="B1977">
        <v>43</v>
      </c>
      <c r="P1977">
        <v>666</v>
      </c>
      <c r="T1977">
        <v>1361</v>
      </c>
      <c r="W1977">
        <v>2677</v>
      </c>
    </row>
    <row r="1978" spans="1:24" x14ac:dyDescent="0.3">
      <c r="A1978" t="s">
        <v>78</v>
      </c>
      <c r="B1978">
        <v>43</v>
      </c>
      <c r="P1978">
        <v>10.1</v>
      </c>
      <c r="T1978">
        <v>16.899999999999999</v>
      </c>
      <c r="W1978">
        <v>33.200000000000003</v>
      </c>
    </row>
    <row r="1979" spans="1:24" x14ac:dyDescent="0.3">
      <c r="A1979" t="s">
        <v>700</v>
      </c>
      <c r="B1979">
        <v>43</v>
      </c>
      <c r="R1979">
        <v>0</v>
      </c>
      <c r="T1979">
        <v>0</v>
      </c>
      <c r="X1979">
        <v>0</v>
      </c>
    </row>
    <row r="1980" spans="1:24" x14ac:dyDescent="0.3">
      <c r="A1980" t="s">
        <v>701</v>
      </c>
      <c r="B1980">
        <v>43</v>
      </c>
      <c r="P1980">
        <v>0</v>
      </c>
      <c r="R1980">
        <v>1</v>
      </c>
      <c r="S1980">
        <v>0</v>
      </c>
      <c r="T1980">
        <v>0</v>
      </c>
      <c r="W1980">
        <v>0</v>
      </c>
      <c r="X1980">
        <v>1</v>
      </c>
    </row>
    <row r="1981" spans="1:24" x14ac:dyDescent="0.3">
      <c r="A1981" t="s">
        <v>702</v>
      </c>
      <c r="B1981">
        <v>43</v>
      </c>
      <c r="P1981">
        <v>0</v>
      </c>
      <c r="R1981">
        <v>0</v>
      </c>
      <c r="S1981">
        <v>0</v>
      </c>
      <c r="T1981">
        <v>0</v>
      </c>
      <c r="W1981">
        <v>0</v>
      </c>
      <c r="X1981">
        <v>0</v>
      </c>
    </row>
    <row r="1982" spans="1:24" x14ac:dyDescent="0.3">
      <c r="A1982" t="s">
        <v>52</v>
      </c>
      <c r="B1982">
        <v>43</v>
      </c>
      <c r="P1982">
        <v>1</v>
      </c>
      <c r="R1982">
        <v>1</v>
      </c>
      <c r="S1982">
        <v>1</v>
      </c>
      <c r="T1982">
        <v>1</v>
      </c>
      <c r="W1982">
        <v>1</v>
      </c>
      <c r="X1982">
        <v>1</v>
      </c>
    </row>
    <row r="1983" spans="1:24" x14ac:dyDescent="0.3">
      <c r="A1983" t="s">
        <v>703</v>
      </c>
      <c r="B1983">
        <v>43</v>
      </c>
      <c r="P1983">
        <v>15</v>
      </c>
      <c r="R1983">
        <v>9</v>
      </c>
      <c r="S1983">
        <v>15</v>
      </c>
      <c r="T1983">
        <v>60</v>
      </c>
      <c r="W1983">
        <v>60</v>
      </c>
      <c r="X1983">
        <v>9</v>
      </c>
    </row>
    <row r="1984" spans="1:24" x14ac:dyDescent="0.3">
      <c r="A1984" t="s">
        <v>43</v>
      </c>
      <c r="B1984">
        <v>43</v>
      </c>
      <c r="P1984">
        <v>20</v>
      </c>
      <c r="R1984">
        <v>20</v>
      </c>
      <c r="S1984">
        <v>20</v>
      </c>
      <c r="T1984">
        <v>100</v>
      </c>
      <c r="W1984">
        <v>100</v>
      </c>
      <c r="X1984">
        <v>20</v>
      </c>
    </row>
    <row r="1985" spans="1:24" x14ac:dyDescent="0.3">
      <c r="A1985" t="s">
        <v>44</v>
      </c>
      <c r="B1985">
        <v>43</v>
      </c>
      <c r="P1985">
        <v>0</v>
      </c>
      <c r="R1985">
        <v>0</v>
      </c>
      <c r="S1985">
        <v>0</v>
      </c>
      <c r="T1985">
        <v>0</v>
      </c>
      <c r="W1985">
        <v>0</v>
      </c>
      <c r="X1985">
        <v>0</v>
      </c>
    </row>
    <row r="1986" spans="1:24" x14ac:dyDescent="0.3">
      <c r="A1986" t="s">
        <v>47</v>
      </c>
      <c r="B1986">
        <v>43</v>
      </c>
      <c r="P1986">
        <v>4</v>
      </c>
      <c r="R1986">
        <v>4</v>
      </c>
      <c r="S1986">
        <v>2</v>
      </c>
      <c r="T1986">
        <v>1</v>
      </c>
      <c r="W1986">
        <v>1</v>
      </c>
      <c r="X1986">
        <v>1</v>
      </c>
    </row>
    <row r="1987" spans="1:24" x14ac:dyDescent="0.3">
      <c r="A1987" t="s">
        <v>704</v>
      </c>
      <c r="B1987">
        <v>43</v>
      </c>
      <c r="P1987">
        <v>0</v>
      </c>
      <c r="R1987">
        <v>2</v>
      </c>
      <c r="S1987">
        <v>0</v>
      </c>
      <c r="T1987">
        <v>2</v>
      </c>
      <c r="W1987">
        <v>3</v>
      </c>
      <c r="X1987">
        <v>3</v>
      </c>
    </row>
    <row r="1988" spans="1:24" x14ac:dyDescent="0.3">
      <c r="A1988" t="s">
        <v>705</v>
      </c>
      <c r="B1988">
        <v>43</v>
      </c>
      <c r="P1988">
        <v>0</v>
      </c>
      <c r="R1988">
        <v>0</v>
      </c>
      <c r="S1988">
        <v>0</v>
      </c>
      <c r="T1988">
        <v>3</v>
      </c>
      <c r="W1988">
        <v>0</v>
      </c>
      <c r="X1988">
        <v>0</v>
      </c>
    </row>
    <row r="1989" spans="1:24" x14ac:dyDescent="0.3">
      <c r="A1989" t="s">
        <v>706</v>
      </c>
      <c r="B1989">
        <v>43</v>
      </c>
      <c r="P1989">
        <v>0</v>
      </c>
      <c r="R1989">
        <v>0</v>
      </c>
      <c r="S1989">
        <v>0</v>
      </c>
      <c r="T1989">
        <v>0</v>
      </c>
      <c r="W1989">
        <v>0</v>
      </c>
      <c r="X1989">
        <v>0</v>
      </c>
    </row>
    <row r="1990" spans="1:24" x14ac:dyDescent="0.3">
      <c r="A1990" t="s">
        <v>707</v>
      </c>
      <c r="B1990">
        <v>43</v>
      </c>
      <c r="P1990">
        <v>0</v>
      </c>
      <c r="R1990">
        <v>0</v>
      </c>
      <c r="S1990">
        <v>0</v>
      </c>
      <c r="T1990">
        <v>0</v>
      </c>
      <c r="W1990">
        <v>0</v>
      </c>
      <c r="X1990">
        <v>0</v>
      </c>
    </row>
    <row r="1991" spans="1:24" x14ac:dyDescent="0.3">
      <c r="A1991" t="s">
        <v>708</v>
      </c>
      <c r="B1991">
        <v>43</v>
      </c>
      <c r="P1991">
        <v>1</v>
      </c>
      <c r="R1991">
        <v>1</v>
      </c>
      <c r="S1991">
        <v>1</v>
      </c>
      <c r="T1991">
        <v>2</v>
      </c>
      <c r="W1991">
        <v>2</v>
      </c>
      <c r="X1991">
        <v>1</v>
      </c>
    </row>
    <row r="1992" spans="1:24" x14ac:dyDescent="0.3">
      <c r="A1992" t="s">
        <v>709</v>
      </c>
      <c r="B1992">
        <v>43</v>
      </c>
      <c r="P1992">
        <v>0</v>
      </c>
      <c r="R1992">
        <v>0</v>
      </c>
      <c r="S1992">
        <v>0</v>
      </c>
      <c r="T1992">
        <v>0</v>
      </c>
      <c r="W1992">
        <v>0</v>
      </c>
      <c r="X1992">
        <v>0</v>
      </c>
    </row>
    <row r="1993" spans="1:24" x14ac:dyDescent="0.3">
      <c r="A1993" t="s">
        <v>710</v>
      </c>
      <c r="B1993">
        <v>43</v>
      </c>
      <c r="P1993">
        <v>20</v>
      </c>
      <c r="R1993">
        <v>20</v>
      </c>
      <c r="S1993">
        <v>20</v>
      </c>
      <c r="T1993">
        <v>6</v>
      </c>
      <c r="W1993">
        <v>6</v>
      </c>
      <c r="X1993">
        <v>20</v>
      </c>
    </row>
    <row r="1994" spans="1:24" x14ac:dyDescent="0.3">
      <c r="A1994" t="s">
        <v>711</v>
      </c>
      <c r="B1994">
        <v>43</v>
      </c>
      <c r="P1994">
        <v>3</v>
      </c>
      <c r="R1994">
        <v>3</v>
      </c>
      <c r="S1994">
        <v>3</v>
      </c>
      <c r="T1994">
        <v>3</v>
      </c>
      <c r="W1994">
        <v>3</v>
      </c>
      <c r="X1994">
        <v>3</v>
      </c>
    </row>
    <row r="1995" spans="1:24" x14ac:dyDescent="0.3">
      <c r="A1995" t="s">
        <v>712</v>
      </c>
      <c r="B1995">
        <v>43</v>
      </c>
      <c r="P1995">
        <v>0</v>
      </c>
      <c r="R1995">
        <v>0</v>
      </c>
      <c r="S1995">
        <v>0</v>
      </c>
      <c r="T1995">
        <v>0</v>
      </c>
      <c r="W1995">
        <v>0</v>
      </c>
      <c r="X1995">
        <v>0</v>
      </c>
    </row>
    <row r="1996" spans="1:24" x14ac:dyDescent="0.3">
      <c r="A1996" t="s">
        <v>713</v>
      </c>
      <c r="B1996">
        <v>43</v>
      </c>
      <c r="P1996">
        <v>0</v>
      </c>
      <c r="R1996">
        <v>0</v>
      </c>
      <c r="S1996">
        <v>0</v>
      </c>
      <c r="T1996">
        <v>0</v>
      </c>
      <c r="W1996">
        <v>0</v>
      </c>
      <c r="X1996">
        <v>0</v>
      </c>
    </row>
    <row r="1997" spans="1:24" x14ac:dyDescent="0.3">
      <c r="A1997" t="s">
        <v>714</v>
      </c>
      <c r="B1997">
        <v>43</v>
      </c>
      <c r="P1997">
        <v>0</v>
      </c>
      <c r="R1997">
        <v>0</v>
      </c>
      <c r="S1997">
        <v>0</v>
      </c>
      <c r="T1997">
        <v>0</v>
      </c>
      <c r="W1997">
        <v>0</v>
      </c>
      <c r="X1997">
        <v>0</v>
      </c>
    </row>
    <row r="1998" spans="1:24" x14ac:dyDescent="0.3">
      <c r="A1998" t="s">
        <v>715</v>
      </c>
      <c r="B1998">
        <v>43</v>
      </c>
      <c r="T1998">
        <v>94</v>
      </c>
      <c r="W1998">
        <v>94</v>
      </c>
    </row>
    <row r="1999" spans="1:24" x14ac:dyDescent="0.3">
      <c r="A1999" t="s">
        <v>716</v>
      </c>
      <c r="B1999">
        <v>43</v>
      </c>
      <c r="T1999">
        <v>6</v>
      </c>
      <c r="W1999">
        <v>6</v>
      </c>
    </row>
    <row r="2000" spans="1:24" x14ac:dyDescent="0.3">
      <c r="A2000" t="s">
        <v>717</v>
      </c>
      <c r="B2000">
        <v>43</v>
      </c>
      <c r="T2000">
        <v>3</v>
      </c>
      <c r="W2000">
        <v>3</v>
      </c>
    </row>
    <row r="2001" spans="1:27" x14ac:dyDescent="0.3">
      <c r="A2001" t="s">
        <v>718</v>
      </c>
      <c r="B2001">
        <v>43</v>
      </c>
      <c r="T2001">
        <v>0</v>
      </c>
      <c r="W2001">
        <v>0</v>
      </c>
    </row>
    <row r="2002" spans="1:27" x14ac:dyDescent="0.3">
      <c r="A2002" t="s">
        <v>719</v>
      </c>
      <c r="B2002">
        <v>43</v>
      </c>
      <c r="P2002">
        <v>0</v>
      </c>
      <c r="T2002">
        <v>0</v>
      </c>
      <c r="W2002">
        <v>0</v>
      </c>
    </row>
    <row r="2003" spans="1:27" x14ac:dyDescent="0.3">
      <c r="A2003" t="s">
        <v>405</v>
      </c>
      <c r="B2003">
        <v>43</v>
      </c>
      <c r="P2003">
        <v>0</v>
      </c>
    </row>
    <row r="2004" spans="1:27" x14ac:dyDescent="0.3">
      <c r="A2004" t="s">
        <v>720</v>
      </c>
      <c r="B2004">
        <v>43</v>
      </c>
      <c r="P2004">
        <v>96</v>
      </c>
      <c r="R2004">
        <v>124</v>
      </c>
      <c r="S2004">
        <v>77</v>
      </c>
      <c r="T2004">
        <v>983</v>
      </c>
      <c r="W2004">
        <v>980</v>
      </c>
      <c r="X2004">
        <v>672</v>
      </c>
    </row>
    <row r="2005" spans="1:27" x14ac:dyDescent="0.3">
      <c r="A2005" t="s">
        <v>34</v>
      </c>
      <c r="B2005">
        <v>44</v>
      </c>
      <c r="P2005">
        <v>51</v>
      </c>
      <c r="Q2005">
        <v>51</v>
      </c>
      <c r="R2005">
        <v>51</v>
      </c>
      <c r="S2005">
        <v>43</v>
      </c>
      <c r="T2005">
        <v>43</v>
      </c>
      <c r="U2005">
        <v>43</v>
      </c>
      <c r="V2005">
        <v>52</v>
      </c>
      <c r="W2005">
        <v>52</v>
      </c>
      <c r="X2005">
        <v>52</v>
      </c>
      <c r="Y2005">
        <v>53</v>
      </c>
      <c r="Z2005">
        <v>53</v>
      </c>
      <c r="AA2005">
        <v>53</v>
      </c>
    </row>
    <row r="2006" spans="1:27" x14ac:dyDescent="0.3">
      <c r="A2006" t="s">
        <v>35</v>
      </c>
      <c r="B2006">
        <v>44</v>
      </c>
      <c r="P2006">
        <v>52</v>
      </c>
      <c r="Q2006">
        <v>53</v>
      </c>
      <c r="R2006">
        <v>43</v>
      </c>
      <c r="S2006">
        <v>51</v>
      </c>
      <c r="T2006">
        <v>52</v>
      </c>
      <c r="U2006">
        <v>53</v>
      </c>
      <c r="V2006">
        <v>53</v>
      </c>
      <c r="W2006">
        <v>43</v>
      </c>
      <c r="X2006">
        <v>51</v>
      </c>
      <c r="Y2006">
        <v>43</v>
      </c>
      <c r="Z2006">
        <v>51</v>
      </c>
      <c r="AA2006">
        <v>52</v>
      </c>
    </row>
    <row r="2007" spans="1:27" x14ac:dyDescent="0.3">
      <c r="A2007" t="s">
        <v>36</v>
      </c>
      <c r="B2007">
        <v>44</v>
      </c>
      <c r="P2007">
        <v>1</v>
      </c>
      <c r="Q2007">
        <v>1</v>
      </c>
      <c r="R2007">
        <v>0</v>
      </c>
      <c r="S2007">
        <v>1</v>
      </c>
      <c r="T2007">
        <v>2</v>
      </c>
      <c r="U2007">
        <v>1</v>
      </c>
      <c r="V2007">
        <v>1</v>
      </c>
      <c r="W2007">
        <v>2</v>
      </c>
      <c r="X2007">
        <v>0</v>
      </c>
      <c r="Y2007">
        <v>2</v>
      </c>
      <c r="Z2007">
        <v>1</v>
      </c>
      <c r="AA2007">
        <v>1</v>
      </c>
    </row>
    <row r="2008" spans="1:27" x14ac:dyDescent="0.3">
      <c r="A2008" t="s">
        <v>37</v>
      </c>
      <c r="B2008">
        <v>44</v>
      </c>
      <c r="P2008">
        <v>0</v>
      </c>
      <c r="Q2008">
        <v>2</v>
      </c>
      <c r="S2008">
        <v>0</v>
      </c>
      <c r="T2008">
        <v>0</v>
      </c>
      <c r="V2008">
        <v>0</v>
      </c>
      <c r="W2008">
        <v>2</v>
      </c>
      <c r="Y2008">
        <v>0</v>
      </c>
      <c r="Z2008">
        <v>0</v>
      </c>
    </row>
    <row r="2009" spans="1:27" x14ac:dyDescent="0.3">
      <c r="A2009" t="s">
        <v>38</v>
      </c>
      <c r="B2009">
        <v>44</v>
      </c>
      <c r="P2009">
        <v>12</v>
      </c>
      <c r="Q2009">
        <v>12</v>
      </c>
      <c r="R2009">
        <v>12</v>
      </c>
      <c r="S2009">
        <v>12</v>
      </c>
      <c r="T2009">
        <v>12</v>
      </c>
      <c r="U2009">
        <v>12</v>
      </c>
      <c r="V2009">
        <v>12</v>
      </c>
      <c r="W2009">
        <v>12</v>
      </c>
      <c r="X2009">
        <v>12</v>
      </c>
      <c r="Y2009">
        <v>12</v>
      </c>
      <c r="Z2009">
        <v>12</v>
      </c>
      <c r="AA2009">
        <v>12</v>
      </c>
    </row>
    <row r="2010" spans="1:27" x14ac:dyDescent="0.3">
      <c r="A2010" t="s">
        <v>39</v>
      </c>
      <c r="B2010">
        <v>44</v>
      </c>
      <c r="P2010">
        <v>110</v>
      </c>
      <c r="S2010">
        <v>290</v>
      </c>
      <c r="U2010">
        <v>345</v>
      </c>
      <c r="V2010">
        <v>400</v>
      </c>
      <c r="Y2010">
        <v>380</v>
      </c>
    </row>
    <row r="2011" spans="1:27" x14ac:dyDescent="0.3">
      <c r="A2011" t="s">
        <v>695</v>
      </c>
      <c r="B2011">
        <v>44</v>
      </c>
      <c r="P2011">
        <v>80</v>
      </c>
      <c r="S2011">
        <v>235</v>
      </c>
      <c r="U2011">
        <v>285</v>
      </c>
      <c r="V2011">
        <v>285</v>
      </c>
      <c r="Y2011">
        <v>110</v>
      </c>
    </row>
    <row r="2012" spans="1:27" x14ac:dyDescent="0.3">
      <c r="A2012" t="s">
        <v>40</v>
      </c>
      <c r="B2012">
        <v>44</v>
      </c>
      <c r="P2012">
        <v>1</v>
      </c>
      <c r="S2012">
        <v>1</v>
      </c>
      <c r="U2012">
        <v>1</v>
      </c>
      <c r="V2012">
        <v>1</v>
      </c>
      <c r="Y2012">
        <v>1</v>
      </c>
    </row>
    <row r="2013" spans="1:27" x14ac:dyDescent="0.3">
      <c r="A2013" t="s">
        <v>41</v>
      </c>
      <c r="B2013">
        <v>44</v>
      </c>
    </row>
    <row r="2014" spans="1:27" x14ac:dyDescent="0.3">
      <c r="A2014" t="s">
        <v>42</v>
      </c>
      <c r="B2014">
        <v>44</v>
      </c>
      <c r="Q2014">
        <v>30</v>
      </c>
      <c r="T2014">
        <v>55</v>
      </c>
      <c r="W2014">
        <v>55</v>
      </c>
      <c r="Z2014">
        <v>45</v>
      </c>
    </row>
    <row r="2015" spans="1:27" x14ac:dyDescent="0.3">
      <c r="A2015" t="s">
        <v>45</v>
      </c>
      <c r="B2015">
        <v>44</v>
      </c>
      <c r="P2015">
        <v>7</v>
      </c>
      <c r="Q2015">
        <v>4</v>
      </c>
      <c r="S2015">
        <v>5</v>
      </c>
      <c r="T2015">
        <v>2</v>
      </c>
      <c r="V2015">
        <v>1</v>
      </c>
      <c r="W2015">
        <v>6</v>
      </c>
      <c r="Y2015">
        <v>3</v>
      </c>
      <c r="Z2015">
        <v>8</v>
      </c>
    </row>
    <row r="2016" spans="1:27" x14ac:dyDescent="0.3">
      <c r="A2016" t="s">
        <v>46</v>
      </c>
      <c r="B2016">
        <v>44</v>
      </c>
      <c r="U2016">
        <v>2</v>
      </c>
      <c r="AA2016">
        <v>8</v>
      </c>
    </row>
    <row r="2017" spans="1:27" x14ac:dyDescent="0.3">
      <c r="A2017" t="s">
        <v>49</v>
      </c>
      <c r="B2017">
        <v>44</v>
      </c>
      <c r="P2017">
        <v>8.1</v>
      </c>
      <c r="Q2017">
        <v>8</v>
      </c>
      <c r="R2017">
        <v>4</v>
      </c>
      <c r="S2017">
        <v>7.7</v>
      </c>
      <c r="T2017">
        <v>7.8</v>
      </c>
      <c r="U2017">
        <v>7.8</v>
      </c>
      <c r="V2017">
        <v>7.7</v>
      </c>
      <c r="W2017">
        <v>7.6</v>
      </c>
      <c r="X2017">
        <v>4</v>
      </c>
      <c r="Y2017">
        <v>9</v>
      </c>
      <c r="Z2017">
        <v>9.1</v>
      </c>
      <c r="AA2017">
        <v>9.1</v>
      </c>
    </row>
    <row r="2018" spans="1:27" x14ac:dyDescent="0.3">
      <c r="A2018" t="s">
        <v>696</v>
      </c>
      <c r="B2018">
        <v>44</v>
      </c>
      <c r="P2018">
        <v>0</v>
      </c>
      <c r="Q2018">
        <v>0</v>
      </c>
      <c r="R2018">
        <v>0</v>
      </c>
      <c r="S2018">
        <v>0</v>
      </c>
      <c r="T2018">
        <v>0</v>
      </c>
      <c r="U2018">
        <v>0</v>
      </c>
      <c r="V2018">
        <v>0</v>
      </c>
      <c r="W2018">
        <v>0</v>
      </c>
      <c r="X2018">
        <v>0</v>
      </c>
      <c r="Y2018">
        <v>0</v>
      </c>
      <c r="Z2018">
        <v>0</v>
      </c>
      <c r="AA2018">
        <v>0</v>
      </c>
    </row>
    <row r="2019" spans="1:27" x14ac:dyDescent="0.3">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3">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3">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3">
      <c r="A2022" t="s">
        <v>698</v>
      </c>
      <c r="B2022">
        <v>44</v>
      </c>
      <c r="P2022">
        <v>1</v>
      </c>
      <c r="Q2022">
        <v>1</v>
      </c>
      <c r="R2022">
        <v>1</v>
      </c>
      <c r="S2022">
        <v>1</v>
      </c>
      <c r="T2022">
        <v>1</v>
      </c>
      <c r="U2022">
        <v>1</v>
      </c>
      <c r="V2022">
        <v>1</v>
      </c>
      <c r="W2022">
        <v>1</v>
      </c>
      <c r="X2022">
        <v>1</v>
      </c>
      <c r="Y2022">
        <v>1</v>
      </c>
      <c r="Z2022">
        <v>1</v>
      </c>
      <c r="AA2022">
        <v>1</v>
      </c>
    </row>
    <row r="2023" spans="1:27" x14ac:dyDescent="0.3">
      <c r="A2023" t="s">
        <v>51</v>
      </c>
      <c r="B2023">
        <v>44</v>
      </c>
      <c r="P2023">
        <v>0</v>
      </c>
      <c r="Q2023">
        <v>25</v>
      </c>
      <c r="R2023">
        <v>0</v>
      </c>
      <c r="S2023">
        <v>0</v>
      </c>
      <c r="T2023">
        <v>0</v>
      </c>
      <c r="U2023">
        <v>350</v>
      </c>
      <c r="V2023">
        <v>0</v>
      </c>
      <c r="W2023">
        <v>0</v>
      </c>
      <c r="X2023">
        <v>0</v>
      </c>
      <c r="Y2023">
        <v>0</v>
      </c>
      <c r="Z2023">
        <v>0</v>
      </c>
      <c r="AA2023">
        <v>132</v>
      </c>
    </row>
    <row r="2024" spans="1:27" x14ac:dyDescent="0.3">
      <c r="A2024" t="s">
        <v>53</v>
      </c>
      <c r="B2024">
        <v>44</v>
      </c>
      <c r="P2024">
        <v>1</v>
      </c>
      <c r="Q2024">
        <v>5</v>
      </c>
      <c r="R2024">
        <v>23</v>
      </c>
      <c r="S2024">
        <v>5</v>
      </c>
      <c r="T2024">
        <v>652</v>
      </c>
      <c r="U2024">
        <v>322</v>
      </c>
      <c r="V2024">
        <v>59</v>
      </c>
      <c r="W2024">
        <v>827</v>
      </c>
      <c r="X2024">
        <v>0</v>
      </c>
      <c r="Y2024">
        <v>625</v>
      </c>
      <c r="Z2024">
        <v>4</v>
      </c>
      <c r="AA2024">
        <v>46</v>
      </c>
    </row>
    <row r="2025" spans="1:27" x14ac:dyDescent="0.3">
      <c r="A2025" t="s">
        <v>54</v>
      </c>
      <c r="B2025">
        <v>44</v>
      </c>
      <c r="P2025">
        <v>0</v>
      </c>
      <c r="Q2025">
        <v>0</v>
      </c>
      <c r="R2025">
        <v>0</v>
      </c>
      <c r="S2025">
        <v>0</v>
      </c>
      <c r="T2025">
        <v>0</v>
      </c>
      <c r="U2025">
        <v>0</v>
      </c>
      <c r="V2025">
        <v>0</v>
      </c>
      <c r="W2025">
        <v>0</v>
      </c>
      <c r="X2025">
        <v>0</v>
      </c>
      <c r="Y2025">
        <v>0</v>
      </c>
      <c r="Z2025">
        <v>0</v>
      </c>
      <c r="AA2025">
        <v>0</v>
      </c>
    </row>
    <row r="2026" spans="1:27" x14ac:dyDescent="0.3">
      <c r="A2026" t="s">
        <v>55</v>
      </c>
      <c r="B2026">
        <v>44</v>
      </c>
      <c r="P2026">
        <v>0</v>
      </c>
      <c r="Q2026">
        <v>0</v>
      </c>
      <c r="R2026">
        <v>0</v>
      </c>
      <c r="S2026">
        <v>0</v>
      </c>
      <c r="T2026">
        <v>0</v>
      </c>
      <c r="U2026">
        <v>0</v>
      </c>
      <c r="V2026">
        <v>0</v>
      </c>
      <c r="W2026">
        <v>0</v>
      </c>
      <c r="X2026">
        <v>0</v>
      </c>
      <c r="Y2026">
        <v>0</v>
      </c>
      <c r="Z2026">
        <v>0</v>
      </c>
      <c r="AA2026">
        <v>0</v>
      </c>
    </row>
    <row r="2027" spans="1:27" x14ac:dyDescent="0.3">
      <c r="A2027" t="s">
        <v>56</v>
      </c>
      <c r="B2027">
        <v>44</v>
      </c>
      <c r="P2027">
        <v>0.92</v>
      </c>
      <c r="Q2027">
        <v>0.92</v>
      </c>
      <c r="R2027">
        <v>0.92</v>
      </c>
      <c r="S2027">
        <v>0.92</v>
      </c>
      <c r="T2027">
        <v>0.92</v>
      </c>
      <c r="U2027">
        <v>0.92</v>
      </c>
      <c r="V2027">
        <v>0.92</v>
      </c>
      <c r="W2027">
        <v>0.92</v>
      </c>
      <c r="X2027">
        <v>0.92</v>
      </c>
      <c r="Y2027">
        <v>0.92</v>
      </c>
      <c r="Z2027">
        <v>0.92</v>
      </c>
      <c r="AA2027">
        <v>0.92</v>
      </c>
    </row>
    <row r="2028" spans="1:27" x14ac:dyDescent="0.3">
      <c r="A2028" t="s">
        <v>57</v>
      </c>
      <c r="B2028">
        <v>44</v>
      </c>
      <c r="P2028">
        <v>100</v>
      </c>
      <c r="Q2028">
        <v>100</v>
      </c>
      <c r="R2028">
        <v>100</v>
      </c>
      <c r="S2028">
        <v>100</v>
      </c>
      <c r="T2028">
        <v>100</v>
      </c>
      <c r="U2028">
        <v>100</v>
      </c>
      <c r="V2028">
        <v>100</v>
      </c>
      <c r="W2028">
        <v>100</v>
      </c>
      <c r="X2028">
        <v>100</v>
      </c>
      <c r="Y2028">
        <v>100</v>
      </c>
      <c r="Z2028">
        <v>100</v>
      </c>
      <c r="AA2028">
        <v>100</v>
      </c>
    </row>
    <row r="2029" spans="1:27" x14ac:dyDescent="0.3">
      <c r="A2029" t="s">
        <v>58</v>
      </c>
      <c r="B2029">
        <v>44</v>
      </c>
      <c r="P2029">
        <v>2</v>
      </c>
      <c r="Q2029">
        <v>2</v>
      </c>
      <c r="R2029">
        <v>2</v>
      </c>
      <c r="S2029">
        <v>2</v>
      </c>
      <c r="T2029">
        <v>2</v>
      </c>
      <c r="U2029">
        <v>2</v>
      </c>
      <c r="V2029">
        <v>2</v>
      </c>
      <c r="W2029">
        <v>2</v>
      </c>
      <c r="X2029">
        <v>2</v>
      </c>
      <c r="Y2029">
        <v>2</v>
      </c>
      <c r="Z2029">
        <v>2</v>
      </c>
      <c r="AA2029">
        <v>2</v>
      </c>
    </row>
    <row r="2030" spans="1:27" x14ac:dyDescent="0.3">
      <c r="A2030" t="s">
        <v>59</v>
      </c>
      <c r="B2030">
        <v>44</v>
      </c>
      <c r="P2030">
        <v>0</v>
      </c>
      <c r="Q2030">
        <v>0</v>
      </c>
      <c r="R2030">
        <v>0</v>
      </c>
      <c r="S2030">
        <v>0</v>
      </c>
      <c r="T2030">
        <v>0</v>
      </c>
      <c r="U2030">
        <v>0</v>
      </c>
      <c r="V2030">
        <v>0</v>
      </c>
      <c r="W2030">
        <v>0</v>
      </c>
      <c r="X2030">
        <v>0</v>
      </c>
      <c r="Y2030">
        <v>0</v>
      </c>
      <c r="Z2030">
        <v>0</v>
      </c>
      <c r="AA2030">
        <v>0</v>
      </c>
    </row>
    <row r="2031" spans="1:27" x14ac:dyDescent="0.3">
      <c r="A2031" t="s">
        <v>699</v>
      </c>
      <c r="B2031">
        <v>44</v>
      </c>
      <c r="Q2031">
        <v>0</v>
      </c>
      <c r="T2031">
        <v>0</v>
      </c>
      <c r="W2031">
        <v>0</v>
      </c>
      <c r="Z2031">
        <v>0</v>
      </c>
    </row>
    <row r="2032" spans="1:27" x14ac:dyDescent="0.3">
      <c r="A2032" t="s">
        <v>678</v>
      </c>
      <c r="B2032">
        <v>44</v>
      </c>
      <c r="Q2032">
        <v>385</v>
      </c>
      <c r="T2032">
        <v>2677</v>
      </c>
      <c r="W2032">
        <v>809</v>
      </c>
      <c r="Z2032">
        <v>601</v>
      </c>
    </row>
    <row r="2033" spans="1:27" x14ac:dyDescent="0.3">
      <c r="A2033" t="s">
        <v>78</v>
      </c>
      <c r="B2033">
        <v>44</v>
      </c>
      <c r="Q2033">
        <v>8.8000000000000007</v>
      </c>
      <c r="T2033">
        <v>33.200000000000003</v>
      </c>
      <c r="W2033">
        <v>10</v>
      </c>
      <c r="Z2033">
        <v>9.1</v>
      </c>
    </row>
    <row r="2034" spans="1:27" x14ac:dyDescent="0.3">
      <c r="A2034" t="s">
        <v>700</v>
      </c>
      <c r="B2034">
        <v>44</v>
      </c>
      <c r="R2034">
        <v>0</v>
      </c>
      <c r="U2034">
        <v>0</v>
      </c>
      <c r="X2034">
        <v>0</v>
      </c>
      <c r="AA2034">
        <v>0</v>
      </c>
    </row>
    <row r="2035" spans="1:27" x14ac:dyDescent="0.3">
      <c r="A2035" t="s">
        <v>701</v>
      </c>
      <c r="B2035">
        <v>44</v>
      </c>
      <c r="P2035">
        <v>0</v>
      </c>
      <c r="Q2035">
        <v>0</v>
      </c>
      <c r="R2035">
        <v>1</v>
      </c>
      <c r="S2035">
        <v>0</v>
      </c>
      <c r="T2035">
        <v>0</v>
      </c>
      <c r="U2035">
        <v>1</v>
      </c>
      <c r="V2035">
        <v>0</v>
      </c>
      <c r="W2035">
        <v>0</v>
      </c>
      <c r="X2035">
        <v>1</v>
      </c>
      <c r="Y2035">
        <v>0</v>
      </c>
      <c r="Z2035">
        <v>0</v>
      </c>
      <c r="AA2035">
        <v>1</v>
      </c>
    </row>
    <row r="2036" spans="1:27" x14ac:dyDescent="0.3">
      <c r="A2036" t="s">
        <v>702</v>
      </c>
      <c r="B2036">
        <v>44</v>
      </c>
      <c r="P2036">
        <v>0</v>
      </c>
      <c r="Q2036">
        <v>0</v>
      </c>
      <c r="R2036">
        <v>0</v>
      </c>
      <c r="S2036">
        <v>0</v>
      </c>
      <c r="T2036">
        <v>0</v>
      </c>
      <c r="U2036">
        <v>0</v>
      </c>
      <c r="V2036">
        <v>0</v>
      </c>
      <c r="W2036">
        <v>0</v>
      </c>
      <c r="X2036">
        <v>0</v>
      </c>
      <c r="Y2036">
        <v>0</v>
      </c>
      <c r="Z2036">
        <v>0</v>
      </c>
      <c r="AA2036">
        <v>0</v>
      </c>
    </row>
    <row r="2037" spans="1:27" x14ac:dyDescent="0.3">
      <c r="A2037" t="s">
        <v>52</v>
      </c>
      <c r="B2037">
        <v>44</v>
      </c>
      <c r="P2037">
        <v>1</v>
      </c>
      <c r="Q2037">
        <v>1</v>
      </c>
      <c r="R2037">
        <v>1</v>
      </c>
      <c r="S2037">
        <v>1</v>
      </c>
      <c r="T2037">
        <v>1</v>
      </c>
      <c r="U2037">
        <v>1</v>
      </c>
      <c r="V2037">
        <v>1</v>
      </c>
      <c r="W2037">
        <v>1</v>
      </c>
      <c r="X2037">
        <v>1</v>
      </c>
      <c r="Y2037">
        <v>1</v>
      </c>
      <c r="Z2037">
        <v>1</v>
      </c>
      <c r="AA2037">
        <v>1</v>
      </c>
    </row>
    <row r="2038" spans="1:27" x14ac:dyDescent="0.3">
      <c r="A2038" t="s">
        <v>703</v>
      </c>
      <c r="B2038">
        <v>44</v>
      </c>
      <c r="P2038">
        <v>15</v>
      </c>
      <c r="Q2038">
        <v>60</v>
      </c>
      <c r="R2038">
        <v>9</v>
      </c>
      <c r="S2038">
        <v>15</v>
      </c>
      <c r="T2038">
        <v>60</v>
      </c>
      <c r="U2038">
        <v>9</v>
      </c>
      <c r="V2038">
        <v>15</v>
      </c>
      <c r="W2038">
        <v>60</v>
      </c>
      <c r="X2038">
        <v>9</v>
      </c>
      <c r="Y2038">
        <v>15</v>
      </c>
      <c r="Z2038">
        <v>60</v>
      </c>
      <c r="AA2038">
        <v>9</v>
      </c>
    </row>
    <row r="2039" spans="1:27" x14ac:dyDescent="0.3">
      <c r="A2039" t="s">
        <v>43</v>
      </c>
      <c r="B2039">
        <v>44</v>
      </c>
      <c r="P2039">
        <v>20</v>
      </c>
      <c r="Q2039">
        <v>100</v>
      </c>
      <c r="S2039">
        <v>20</v>
      </c>
      <c r="T2039">
        <v>100</v>
      </c>
      <c r="U2039">
        <v>20</v>
      </c>
      <c r="V2039">
        <v>20</v>
      </c>
      <c r="W2039">
        <v>100</v>
      </c>
      <c r="Y2039">
        <v>20</v>
      </c>
      <c r="Z2039">
        <v>100</v>
      </c>
      <c r="AA2039">
        <v>20</v>
      </c>
    </row>
    <row r="2040" spans="1:27" x14ac:dyDescent="0.3">
      <c r="A2040" t="s">
        <v>44</v>
      </c>
      <c r="B2040">
        <v>44</v>
      </c>
      <c r="P2040">
        <v>0</v>
      </c>
      <c r="Q2040">
        <v>0</v>
      </c>
      <c r="S2040">
        <v>0</v>
      </c>
      <c r="T2040">
        <v>0</v>
      </c>
      <c r="U2040">
        <v>0</v>
      </c>
      <c r="V2040">
        <v>0</v>
      </c>
      <c r="W2040">
        <v>0</v>
      </c>
      <c r="Y2040">
        <v>0</v>
      </c>
      <c r="Z2040">
        <v>0</v>
      </c>
      <c r="AA2040">
        <v>0</v>
      </c>
    </row>
    <row r="2041" spans="1:27" x14ac:dyDescent="0.3">
      <c r="A2041" t="s">
        <v>47</v>
      </c>
      <c r="B2041">
        <v>44</v>
      </c>
      <c r="P2041">
        <v>7</v>
      </c>
      <c r="Q2041">
        <v>4</v>
      </c>
      <c r="S2041">
        <v>5</v>
      </c>
      <c r="T2041">
        <v>2</v>
      </c>
      <c r="U2041">
        <v>2</v>
      </c>
      <c r="V2041">
        <v>1</v>
      </c>
      <c r="W2041">
        <v>6</v>
      </c>
      <c r="Y2041">
        <v>3</v>
      </c>
      <c r="Z2041">
        <v>8</v>
      </c>
      <c r="AA2041">
        <v>8</v>
      </c>
    </row>
    <row r="2042" spans="1:27" x14ac:dyDescent="0.3">
      <c r="A2042" t="s">
        <v>704</v>
      </c>
      <c r="B2042">
        <v>44</v>
      </c>
      <c r="P2042">
        <v>0</v>
      </c>
      <c r="Q2042">
        <v>0</v>
      </c>
      <c r="S2042">
        <v>0</v>
      </c>
      <c r="T2042">
        <v>0</v>
      </c>
      <c r="U2042">
        <v>0</v>
      </c>
      <c r="V2042">
        <v>0</v>
      </c>
      <c r="W2042">
        <v>0</v>
      </c>
      <c r="Y2042">
        <v>0</v>
      </c>
      <c r="Z2042">
        <v>0</v>
      </c>
      <c r="AA2042">
        <v>0</v>
      </c>
    </row>
    <row r="2043" spans="1:27" x14ac:dyDescent="0.3">
      <c r="A2043" t="s">
        <v>705</v>
      </c>
      <c r="B2043">
        <v>44</v>
      </c>
      <c r="P2043">
        <v>0</v>
      </c>
      <c r="Q2043">
        <v>0</v>
      </c>
      <c r="S2043">
        <v>0</v>
      </c>
      <c r="T2043">
        <v>0</v>
      </c>
      <c r="U2043">
        <v>0</v>
      </c>
      <c r="V2043">
        <v>0</v>
      </c>
      <c r="W2043">
        <v>0</v>
      </c>
      <c r="Y2043">
        <v>0</v>
      </c>
      <c r="Z2043">
        <v>0</v>
      </c>
      <c r="AA2043">
        <v>0</v>
      </c>
    </row>
    <row r="2044" spans="1:27" x14ac:dyDescent="0.3">
      <c r="A2044" t="s">
        <v>706</v>
      </c>
      <c r="B2044">
        <v>44</v>
      </c>
      <c r="P2044">
        <v>0</v>
      </c>
      <c r="Q2044">
        <v>0</v>
      </c>
      <c r="S2044">
        <v>0</v>
      </c>
      <c r="T2044">
        <v>0</v>
      </c>
      <c r="U2044">
        <v>0</v>
      </c>
      <c r="V2044">
        <v>0</v>
      </c>
      <c r="W2044">
        <v>0</v>
      </c>
      <c r="Y2044">
        <v>0</v>
      </c>
      <c r="Z2044">
        <v>0</v>
      </c>
      <c r="AA2044">
        <v>0</v>
      </c>
    </row>
    <row r="2045" spans="1:27" x14ac:dyDescent="0.3">
      <c r="A2045" t="s">
        <v>707</v>
      </c>
      <c r="B2045">
        <v>44</v>
      </c>
      <c r="P2045">
        <v>0</v>
      </c>
      <c r="Q2045">
        <v>0</v>
      </c>
      <c r="S2045">
        <v>0</v>
      </c>
      <c r="T2045">
        <v>0</v>
      </c>
      <c r="U2045">
        <v>0</v>
      </c>
      <c r="V2045">
        <v>0</v>
      </c>
      <c r="W2045">
        <v>0</v>
      </c>
      <c r="Y2045">
        <v>0</v>
      </c>
      <c r="Z2045">
        <v>0</v>
      </c>
      <c r="AA2045">
        <v>0</v>
      </c>
    </row>
    <row r="2046" spans="1:27" x14ac:dyDescent="0.3">
      <c r="A2046" t="s">
        <v>708</v>
      </c>
      <c r="B2046">
        <v>44</v>
      </c>
      <c r="P2046">
        <v>1</v>
      </c>
      <c r="Q2046">
        <v>2</v>
      </c>
      <c r="S2046">
        <v>1</v>
      </c>
      <c r="T2046">
        <v>2</v>
      </c>
      <c r="U2046">
        <v>1</v>
      </c>
      <c r="V2046">
        <v>1</v>
      </c>
      <c r="W2046">
        <v>2</v>
      </c>
      <c r="Y2046">
        <v>1</v>
      </c>
      <c r="Z2046">
        <v>2</v>
      </c>
      <c r="AA2046">
        <v>1</v>
      </c>
    </row>
    <row r="2047" spans="1:27" x14ac:dyDescent="0.3">
      <c r="A2047" t="s">
        <v>709</v>
      </c>
      <c r="B2047">
        <v>44</v>
      </c>
      <c r="P2047">
        <v>0</v>
      </c>
      <c r="Q2047">
        <v>0</v>
      </c>
      <c r="S2047">
        <v>0</v>
      </c>
      <c r="T2047">
        <v>0</v>
      </c>
      <c r="U2047">
        <v>0</v>
      </c>
      <c r="V2047">
        <v>0</v>
      </c>
      <c r="W2047">
        <v>0</v>
      </c>
      <c r="Y2047">
        <v>0</v>
      </c>
      <c r="Z2047">
        <v>0</v>
      </c>
      <c r="AA2047">
        <v>0</v>
      </c>
    </row>
    <row r="2048" spans="1:27" x14ac:dyDescent="0.3">
      <c r="A2048" t="s">
        <v>710</v>
      </c>
      <c r="B2048">
        <v>44</v>
      </c>
      <c r="P2048">
        <v>20</v>
      </c>
      <c r="Q2048">
        <v>6</v>
      </c>
      <c r="S2048">
        <v>20</v>
      </c>
      <c r="T2048">
        <v>6</v>
      </c>
      <c r="U2048">
        <v>20</v>
      </c>
      <c r="V2048">
        <v>20</v>
      </c>
      <c r="W2048">
        <v>6</v>
      </c>
      <c r="Y2048">
        <v>20</v>
      </c>
      <c r="Z2048">
        <v>6</v>
      </c>
      <c r="AA2048">
        <v>20</v>
      </c>
    </row>
    <row r="2049" spans="1:27" x14ac:dyDescent="0.3">
      <c r="A2049" t="s">
        <v>711</v>
      </c>
      <c r="B2049">
        <v>44</v>
      </c>
      <c r="P2049">
        <v>3</v>
      </c>
      <c r="Q2049">
        <v>3</v>
      </c>
      <c r="S2049">
        <v>3</v>
      </c>
      <c r="T2049">
        <v>3</v>
      </c>
      <c r="U2049">
        <v>3</v>
      </c>
      <c r="V2049">
        <v>3</v>
      </c>
      <c r="W2049">
        <v>3</v>
      </c>
      <c r="Y2049">
        <v>3</v>
      </c>
      <c r="Z2049">
        <v>3</v>
      </c>
      <c r="AA2049">
        <v>3</v>
      </c>
    </row>
    <row r="2050" spans="1:27" x14ac:dyDescent="0.3">
      <c r="A2050" t="s">
        <v>712</v>
      </c>
      <c r="B2050">
        <v>44</v>
      </c>
      <c r="P2050">
        <v>0</v>
      </c>
      <c r="Q2050">
        <v>0</v>
      </c>
      <c r="S2050">
        <v>0</v>
      </c>
      <c r="T2050">
        <v>0</v>
      </c>
      <c r="U2050">
        <v>0</v>
      </c>
      <c r="V2050">
        <v>0</v>
      </c>
      <c r="W2050">
        <v>0</v>
      </c>
      <c r="Y2050">
        <v>0</v>
      </c>
      <c r="Z2050">
        <v>0</v>
      </c>
      <c r="AA2050">
        <v>0</v>
      </c>
    </row>
    <row r="2051" spans="1:27" x14ac:dyDescent="0.3">
      <c r="A2051" t="s">
        <v>713</v>
      </c>
      <c r="B2051">
        <v>44</v>
      </c>
      <c r="P2051">
        <v>0</v>
      </c>
      <c r="Q2051">
        <v>0</v>
      </c>
      <c r="S2051">
        <v>0</v>
      </c>
      <c r="T2051">
        <v>0</v>
      </c>
      <c r="U2051">
        <v>0</v>
      </c>
      <c r="V2051">
        <v>0</v>
      </c>
      <c r="W2051">
        <v>0</v>
      </c>
      <c r="Y2051">
        <v>0</v>
      </c>
      <c r="Z2051">
        <v>0</v>
      </c>
      <c r="AA2051">
        <v>0</v>
      </c>
    </row>
    <row r="2052" spans="1:27" x14ac:dyDescent="0.3">
      <c r="A2052" t="s">
        <v>714</v>
      </c>
      <c r="B2052">
        <v>44</v>
      </c>
      <c r="P2052">
        <v>0</v>
      </c>
      <c r="Q2052">
        <v>0</v>
      </c>
      <c r="S2052">
        <v>0</v>
      </c>
      <c r="T2052">
        <v>0</v>
      </c>
      <c r="U2052">
        <v>0</v>
      </c>
      <c r="V2052">
        <v>0</v>
      </c>
      <c r="W2052">
        <v>0</v>
      </c>
      <c r="Y2052">
        <v>0</v>
      </c>
      <c r="Z2052">
        <v>0</v>
      </c>
      <c r="AA2052">
        <v>0</v>
      </c>
    </row>
    <row r="2053" spans="1:27" x14ac:dyDescent="0.3">
      <c r="A2053" t="s">
        <v>715</v>
      </c>
      <c r="B2053">
        <v>44</v>
      </c>
      <c r="Q2053">
        <v>94</v>
      </c>
      <c r="T2053">
        <v>94</v>
      </c>
      <c r="W2053">
        <v>94</v>
      </c>
      <c r="Z2053">
        <v>94</v>
      </c>
    </row>
    <row r="2054" spans="1:27" x14ac:dyDescent="0.3">
      <c r="A2054" t="s">
        <v>716</v>
      </c>
      <c r="B2054">
        <v>44</v>
      </c>
      <c r="Q2054">
        <v>6</v>
      </c>
      <c r="T2054">
        <v>6</v>
      </c>
      <c r="W2054">
        <v>6</v>
      </c>
      <c r="Z2054">
        <v>6</v>
      </c>
    </row>
    <row r="2055" spans="1:27" x14ac:dyDescent="0.3">
      <c r="A2055" t="s">
        <v>717</v>
      </c>
      <c r="B2055">
        <v>44</v>
      </c>
      <c r="Q2055">
        <v>3</v>
      </c>
      <c r="T2055">
        <v>3</v>
      </c>
      <c r="W2055">
        <v>3</v>
      </c>
      <c r="Z2055">
        <v>3</v>
      </c>
    </row>
    <row r="2056" spans="1:27" x14ac:dyDescent="0.3">
      <c r="A2056" t="s">
        <v>718</v>
      </c>
      <c r="B2056">
        <v>44</v>
      </c>
      <c r="Q2056">
        <v>0</v>
      </c>
      <c r="T2056">
        <v>0</v>
      </c>
      <c r="W2056">
        <v>0</v>
      </c>
      <c r="Z2056">
        <v>0</v>
      </c>
    </row>
    <row r="2057" spans="1:27" x14ac:dyDescent="0.3">
      <c r="A2057" t="s">
        <v>719</v>
      </c>
      <c r="B2057">
        <v>44</v>
      </c>
      <c r="Q2057">
        <v>0</v>
      </c>
      <c r="T2057">
        <v>0</v>
      </c>
      <c r="W2057">
        <v>0</v>
      </c>
      <c r="Z2057">
        <v>0</v>
      </c>
    </row>
    <row r="2058" spans="1:27" x14ac:dyDescent="0.3">
      <c r="A2058" t="s">
        <v>405</v>
      </c>
      <c r="B2058">
        <v>44</v>
      </c>
      <c r="Q2058">
        <v>0</v>
      </c>
    </row>
    <row r="2059" spans="1:27" x14ac:dyDescent="0.3">
      <c r="A2059" t="s">
        <v>720</v>
      </c>
      <c r="B2059">
        <v>44</v>
      </c>
      <c r="P2059">
        <v>1</v>
      </c>
      <c r="Q2059">
        <v>30</v>
      </c>
      <c r="R2059">
        <v>0</v>
      </c>
      <c r="S2059">
        <v>5</v>
      </c>
      <c r="T2059">
        <v>709</v>
      </c>
      <c r="U2059">
        <v>350</v>
      </c>
      <c r="V2059">
        <v>64</v>
      </c>
      <c r="W2059">
        <v>899</v>
      </c>
      <c r="X2059">
        <v>0</v>
      </c>
      <c r="Y2059">
        <v>679</v>
      </c>
      <c r="Z2059">
        <v>4</v>
      </c>
      <c r="AA2059">
        <v>50</v>
      </c>
    </row>
    <row r="2060" spans="1:27" x14ac:dyDescent="0.3">
      <c r="A2060" t="s">
        <v>34</v>
      </c>
      <c r="B2060">
        <v>46</v>
      </c>
      <c r="P2060">
        <v>47</v>
      </c>
      <c r="R2060">
        <v>47</v>
      </c>
      <c r="S2060">
        <v>21</v>
      </c>
      <c r="T2060">
        <v>21</v>
      </c>
      <c r="W2060">
        <v>28</v>
      </c>
      <c r="X2060">
        <v>28</v>
      </c>
    </row>
    <row r="2061" spans="1:27" x14ac:dyDescent="0.3">
      <c r="A2061" t="s">
        <v>35</v>
      </c>
      <c r="B2061">
        <v>46</v>
      </c>
      <c r="P2061">
        <v>28</v>
      </c>
      <c r="R2061">
        <v>21</v>
      </c>
      <c r="S2061">
        <v>47</v>
      </c>
      <c r="T2061">
        <v>28</v>
      </c>
      <c r="W2061">
        <v>21</v>
      </c>
      <c r="X2061">
        <v>47</v>
      </c>
    </row>
    <row r="2062" spans="1:27" x14ac:dyDescent="0.3">
      <c r="A2062" t="s">
        <v>36</v>
      </c>
      <c r="B2062">
        <v>46</v>
      </c>
      <c r="P2062">
        <v>2</v>
      </c>
      <c r="R2062">
        <v>1</v>
      </c>
      <c r="S2062">
        <v>1</v>
      </c>
      <c r="T2062">
        <v>3</v>
      </c>
      <c r="W2062">
        <v>3</v>
      </c>
      <c r="X2062">
        <v>1</v>
      </c>
    </row>
    <row r="2063" spans="1:27" x14ac:dyDescent="0.3">
      <c r="A2063" t="s">
        <v>37</v>
      </c>
      <c r="B2063">
        <v>46</v>
      </c>
      <c r="P2063">
        <v>2</v>
      </c>
      <c r="S2063">
        <v>0</v>
      </c>
      <c r="T2063">
        <v>0</v>
      </c>
      <c r="W2063">
        <v>0</v>
      </c>
    </row>
    <row r="2064" spans="1:27" x14ac:dyDescent="0.3">
      <c r="A2064" t="s">
        <v>38</v>
      </c>
      <c r="B2064">
        <v>46</v>
      </c>
      <c r="P2064">
        <v>12</v>
      </c>
      <c r="R2064">
        <v>12</v>
      </c>
      <c r="S2064">
        <v>12</v>
      </c>
      <c r="T2064">
        <v>12</v>
      </c>
      <c r="W2064">
        <v>12</v>
      </c>
      <c r="X2064">
        <v>12</v>
      </c>
    </row>
    <row r="2065" spans="1:24" x14ac:dyDescent="0.3">
      <c r="A2065" t="s">
        <v>39</v>
      </c>
      <c r="B2065">
        <v>46</v>
      </c>
      <c r="S2065">
        <v>215</v>
      </c>
      <c r="X2065">
        <v>100</v>
      </c>
    </row>
    <row r="2066" spans="1:24" x14ac:dyDescent="0.3">
      <c r="A2066" t="s">
        <v>695</v>
      </c>
      <c r="B2066">
        <v>46</v>
      </c>
      <c r="S2066">
        <v>90</v>
      </c>
      <c r="X2066">
        <v>125</v>
      </c>
    </row>
    <row r="2067" spans="1:24" x14ac:dyDescent="0.3">
      <c r="A2067" t="s">
        <v>40</v>
      </c>
      <c r="B2067">
        <v>46</v>
      </c>
      <c r="S2067">
        <v>1</v>
      </c>
      <c r="X2067">
        <v>1</v>
      </c>
    </row>
    <row r="2068" spans="1:24" x14ac:dyDescent="0.3">
      <c r="A2068" t="s">
        <v>41</v>
      </c>
      <c r="B2068">
        <v>46</v>
      </c>
    </row>
    <row r="2069" spans="1:24" x14ac:dyDescent="0.3">
      <c r="A2069" t="s">
        <v>42</v>
      </c>
      <c r="B2069">
        <v>46</v>
      </c>
      <c r="P2069">
        <v>25</v>
      </c>
      <c r="T2069">
        <v>45</v>
      </c>
      <c r="W2069">
        <v>45</v>
      </c>
    </row>
    <row r="2070" spans="1:24" x14ac:dyDescent="0.3">
      <c r="A2070" t="s">
        <v>45</v>
      </c>
      <c r="B2070">
        <v>46</v>
      </c>
      <c r="P2070">
        <v>4</v>
      </c>
      <c r="S2070">
        <v>5</v>
      </c>
      <c r="T2070">
        <v>2</v>
      </c>
      <c r="W2070">
        <v>6</v>
      </c>
    </row>
    <row r="2071" spans="1:24" x14ac:dyDescent="0.3">
      <c r="A2071" t="s">
        <v>46</v>
      </c>
      <c r="B2071">
        <v>46</v>
      </c>
      <c r="R2071">
        <v>4</v>
      </c>
      <c r="X2071">
        <v>6</v>
      </c>
    </row>
    <row r="2072" spans="1:24" x14ac:dyDescent="0.3">
      <c r="A2072" t="s">
        <v>49</v>
      </c>
      <c r="B2072">
        <v>46</v>
      </c>
      <c r="P2072">
        <v>7.6</v>
      </c>
      <c r="R2072">
        <v>7.6</v>
      </c>
      <c r="S2072">
        <v>6.9</v>
      </c>
      <c r="T2072">
        <v>6.1</v>
      </c>
      <c r="W2072">
        <v>6.1</v>
      </c>
      <c r="X2072">
        <v>6.1</v>
      </c>
    </row>
    <row r="2073" spans="1:24" x14ac:dyDescent="0.3">
      <c r="A2073" t="s">
        <v>696</v>
      </c>
      <c r="B2073">
        <v>46</v>
      </c>
      <c r="P2073">
        <v>0</v>
      </c>
      <c r="R2073">
        <v>0</v>
      </c>
      <c r="S2073">
        <v>0</v>
      </c>
      <c r="T2073">
        <v>0</v>
      </c>
      <c r="W2073">
        <v>0</v>
      </c>
      <c r="X2073">
        <v>0</v>
      </c>
    </row>
    <row r="2074" spans="1:24" x14ac:dyDescent="0.3">
      <c r="A2074" t="s">
        <v>48</v>
      </c>
      <c r="B2074">
        <v>46</v>
      </c>
      <c r="P2074">
        <v>1900</v>
      </c>
      <c r="R2074">
        <v>1900</v>
      </c>
      <c r="S2074">
        <v>1900</v>
      </c>
      <c r="T2074">
        <v>1900</v>
      </c>
      <c r="W2074">
        <v>1900</v>
      </c>
      <c r="X2074">
        <v>1900</v>
      </c>
    </row>
    <row r="2075" spans="1:24" x14ac:dyDescent="0.3">
      <c r="A2075" t="s">
        <v>697</v>
      </c>
      <c r="B2075">
        <v>46</v>
      </c>
      <c r="P2075">
        <v>3433</v>
      </c>
      <c r="R2075">
        <v>1695</v>
      </c>
      <c r="S2075">
        <v>1770</v>
      </c>
      <c r="T2075">
        <v>5085</v>
      </c>
      <c r="W2075">
        <v>5085</v>
      </c>
      <c r="X2075">
        <v>1583</v>
      </c>
    </row>
    <row r="2076" spans="1:24" x14ac:dyDescent="0.3">
      <c r="A2076" t="s">
        <v>50</v>
      </c>
      <c r="B2076">
        <v>46</v>
      </c>
      <c r="P2076">
        <v>3433</v>
      </c>
      <c r="R2076">
        <v>1695</v>
      </c>
      <c r="S2076">
        <v>1770</v>
      </c>
      <c r="T2076">
        <v>5085</v>
      </c>
      <c r="W2076">
        <v>5085</v>
      </c>
      <c r="X2076">
        <v>1583</v>
      </c>
    </row>
    <row r="2077" spans="1:24" x14ac:dyDescent="0.3">
      <c r="A2077" t="s">
        <v>698</v>
      </c>
      <c r="B2077">
        <v>46</v>
      </c>
      <c r="P2077">
        <v>1</v>
      </c>
      <c r="R2077">
        <v>1</v>
      </c>
      <c r="S2077">
        <v>1</v>
      </c>
      <c r="T2077">
        <v>1</v>
      </c>
      <c r="W2077">
        <v>1</v>
      </c>
      <c r="X2077">
        <v>1</v>
      </c>
    </row>
    <row r="2078" spans="1:24" x14ac:dyDescent="0.3">
      <c r="A2078" t="s">
        <v>51</v>
      </c>
      <c r="B2078">
        <v>46</v>
      </c>
      <c r="P2078">
        <v>0</v>
      </c>
      <c r="R2078">
        <v>0</v>
      </c>
      <c r="S2078">
        <v>0</v>
      </c>
      <c r="T2078">
        <v>0</v>
      </c>
      <c r="W2078">
        <v>0</v>
      </c>
      <c r="X2078">
        <v>2</v>
      </c>
    </row>
    <row r="2079" spans="1:24" x14ac:dyDescent="0.3">
      <c r="A2079" t="s">
        <v>53</v>
      </c>
      <c r="B2079">
        <v>46</v>
      </c>
      <c r="P2079">
        <v>1</v>
      </c>
      <c r="R2079">
        <v>0</v>
      </c>
      <c r="S2079">
        <v>5</v>
      </c>
      <c r="T2079">
        <v>791</v>
      </c>
      <c r="W2079">
        <v>635</v>
      </c>
      <c r="X2079">
        <v>2</v>
      </c>
    </row>
    <row r="2080" spans="1:24" x14ac:dyDescent="0.3">
      <c r="A2080" t="s">
        <v>54</v>
      </c>
      <c r="B2080">
        <v>46</v>
      </c>
      <c r="P2080">
        <v>0</v>
      </c>
      <c r="R2080">
        <v>0</v>
      </c>
      <c r="S2080">
        <v>0</v>
      </c>
      <c r="T2080">
        <v>0</v>
      </c>
      <c r="W2080">
        <v>0</v>
      </c>
      <c r="X2080">
        <v>0</v>
      </c>
    </row>
    <row r="2081" spans="1:24" x14ac:dyDescent="0.3">
      <c r="A2081" t="s">
        <v>55</v>
      </c>
      <c r="B2081">
        <v>46</v>
      </c>
      <c r="P2081">
        <v>0</v>
      </c>
      <c r="R2081">
        <v>0</v>
      </c>
      <c r="S2081">
        <v>0</v>
      </c>
      <c r="T2081">
        <v>0</v>
      </c>
      <c r="W2081">
        <v>0</v>
      </c>
      <c r="X2081">
        <v>0</v>
      </c>
    </row>
    <row r="2082" spans="1:24" x14ac:dyDescent="0.3">
      <c r="A2082" t="s">
        <v>56</v>
      </c>
      <c r="B2082">
        <v>46</v>
      </c>
      <c r="P2082">
        <v>0.92</v>
      </c>
      <c r="R2082">
        <v>0.92</v>
      </c>
      <c r="S2082">
        <v>0.92</v>
      </c>
      <c r="T2082">
        <v>0.92</v>
      </c>
      <c r="W2082">
        <v>0.92</v>
      </c>
      <c r="X2082">
        <v>0.92</v>
      </c>
    </row>
    <row r="2083" spans="1:24" x14ac:dyDescent="0.3">
      <c r="A2083" t="s">
        <v>57</v>
      </c>
      <c r="B2083">
        <v>46</v>
      </c>
      <c r="P2083">
        <v>100</v>
      </c>
      <c r="R2083">
        <v>100</v>
      </c>
      <c r="S2083">
        <v>100</v>
      </c>
      <c r="T2083">
        <v>100</v>
      </c>
      <c r="W2083">
        <v>100</v>
      </c>
      <c r="X2083">
        <v>100</v>
      </c>
    </row>
    <row r="2084" spans="1:24" x14ac:dyDescent="0.3">
      <c r="A2084" t="s">
        <v>58</v>
      </c>
      <c r="B2084">
        <v>46</v>
      </c>
      <c r="P2084">
        <v>2</v>
      </c>
      <c r="R2084">
        <v>2</v>
      </c>
      <c r="S2084">
        <v>2</v>
      </c>
      <c r="T2084">
        <v>2</v>
      </c>
      <c r="W2084">
        <v>2</v>
      </c>
      <c r="X2084">
        <v>2</v>
      </c>
    </row>
    <row r="2085" spans="1:24" x14ac:dyDescent="0.3">
      <c r="A2085" t="s">
        <v>59</v>
      </c>
      <c r="B2085">
        <v>46</v>
      </c>
      <c r="P2085">
        <v>0</v>
      </c>
      <c r="R2085">
        <v>0</v>
      </c>
      <c r="S2085">
        <v>0</v>
      </c>
      <c r="T2085">
        <v>0</v>
      </c>
      <c r="W2085">
        <v>0</v>
      </c>
      <c r="X2085">
        <v>0</v>
      </c>
    </row>
    <row r="2086" spans="1:24" x14ac:dyDescent="0.3">
      <c r="A2086" t="s">
        <v>699</v>
      </c>
      <c r="B2086">
        <v>46</v>
      </c>
      <c r="P2086">
        <v>0</v>
      </c>
      <c r="T2086">
        <v>0</v>
      </c>
      <c r="W2086">
        <v>0</v>
      </c>
    </row>
    <row r="2087" spans="1:24" x14ac:dyDescent="0.3">
      <c r="A2087" t="s">
        <v>678</v>
      </c>
      <c r="B2087">
        <v>46</v>
      </c>
      <c r="P2087">
        <v>276</v>
      </c>
      <c r="T2087">
        <v>906</v>
      </c>
      <c r="W2087">
        <v>1161</v>
      </c>
    </row>
    <row r="2088" spans="1:24" x14ac:dyDescent="0.3">
      <c r="A2088" t="s">
        <v>78</v>
      </c>
      <c r="B2088">
        <v>46</v>
      </c>
      <c r="P2088">
        <v>7.5</v>
      </c>
      <c r="T2088">
        <v>13.7</v>
      </c>
      <c r="W2088">
        <v>17.600000000000001</v>
      </c>
    </row>
    <row r="2089" spans="1:24" x14ac:dyDescent="0.3">
      <c r="A2089" t="s">
        <v>700</v>
      </c>
      <c r="B2089">
        <v>46</v>
      </c>
      <c r="R2089">
        <v>0</v>
      </c>
      <c r="T2089">
        <v>0</v>
      </c>
      <c r="X2089">
        <v>0</v>
      </c>
    </row>
    <row r="2090" spans="1:24" x14ac:dyDescent="0.3">
      <c r="A2090" t="s">
        <v>701</v>
      </c>
      <c r="B2090">
        <v>46</v>
      </c>
      <c r="P2090">
        <v>0</v>
      </c>
      <c r="R2090">
        <v>1</v>
      </c>
      <c r="S2090">
        <v>0</v>
      </c>
      <c r="T2090">
        <v>0</v>
      </c>
      <c r="W2090">
        <v>0</v>
      </c>
      <c r="X2090">
        <v>1</v>
      </c>
    </row>
    <row r="2091" spans="1:24" x14ac:dyDescent="0.3">
      <c r="A2091" t="s">
        <v>702</v>
      </c>
      <c r="B2091">
        <v>46</v>
      </c>
      <c r="P2091">
        <v>0</v>
      </c>
      <c r="R2091">
        <v>0</v>
      </c>
      <c r="S2091">
        <v>0</v>
      </c>
      <c r="T2091">
        <v>0</v>
      </c>
      <c r="W2091">
        <v>0</v>
      </c>
      <c r="X2091">
        <v>0</v>
      </c>
    </row>
    <row r="2092" spans="1:24" x14ac:dyDescent="0.3">
      <c r="A2092" t="s">
        <v>52</v>
      </c>
      <c r="B2092">
        <v>46</v>
      </c>
      <c r="P2092">
        <v>1</v>
      </c>
      <c r="R2092">
        <v>1</v>
      </c>
      <c r="S2092">
        <v>1</v>
      </c>
      <c r="T2092">
        <v>1</v>
      </c>
      <c r="W2092">
        <v>1</v>
      </c>
      <c r="X2092">
        <v>1</v>
      </c>
    </row>
    <row r="2093" spans="1:24" x14ac:dyDescent="0.3">
      <c r="A2093" t="s">
        <v>703</v>
      </c>
      <c r="B2093">
        <v>46</v>
      </c>
      <c r="P2093">
        <v>15</v>
      </c>
      <c r="R2093">
        <v>9</v>
      </c>
      <c r="S2093">
        <v>15</v>
      </c>
      <c r="T2093">
        <v>60</v>
      </c>
      <c r="W2093">
        <v>60</v>
      </c>
      <c r="X2093">
        <v>9</v>
      </c>
    </row>
    <row r="2094" spans="1:24" x14ac:dyDescent="0.3">
      <c r="A2094" t="s">
        <v>43</v>
      </c>
      <c r="B2094">
        <v>46</v>
      </c>
      <c r="P2094">
        <v>20</v>
      </c>
      <c r="R2094">
        <v>20</v>
      </c>
      <c r="S2094">
        <v>20</v>
      </c>
      <c r="T2094">
        <v>100</v>
      </c>
      <c r="W2094">
        <v>100</v>
      </c>
      <c r="X2094">
        <v>20</v>
      </c>
    </row>
    <row r="2095" spans="1:24" x14ac:dyDescent="0.3">
      <c r="A2095" t="s">
        <v>44</v>
      </c>
      <c r="B2095">
        <v>46</v>
      </c>
      <c r="P2095">
        <v>0</v>
      </c>
      <c r="R2095">
        <v>0</v>
      </c>
      <c r="S2095">
        <v>0</v>
      </c>
      <c r="T2095">
        <v>0</v>
      </c>
      <c r="W2095">
        <v>0</v>
      </c>
      <c r="X2095">
        <v>0</v>
      </c>
    </row>
    <row r="2096" spans="1:24" x14ac:dyDescent="0.3">
      <c r="A2096" t="s">
        <v>47</v>
      </c>
      <c r="B2096">
        <v>46</v>
      </c>
      <c r="P2096">
        <v>4</v>
      </c>
      <c r="R2096">
        <v>4</v>
      </c>
      <c r="S2096">
        <v>5</v>
      </c>
      <c r="T2096">
        <v>2</v>
      </c>
      <c r="W2096">
        <v>6</v>
      </c>
      <c r="X2096">
        <v>6</v>
      </c>
    </row>
    <row r="2097" spans="1:24" x14ac:dyDescent="0.3">
      <c r="A2097" t="s">
        <v>704</v>
      </c>
      <c r="B2097">
        <v>46</v>
      </c>
      <c r="P2097">
        <v>0</v>
      </c>
      <c r="R2097">
        <v>0</v>
      </c>
      <c r="S2097">
        <v>0</v>
      </c>
      <c r="T2097">
        <v>0</v>
      </c>
      <c r="W2097">
        <v>0</v>
      </c>
      <c r="X2097">
        <v>0</v>
      </c>
    </row>
    <row r="2098" spans="1:24" x14ac:dyDescent="0.3">
      <c r="A2098" t="s">
        <v>705</v>
      </c>
      <c r="B2098">
        <v>46</v>
      </c>
      <c r="P2098">
        <v>0</v>
      </c>
      <c r="R2098">
        <v>0</v>
      </c>
      <c r="S2098">
        <v>0</v>
      </c>
      <c r="T2098">
        <v>0</v>
      </c>
      <c r="W2098">
        <v>0</v>
      </c>
      <c r="X2098">
        <v>0</v>
      </c>
    </row>
    <row r="2099" spans="1:24" x14ac:dyDescent="0.3">
      <c r="A2099" t="s">
        <v>706</v>
      </c>
      <c r="B2099">
        <v>46</v>
      </c>
      <c r="P2099">
        <v>0</v>
      </c>
      <c r="R2099">
        <v>0</v>
      </c>
      <c r="S2099">
        <v>0</v>
      </c>
      <c r="T2099">
        <v>0</v>
      </c>
      <c r="W2099">
        <v>0</v>
      </c>
      <c r="X2099">
        <v>0</v>
      </c>
    </row>
    <row r="2100" spans="1:24" x14ac:dyDescent="0.3">
      <c r="A2100" t="s">
        <v>707</v>
      </c>
      <c r="B2100">
        <v>46</v>
      </c>
      <c r="P2100">
        <v>0</v>
      </c>
      <c r="R2100">
        <v>0</v>
      </c>
      <c r="S2100">
        <v>0</v>
      </c>
      <c r="T2100">
        <v>0</v>
      </c>
      <c r="W2100">
        <v>0</v>
      </c>
      <c r="X2100">
        <v>0</v>
      </c>
    </row>
    <row r="2101" spans="1:24" x14ac:dyDescent="0.3">
      <c r="A2101" t="s">
        <v>708</v>
      </c>
      <c r="B2101">
        <v>46</v>
      </c>
      <c r="P2101">
        <v>1</v>
      </c>
      <c r="R2101">
        <v>1</v>
      </c>
      <c r="S2101">
        <v>1</v>
      </c>
      <c r="T2101">
        <v>2</v>
      </c>
      <c r="W2101">
        <v>2</v>
      </c>
      <c r="X2101">
        <v>1</v>
      </c>
    </row>
    <row r="2102" spans="1:24" x14ac:dyDescent="0.3">
      <c r="A2102" t="s">
        <v>709</v>
      </c>
      <c r="B2102">
        <v>46</v>
      </c>
      <c r="P2102">
        <v>0</v>
      </c>
      <c r="R2102">
        <v>0</v>
      </c>
      <c r="S2102">
        <v>0</v>
      </c>
      <c r="T2102">
        <v>0</v>
      </c>
      <c r="W2102">
        <v>0</v>
      </c>
      <c r="X2102">
        <v>0</v>
      </c>
    </row>
    <row r="2103" spans="1:24" x14ac:dyDescent="0.3">
      <c r="A2103" t="s">
        <v>710</v>
      </c>
      <c r="B2103">
        <v>46</v>
      </c>
      <c r="P2103">
        <v>20</v>
      </c>
      <c r="R2103">
        <v>20</v>
      </c>
      <c r="S2103">
        <v>20</v>
      </c>
      <c r="T2103">
        <v>6</v>
      </c>
      <c r="W2103">
        <v>6</v>
      </c>
      <c r="X2103">
        <v>20</v>
      </c>
    </row>
    <row r="2104" spans="1:24" x14ac:dyDescent="0.3">
      <c r="A2104" t="s">
        <v>711</v>
      </c>
      <c r="B2104">
        <v>46</v>
      </c>
      <c r="P2104">
        <v>3</v>
      </c>
      <c r="R2104">
        <v>3</v>
      </c>
      <c r="S2104">
        <v>3</v>
      </c>
      <c r="T2104">
        <v>3</v>
      </c>
      <c r="W2104">
        <v>3</v>
      </c>
      <c r="X2104">
        <v>3</v>
      </c>
    </row>
    <row r="2105" spans="1:24" x14ac:dyDescent="0.3">
      <c r="A2105" t="s">
        <v>712</v>
      </c>
      <c r="B2105">
        <v>46</v>
      </c>
      <c r="P2105">
        <v>0</v>
      </c>
      <c r="R2105">
        <v>0</v>
      </c>
      <c r="S2105">
        <v>0</v>
      </c>
      <c r="T2105">
        <v>0</v>
      </c>
      <c r="W2105">
        <v>0</v>
      </c>
      <c r="X2105">
        <v>0</v>
      </c>
    </row>
    <row r="2106" spans="1:24" x14ac:dyDescent="0.3">
      <c r="A2106" t="s">
        <v>713</v>
      </c>
      <c r="B2106">
        <v>46</v>
      </c>
      <c r="P2106">
        <v>0</v>
      </c>
      <c r="R2106">
        <v>0</v>
      </c>
      <c r="S2106">
        <v>0</v>
      </c>
      <c r="T2106">
        <v>0</v>
      </c>
      <c r="W2106">
        <v>0</v>
      </c>
      <c r="X2106">
        <v>0</v>
      </c>
    </row>
    <row r="2107" spans="1:24" x14ac:dyDescent="0.3">
      <c r="A2107" t="s">
        <v>714</v>
      </c>
      <c r="B2107">
        <v>46</v>
      </c>
      <c r="P2107">
        <v>0</v>
      </c>
      <c r="R2107">
        <v>0</v>
      </c>
      <c r="S2107">
        <v>0</v>
      </c>
      <c r="T2107">
        <v>0</v>
      </c>
      <c r="W2107">
        <v>0</v>
      </c>
      <c r="X2107">
        <v>0</v>
      </c>
    </row>
    <row r="2108" spans="1:24" x14ac:dyDescent="0.3">
      <c r="A2108" t="s">
        <v>715</v>
      </c>
      <c r="B2108">
        <v>46</v>
      </c>
      <c r="T2108">
        <v>94</v>
      </c>
      <c r="W2108">
        <v>94</v>
      </c>
    </row>
    <row r="2109" spans="1:24" x14ac:dyDescent="0.3">
      <c r="A2109" t="s">
        <v>716</v>
      </c>
      <c r="B2109">
        <v>46</v>
      </c>
      <c r="T2109">
        <v>6</v>
      </c>
      <c r="W2109">
        <v>6</v>
      </c>
    </row>
    <row r="2110" spans="1:24" x14ac:dyDescent="0.3">
      <c r="A2110" t="s">
        <v>717</v>
      </c>
      <c r="B2110">
        <v>46</v>
      </c>
      <c r="T2110">
        <v>3</v>
      </c>
      <c r="W2110">
        <v>3</v>
      </c>
    </row>
    <row r="2111" spans="1:24" x14ac:dyDescent="0.3">
      <c r="A2111" t="s">
        <v>718</v>
      </c>
      <c r="B2111">
        <v>46</v>
      </c>
      <c r="T2111">
        <v>0</v>
      </c>
      <c r="W2111">
        <v>0</v>
      </c>
    </row>
    <row r="2112" spans="1:24" x14ac:dyDescent="0.3">
      <c r="A2112" t="s">
        <v>719</v>
      </c>
      <c r="B2112">
        <v>46</v>
      </c>
      <c r="P2112">
        <v>0</v>
      </c>
      <c r="T2112">
        <v>0</v>
      </c>
      <c r="W2112">
        <v>0</v>
      </c>
    </row>
    <row r="2113" spans="1:24" x14ac:dyDescent="0.3">
      <c r="A2113" t="s">
        <v>405</v>
      </c>
      <c r="B2113">
        <v>46</v>
      </c>
      <c r="P2113">
        <v>0</v>
      </c>
    </row>
    <row r="2114" spans="1:24" x14ac:dyDescent="0.3">
      <c r="A2114" t="s">
        <v>773</v>
      </c>
      <c r="B2114">
        <v>46</v>
      </c>
      <c r="R2114">
        <v>0</v>
      </c>
    </row>
    <row r="2115" spans="1:24" x14ac:dyDescent="0.3">
      <c r="A2115" t="s">
        <v>720</v>
      </c>
      <c r="B2115">
        <v>46</v>
      </c>
      <c r="P2115">
        <v>1</v>
      </c>
      <c r="R2115">
        <v>0</v>
      </c>
      <c r="S2115">
        <v>5</v>
      </c>
      <c r="T2115">
        <v>860</v>
      </c>
      <c r="W2115">
        <v>690</v>
      </c>
      <c r="X2115">
        <v>2</v>
      </c>
    </row>
    <row r="2116" spans="1:24" x14ac:dyDescent="0.3">
      <c r="A2116" t="s">
        <v>34</v>
      </c>
      <c r="B2116">
        <v>49</v>
      </c>
      <c r="P2116">
        <v>50</v>
      </c>
      <c r="R2116">
        <v>50</v>
      </c>
      <c r="S2116">
        <v>13</v>
      </c>
      <c r="T2116">
        <v>13</v>
      </c>
      <c r="W2116">
        <v>17</v>
      </c>
      <c r="X2116">
        <v>17</v>
      </c>
    </row>
    <row r="2117" spans="1:24" x14ac:dyDescent="0.3">
      <c r="A2117" t="s">
        <v>35</v>
      </c>
      <c r="B2117">
        <v>49</v>
      </c>
      <c r="P2117">
        <v>17</v>
      </c>
      <c r="R2117">
        <v>13</v>
      </c>
      <c r="S2117">
        <v>50</v>
      </c>
      <c r="T2117">
        <v>17</v>
      </c>
      <c r="W2117">
        <v>13</v>
      </c>
      <c r="X2117">
        <v>50</v>
      </c>
    </row>
    <row r="2118" spans="1:24" x14ac:dyDescent="0.3">
      <c r="A2118" t="s">
        <v>36</v>
      </c>
      <c r="B2118">
        <v>49</v>
      </c>
      <c r="P2118">
        <v>1</v>
      </c>
      <c r="R2118">
        <v>1</v>
      </c>
      <c r="S2118">
        <v>1</v>
      </c>
      <c r="T2118">
        <v>3</v>
      </c>
      <c r="W2118">
        <v>3</v>
      </c>
      <c r="X2118">
        <v>0</v>
      </c>
    </row>
    <row r="2119" spans="1:24" x14ac:dyDescent="0.3">
      <c r="A2119" t="s">
        <v>37</v>
      </c>
      <c r="B2119">
        <v>49</v>
      </c>
      <c r="P2119">
        <v>0</v>
      </c>
      <c r="S2119">
        <v>0</v>
      </c>
      <c r="T2119">
        <v>0</v>
      </c>
      <c r="W2119">
        <v>2</v>
      </c>
    </row>
    <row r="2120" spans="1:24" x14ac:dyDescent="0.3">
      <c r="A2120" t="s">
        <v>38</v>
      </c>
      <c r="B2120">
        <v>49</v>
      </c>
      <c r="P2120">
        <v>12</v>
      </c>
      <c r="R2120">
        <v>12</v>
      </c>
      <c r="S2120">
        <v>12</v>
      </c>
      <c r="T2120">
        <v>12</v>
      </c>
      <c r="W2120">
        <v>12</v>
      </c>
      <c r="X2120">
        <v>12</v>
      </c>
    </row>
    <row r="2121" spans="1:24" x14ac:dyDescent="0.3">
      <c r="A2121" t="s">
        <v>39</v>
      </c>
      <c r="B2121">
        <v>49</v>
      </c>
      <c r="P2121">
        <v>30</v>
      </c>
      <c r="R2121">
        <v>30</v>
      </c>
      <c r="S2121">
        <v>300</v>
      </c>
    </row>
    <row r="2122" spans="1:24" x14ac:dyDescent="0.3">
      <c r="A2122" t="s">
        <v>695</v>
      </c>
      <c r="B2122">
        <v>49</v>
      </c>
      <c r="P2122">
        <v>50</v>
      </c>
      <c r="R2122">
        <v>50</v>
      </c>
      <c r="S2122">
        <v>95</v>
      </c>
    </row>
    <row r="2123" spans="1:24" x14ac:dyDescent="0.3">
      <c r="A2123" t="s">
        <v>40</v>
      </c>
      <c r="B2123">
        <v>49</v>
      </c>
      <c r="P2123">
        <v>1</v>
      </c>
      <c r="R2123">
        <v>0</v>
      </c>
      <c r="S2123">
        <v>1</v>
      </c>
    </row>
    <row r="2124" spans="1:24" x14ac:dyDescent="0.3">
      <c r="A2124" t="s">
        <v>41</v>
      </c>
      <c r="B2124">
        <v>49</v>
      </c>
    </row>
    <row r="2125" spans="1:24" x14ac:dyDescent="0.3">
      <c r="A2125" t="s">
        <v>42</v>
      </c>
      <c r="B2125">
        <v>49</v>
      </c>
      <c r="P2125">
        <v>30</v>
      </c>
      <c r="T2125">
        <v>45</v>
      </c>
      <c r="W2125">
        <v>45</v>
      </c>
    </row>
    <row r="2126" spans="1:24" x14ac:dyDescent="0.3">
      <c r="A2126" t="s">
        <v>45</v>
      </c>
      <c r="B2126">
        <v>49</v>
      </c>
      <c r="P2126">
        <v>4</v>
      </c>
      <c r="S2126">
        <v>5</v>
      </c>
      <c r="T2126">
        <v>2</v>
      </c>
      <c r="W2126">
        <v>6</v>
      </c>
    </row>
    <row r="2127" spans="1:24" x14ac:dyDescent="0.3">
      <c r="A2127" t="s">
        <v>46</v>
      </c>
      <c r="B2127">
        <v>49</v>
      </c>
      <c r="R2127">
        <v>4</v>
      </c>
    </row>
    <row r="2128" spans="1:24" x14ac:dyDescent="0.3">
      <c r="A2128" t="s">
        <v>49</v>
      </c>
      <c r="B2128">
        <v>49</v>
      </c>
      <c r="P2128">
        <v>6.7</v>
      </c>
      <c r="R2128">
        <v>6.7</v>
      </c>
      <c r="S2128">
        <v>6.2</v>
      </c>
      <c r="T2128">
        <v>6</v>
      </c>
      <c r="W2128">
        <v>5.8</v>
      </c>
      <c r="X2128">
        <v>4</v>
      </c>
    </row>
    <row r="2129" spans="1:24" x14ac:dyDescent="0.3">
      <c r="A2129" t="s">
        <v>696</v>
      </c>
      <c r="B2129">
        <v>49</v>
      </c>
      <c r="P2129">
        <v>0</v>
      </c>
      <c r="R2129">
        <v>0</v>
      </c>
      <c r="S2129">
        <v>0</v>
      </c>
      <c r="T2129">
        <v>0</v>
      </c>
      <c r="W2129">
        <v>0</v>
      </c>
      <c r="X2129">
        <v>0</v>
      </c>
    </row>
    <row r="2130" spans="1:24" x14ac:dyDescent="0.3">
      <c r="A2130" t="s">
        <v>48</v>
      </c>
      <c r="B2130">
        <v>49</v>
      </c>
      <c r="P2130">
        <v>1900</v>
      </c>
      <c r="R2130">
        <v>1900</v>
      </c>
      <c r="S2130">
        <v>1900</v>
      </c>
      <c r="T2130">
        <v>1900</v>
      </c>
      <c r="W2130">
        <v>1900</v>
      </c>
      <c r="X2130">
        <v>1900</v>
      </c>
    </row>
    <row r="2131" spans="1:24" x14ac:dyDescent="0.3">
      <c r="A2131" t="s">
        <v>697</v>
      </c>
      <c r="B2131">
        <v>49</v>
      </c>
      <c r="P2131">
        <v>1770</v>
      </c>
      <c r="R2131">
        <v>1583</v>
      </c>
      <c r="S2131">
        <v>1770</v>
      </c>
      <c r="T2131">
        <v>5085</v>
      </c>
      <c r="W2131">
        <v>5075</v>
      </c>
      <c r="X2131">
        <v>0</v>
      </c>
    </row>
    <row r="2132" spans="1:24" x14ac:dyDescent="0.3">
      <c r="A2132" t="s">
        <v>50</v>
      </c>
      <c r="B2132">
        <v>49</v>
      </c>
      <c r="P2132">
        <v>1770</v>
      </c>
      <c r="R2132">
        <v>1583</v>
      </c>
      <c r="S2132">
        <v>1770</v>
      </c>
      <c r="T2132">
        <v>5085</v>
      </c>
      <c r="W2132">
        <v>5075</v>
      </c>
      <c r="X2132">
        <v>0</v>
      </c>
    </row>
    <row r="2133" spans="1:24" x14ac:dyDescent="0.3">
      <c r="A2133" t="s">
        <v>698</v>
      </c>
      <c r="B2133">
        <v>49</v>
      </c>
      <c r="P2133">
        <v>1</v>
      </c>
      <c r="R2133">
        <v>1</v>
      </c>
      <c r="S2133">
        <v>1</v>
      </c>
      <c r="T2133">
        <v>1</v>
      </c>
      <c r="W2133">
        <v>1</v>
      </c>
      <c r="X2133">
        <v>1</v>
      </c>
    </row>
    <row r="2134" spans="1:24" x14ac:dyDescent="0.3">
      <c r="A2134" t="s">
        <v>51</v>
      </c>
      <c r="B2134">
        <v>49</v>
      </c>
      <c r="P2134">
        <v>0</v>
      </c>
      <c r="R2134">
        <v>64</v>
      </c>
      <c r="S2134">
        <v>0</v>
      </c>
      <c r="T2134">
        <v>0</v>
      </c>
      <c r="W2134">
        <v>2</v>
      </c>
      <c r="X2134">
        <v>0</v>
      </c>
    </row>
    <row r="2135" spans="1:24" x14ac:dyDescent="0.3">
      <c r="A2135" t="s">
        <v>53</v>
      </c>
      <c r="B2135">
        <v>49</v>
      </c>
      <c r="P2135">
        <v>27</v>
      </c>
      <c r="R2135">
        <v>59</v>
      </c>
      <c r="S2135">
        <v>38</v>
      </c>
      <c r="T2135">
        <v>954</v>
      </c>
      <c r="W2135">
        <v>1084</v>
      </c>
      <c r="X2135">
        <v>13</v>
      </c>
    </row>
    <row r="2136" spans="1:24" x14ac:dyDescent="0.3">
      <c r="A2136" t="s">
        <v>54</v>
      </c>
      <c r="B2136">
        <v>49</v>
      </c>
      <c r="P2136">
        <v>0</v>
      </c>
      <c r="R2136">
        <v>0</v>
      </c>
      <c r="S2136">
        <v>0</v>
      </c>
      <c r="T2136">
        <v>0</v>
      </c>
      <c r="W2136">
        <v>0</v>
      </c>
      <c r="X2136">
        <v>0</v>
      </c>
    </row>
    <row r="2137" spans="1:24" x14ac:dyDescent="0.3">
      <c r="A2137" t="s">
        <v>55</v>
      </c>
      <c r="B2137">
        <v>49</v>
      </c>
      <c r="P2137">
        <v>0</v>
      </c>
      <c r="R2137">
        <v>0</v>
      </c>
      <c r="S2137">
        <v>0</v>
      </c>
      <c r="T2137">
        <v>0</v>
      </c>
      <c r="W2137">
        <v>0</v>
      </c>
      <c r="X2137">
        <v>0</v>
      </c>
    </row>
    <row r="2138" spans="1:24" x14ac:dyDescent="0.3">
      <c r="A2138" t="s">
        <v>56</v>
      </c>
      <c r="B2138">
        <v>49</v>
      </c>
      <c r="P2138">
        <v>0.92</v>
      </c>
      <c r="R2138">
        <v>0.92</v>
      </c>
      <c r="S2138">
        <v>0.92</v>
      </c>
      <c r="T2138">
        <v>0.92</v>
      </c>
      <c r="W2138">
        <v>0.92</v>
      </c>
      <c r="X2138">
        <v>0.92</v>
      </c>
    </row>
    <row r="2139" spans="1:24" x14ac:dyDescent="0.3">
      <c r="A2139" t="s">
        <v>57</v>
      </c>
      <c r="B2139">
        <v>49</v>
      </c>
      <c r="P2139">
        <v>100</v>
      </c>
      <c r="R2139">
        <v>100</v>
      </c>
      <c r="S2139">
        <v>100</v>
      </c>
      <c r="T2139">
        <v>100</v>
      </c>
      <c r="W2139">
        <v>100</v>
      </c>
      <c r="X2139">
        <v>100</v>
      </c>
    </row>
    <row r="2140" spans="1:24" x14ac:dyDescent="0.3">
      <c r="A2140" t="s">
        <v>58</v>
      </c>
      <c r="B2140">
        <v>49</v>
      </c>
      <c r="P2140">
        <v>2</v>
      </c>
      <c r="R2140">
        <v>2</v>
      </c>
      <c r="S2140">
        <v>2</v>
      </c>
      <c r="T2140">
        <v>2</v>
      </c>
      <c r="W2140">
        <v>2</v>
      </c>
      <c r="X2140">
        <v>2</v>
      </c>
    </row>
    <row r="2141" spans="1:24" x14ac:dyDescent="0.3">
      <c r="A2141" t="s">
        <v>59</v>
      </c>
      <c r="B2141">
        <v>49</v>
      </c>
      <c r="P2141">
        <v>0</v>
      </c>
      <c r="R2141">
        <v>0</v>
      </c>
      <c r="S2141">
        <v>0</v>
      </c>
      <c r="T2141">
        <v>0</v>
      </c>
      <c r="W2141">
        <v>0</v>
      </c>
      <c r="X2141">
        <v>0</v>
      </c>
    </row>
    <row r="2142" spans="1:24" x14ac:dyDescent="0.3">
      <c r="A2142" t="s">
        <v>699</v>
      </c>
      <c r="B2142">
        <v>49</v>
      </c>
      <c r="P2142">
        <v>0</v>
      </c>
      <c r="T2142">
        <v>0</v>
      </c>
      <c r="W2142">
        <v>0</v>
      </c>
    </row>
    <row r="2143" spans="1:24" x14ac:dyDescent="0.3">
      <c r="A2143" t="s">
        <v>678</v>
      </c>
      <c r="B2143">
        <v>49</v>
      </c>
      <c r="P2143">
        <v>299</v>
      </c>
      <c r="T2143">
        <v>2934</v>
      </c>
      <c r="W2143">
        <v>4063</v>
      </c>
    </row>
    <row r="2144" spans="1:24" x14ac:dyDescent="0.3">
      <c r="A2144" t="s">
        <v>78</v>
      </c>
      <c r="B2144">
        <v>49</v>
      </c>
      <c r="P2144">
        <v>6.8</v>
      </c>
      <c r="T2144">
        <v>44.5</v>
      </c>
      <c r="W2144">
        <v>61.6</v>
      </c>
    </row>
    <row r="2145" spans="1:24" x14ac:dyDescent="0.3">
      <c r="A2145" t="s">
        <v>700</v>
      </c>
      <c r="B2145">
        <v>49</v>
      </c>
      <c r="R2145">
        <v>0</v>
      </c>
      <c r="T2145">
        <v>0</v>
      </c>
      <c r="X2145">
        <v>0</v>
      </c>
    </row>
    <row r="2146" spans="1:24" x14ac:dyDescent="0.3">
      <c r="A2146" t="s">
        <v>701</v>
      </c>
      <c r="B2146">
        <v>49</v>
      </c>
      <c r="P2146">
        <v>0</v>
      </c>
      <c r="R2146">
        <v>1</v>
      </c>
      <c r="S2146">
        <v>0</v>
      </c>
      <c r="T2146">
        <v>0</v>
      </c>
      <c r="W2146">
        <v>0</v>
      </c>
      <c r="X2146">
        <v>1</v>
      </c>
    </row>
    <row r="2147" spans="1:24" x14ac:dyDescent="0.3">
      <c r="A2147" t="s">
        <v>702</v>
      </c>
      <c r="B2147">
        <v>49</v>
      </c>
      <c r="P2147">
        <v>0</v>
      </c>
      <c r="R2147">
        <v>0</v>
      </c>
      <c r="S2147">
        <v>0</v>
      </c>
      <c r="T2147">
        <v>0</v>
      </c>
      <c r="W2147">
        <v>0</v>
      </c>
      <c r="X2147">
        <v>0</v>
      </c>
    </row>
    <row r="2148" spans="1:24" x14ac:dyDescent="0.3">
      <c r="A2148" t="s">
        <v>52</v>
      </c>
      <c r="B2148">
        <v>49</v>
      </c>
      <c r="P2148">
        <v>1</v>
      </c>
      <c r="R2148">
        <v>1</v>
      </c>
      <c r="S2148">
        <v>1</v>
      </c>
      <c r="T2148">
        <v>1</v>
      </c>
      <c r="W2148">
        <v>1</v>
      </c>
      <c r="X2148">
        <v>1</v>
      </c>
    </row>
    <row r="2149" spans="1:24" x14ac:dyDescent="0.3">
      <c r="A2149" t="s">
        <v>703</v>
      </c>
      <c r="B2149">
        <v>49</v>
      </c>
      <c r="P2149">
        <v>15</v>
      </c>
      <c r="R2149">
        <v>9</v>
      </c>
      <c r="S2149">
        <v>15</v>
      </c>
      <c r="T2149">
        <v>60</v>
      </c>
      <c r="W2149">
        <v>60</v>
      </c>
      <c r="X2149">
        <v>9</v>
      </c>
    </row>
    <row r="2150" spans="1:24" x14ac:dyDescent="0.3">
      <c r="A2150" t="s">
        <v>43</v>
      </c>
      <c r="B2150">
        <v>49</v>
      </c>
      <c r="P2150">
        <v>20</v>
      </c>
      <c r="R2150">
        <v>20</v>
      </c>
      <c r="S2150">
        <v>20</v>
      </c>
      <c r="T2150">
        <v>100</v>
      </c>
      <c r="W2150">
        <v>100</v>
      </c>
    </row>
    <row r="2151" spans="1:24" x14ac:dyDescent="0.3">
      <c r="A2151" t="s">
        <v>44</v>
      </c>
      <c r="B2151">
        <v>49</v>
      </c>
      <c r="P2151">
        <v>0</v>
      </c>
      <c r="R2151">
        <v>0</v>
      </c>
      <c r="S2151">
        <v>0</v>
      </c>
      <c r="T2151">
        <v>0</v>
      </c>
      <c r="W2151">
        <v>0</v>
      </c>
    </row>
    <row r="2152" spans="1:24" x14ac:dyDescent="0.3">
      <c r="A2152" t="s">
        <v>47</v>
      </c>
      <c r="B2152">
        <v>49</v>
      </c>
      <c r="P2152">
        <v>4</v>
      </c>
      <c r="R2152">
        <v>4</v>
      </c>
      <c r="S2152">
        <v>5</v>
      </c>
      <c r="T2152">
        <v>2</v>
      </c>
      <c r="W2152">
        <v>6</v>
      </c>
    </row>
    <row r="2153" spans="1:24" x14ac:dyDescent="0.3">
      <c r="A2153" t="s">
        <v>704</v>
      </c>
      <c r="B2153">
        <v>49</v>
      </c>
      <c r="P2153">
        <v>0</v>
      </c>
      <c r="R2153">
        <v>0</v>
      </c>
      <c r="S2153">
        <v>0</v>
      </c>
      <c r="T2153">
        <v>0</v>
      </c>
      <c r="W2153">
        <v>0</v>
      </c>
    </row>
    <row r="2154" spans="1:24" x14ac:dyDescent="0.3">
      <c r="A2154" t="s">
        <v>705</v>
      </c>
      <c r="B2154">
        <v>49</v>
      </c>
      <c r="P2154">
        <v>0</v>
      </c>
      <c r="R2154">
        <v>0</v>
      </c>
      <c r="S2154">
        <v>0</v>
      </c>
      <c r="T2154">
        <v>0</v>
      </c>
      <c r="W2154">
        <v>0</v>
      </c>
    </row>
    <row r="2155" spans="1:24" x14ac:dyDescent="0.3">
      <c r="A2155" t="s">
        <v>706</v>
      </c>
      <c r="B2155">
        <v>49</v>
      </c>
      <c r="P2155">
        <v>0</v>
      </c>
      <c r="R2155">
        <v>0</v>
      </c>
      <c r="S2155">
        <v>0</v>
      </c>
      <c r="T2155">
        <v>0</v>
      </c>
      <c r="W2155">
        <v>0</v>
      </c>
    </row>
    <row r="2156" spans="1:24" x14ac:dyDescent="0.3">
      <c r="A2156" t="s">
        <v>707</v>
      </c>
      <c r="B2156">
        <v>49</v>
      </c>
      <c r="P2156">
        <v>0</v>
      </c>
      <c r="R2156">
        <v>0</v>
      </c>
      <c r="S2156">
        <v>0</v>
      </c>
      <c r="T2156">
        <v>0</v>
      </c>
      <c r="W2156">
        <v>0</v>
      </c>
    </row>
    <row r="2157" spans="1:24" x14ac:dyDescent="0.3">
      <c r="A2157" t="s">
        <v>708</v>
      </c>
      <c r="B2157">
        <v>49</v>
      </c>
      <c r="P2157">
        <v>1</v>
      </c>
      <c r="R2157">
        <v>1</v>
      </c>
      <c r="S2157">
        <v>1</v>
      </c>
      <c r="T2157">
        <v>2</v>
      </c>
      <c r="W2157">
        <v>2</v>
      </c>
    </row>
    <row r="2158" spans="1:24" x14ac:dyDescent="0.3">
      <c r="A2158" t="s">
        <v>709</v>
      </c>
      <c r="B2158">
        <v>49</v>
      </c>
      <c r="P2158">
        <v>0</v>
      </c>
      <c r="R2158">
        <v>0</v>
      </c>
      <c r="S2158">
        <v>0</v>
      </c>
      <c r="T2158">
        <v>0</v>
      </c>
      <c r="W2158">
        <v>0</v>
      </c>
    </row>
    <row r="2159" spans="1:24" x14ac:dyDescent="0.3">
      <c r="A2159" t="s">
        <v>710</v>
      </c>
      <c r="B2159">
        <v>49</v>
      </c>
      <c r="P2159">
        <v>20</v>
      </c>
      <c r="R2159">
        <v>20</v>
      </c>
      <c r="S2159">
        <v>20</v>
      </c>
      <c r="T2159">
        <v>6</v>
      </c>
      <c r="W2159">
        <v>6</v>
      </c>
    </row>
    <row r="2160" spans="1:24" x14ac:dyDescent="0.3">
      <c r="A2160" t="s">
        <v>711</v>
      </c>
      <c r="B2160">
        <v>49</v>
      </c>
      <c r="P2160">
        <v>3</v>
      </c>
      <c r="R2160">
        <v>3</v>
      </c>
      <c r="S2160">
        <v>3</v>
      </c>
      <c r="T2160">
        <v>3</v>
      </c>
      <c r="W2160">
        <v>3</v>
      </c>
    </row>
    <row r="2161" spans="1:24" x14ac:dyDescent="0.3">
      <c r="A2161" t="s">
        <v>712</v>
      </c>
      <c r="B2161">
        <v>49</v>
      </c>
      <c r="P2161">
        <v>0</v>
      </c>
      <c r="R2161">
        <v>0</v>
      </c>
      <c r="S2161">
        <v>0</v>
      </c>
      <c r="T2161">
        <v>0</v>
      </c>
      <c r="W2161">
        <v>0</v>
      </c>
    </row>
    <row r="2162" spans="1:24" x14ac:dyDescent="0.3">
      <c r="A2162" t="s">
        <v>713</v>
      </c>
      <c r="B2162">
        <v>49</v>
      </c>
      <c r="P2162">
        <v>0</v>
      </c>
      <c r="R2162">
        <v>0</v>
      </c>
      <c r="S2162">
        <v>0</v>
      </c>
      <c r="T2162">
        <v>0</v>
      </c>
      <c r="W2162">
        <v>0</v>
      </c>
    </row>
    <row r="2163" spans="1:24" x14ac:dyDescent="0.3">
      <c r="A2163" t="s">
        <v>714</v>
      </c>
      <c r="B2163">
        <v>49</v>
      </c>
      <c r="P2163">
        <v>0</v>
      </c>
      <c r="R2163">
        <v>0</v>
      </c>
      <c r="S2163">
        <v>0</v>
      </c>
      <c r="T2163">
        <v>0</v>
      </c>
      <c r="W2163">
        <v>0</v>
      </c>
    </row>
    <row r="2164" spans="1:24" x14ac:dyDescent="0.3">
      <c r="A2164" t="s">
        <v>715</v>
      </c>
      <c r="B2164">
        <v>49</v>
      </c>
      <c r="T2164">
        <v>94</v>
      </c>
      <c r="W2164">
        <v>94</v>
      </c>
    </row>
    <row r="2165" spans="1:24" x14ac:dyDescent="0.3">
      <c r="A2165" t="s">
        <v>716</v>
      </c>
      <c r="B2165">
        <v>49</v>
      </c>
      <c r="T2165">
        <v>6</v>
      </c>
      <c r="W2165">
        <v>6</v>
      </c>
    </row>
    <row r="2166" spans="1:24" x14ac:dyDescent="0.3">
      <c r="A2166" t="s">
        <v>717</v>
      </c>
      <c r="B2166">
        <v>49</v>
      </c>
      <c r="T2166">
        <v>3</v>
      </c>
      <c r="W2166">
        <v>3</v>
      </c>
    </row>
    <row r="2167" spans="1:24" x14ac:dyDescent="0.3">
      <c r="A2167" t="s">
        <v>718</v>
      </c>
      <c r="B2167">
        <v>49</v>
      </c>
      <c r="T2167">
        <v>0</v>
      </c>
      <c r="W2167">
        <v>0</v>
      </c>
    </row>
    <row r="2168" spans="1:24" x14ac:dyDescent="0.3">
      <c r="A2168" t="s">
        <v>719</v>
      </c>
      <c r="B2168">
        <v>49</v>
      </c>
      <c r="P2168">
        <v>0</v>
      </c>
      <c r="T2168">
        <v>0</v>
      </c>
      <c r="W2168">
        <v>0</v>
      </c>
    </row>
    <row r="2169" spans="1:24" x14ac:dyDescent="0.3">
      <c r="A2169" t="s">
        <v>405</v>
      </c>
      <c r="B2169">
        <v>49</v>
      </c>
      <c r="P2169">
        <v>0</v>
      </c>
    </row>
    <row r="2170" spans="1:24" x14ac:dyDescent="0.3">
      <c r="A2170" t="s">
        <v>720</v>
      </c>
      <c r="B2170">
        <v>49</v>
      </c>
      <c r="P2170">
        <v>29</v>
      </c>
      <c r="R2170">
        <v>64</v>
      </c>
      <c r="S2170">
        <v>41</v>
      </c>
      <c r="T2170">
        <v>1037</v>
      </c>
      <c r="W2170">
        <v>1192</v>
      </c>
      <c r="X2170">
        <v>0</v>
      </c>
    </row>
    <row r="2172" spans="1:24" x14ac:dyDescent="0.3">
      <c r="A2172" t="s">
        <v>565</v>
      </c>
    </row>
    <row r="2173" spans="1:24" x14ac:dyDescent="0.3">
      <c r="A2173" t="s">
        <v>723</v>
      </c>
    </row>
    <row r="2174" spans="1:24" x14ac:dyDescent="0.3">
      <c r="A2174" t="s">
        <v>0</v>
      </c>
      <c r="B2174" t="s">
        <v>1</v>
      </c>
      <c r="C2174" t="s">
        <v>643</v>
      </c>
    </row>
    <row r="2175" spans="1:24" x14ac:dyDescent="0.3">
      <c r="A2175" t="s">
        <v>724</v>
      </c>
      <c r="B2175">
        <v>1</v>
      </c>
      <c r="C2175">
        <v>3</v>
      </c>
    </row>
    <row r="2176" spans="1:24" x14ac:dyDescent="0.3">
      <c r="A2176" t="s">
        <v>725</v>
      </c>
      <c r="B2176">
        <v>1</v>
      </c>
      <c r="C2176">
        <v>140</v>
      </c>
    </row>
    <row r="2177" spans="1:3" x14ac:dyDescent="0.3">
      <c r="A2177" t="s">
        <v>726</v>
      </c>
      <c r="B2177">
        <v>1</v>
      </c>
      <c r="C2177">
        <v>0</v>
      </c>
    </row>
    <row r="2178" spans="1:3" x14ac:dyDescent="0.3">
      <c r="A2178" t="s">
        <v>727</v>
      </c>
      <c r="B2178">
        <v>1</v>
      </c>
      <c r="C2178">
        <v>0</v>
      </c>
    </row>
    <row r="2179" spans="1:3" x14ac:dyDescent="0.3">
      <c r="A2179" t="s">
        <v>728</v>
      </c>
      <c r="B2179">
        <v>1</v>
      </c>
      <c r="C2179">
        <v>206</v>
      </c>
    </row>
    <row r="2180" spans="1:3" x14ac:dyDescent="0.3">
      <c r="A2180" t="s">
        <v>563</v>
      </c>
      <c r="B2180">
        <v>1</v>
      </c>
      <c r="C2180">
        <v>0</v>
      </c>
    </row>
    <row r="2181" spans="1:3" x14ac:dyDescent="0.3">
      <c r="A2181" t="s">
        <v>729</v>
      </c>
      <c r="B2181">
        <v>1</v>
      </c>
      <c r="C2181">
        <v>1</v>
      </c>
    </row>
    <row r="2182" spans="1:3" x14ac:dyDescent="0.3">
      <c r="A2182" t="s">
        <v>272</v>
      </c>
      <c r="B2182">
        <v>1</v>
      </c>
      <c r="C2182">
        <v>0</v>
      </c>
    </row>
    <row r="2183" spans="1:3" x14ac:dyDescent="0.3">
      <c r="A2183" t="s">
        <v>730</v>
      </c>
      <c r="B2183">
        <v>1</v>
      </c>
      <c r="C2183">
        <v>1</v>
      </c>
    </row>
    <row r="2184" spans="1:3" x14ac:dyDescent="0.3">
      <c r="A2184" t="s">
        <v>731</v>
      </c>
      <c r="B2184">
        <v>1</v>
      </c>
      <c r="C2184">
        <v>0</v>
      </c>
    </row>
    <row r="2185" spans="1:3" x14ac:dyDescent="0.3">
      <c r="A2185" t="s">
        <v>724</v>
      </c>
      <c r="B2185">
        <v>7</v>
      </c>
      <c r="C2185">
        <v>3</v>
      </c>
    </row>
    <row r="2186" spans="1:3" x14ac:dyDescent="0.3">
      <c r="A2186" t="s">
        <v>725</v>
      </c>
      <c r="B2186">
        <v>7</v>
      </c>
      <c r="C2186">
        <v>140</v>
      </c>
    </row>
    <row r="2187" spans="1:3" x14ac:dyDescent="0.3">
      <c r="A2187" t="s">
        <v>726</v>
      </c>
      <c r="B2187">
        <v>7</v>
      </c>
      <c r="C2187">
        <v>0</v>
      </c>
    </row>
    <row r="2188" spans="1:3" x14ac:dyDescent="0.3">
      <c r="A2188" t="s">
        <v>727</v>
      </c>
      <c r="B2188">
        <v>7</v>
      </c>
      <c r="C2188">
        <v>0</v>
      </c>
    </row>
    <row r="2189" spans="1:3" x14ac:dyDescent="0.3">
      <c r="A2189" t="s">
        <v>728</v>
      </c>
      <c r="B2189">
        <v>7</v>
      </c>
      <c r="C2189">
        <v>206</v>
      </c>
    </row>
    <row r="2190" spans="1:3" x14ac:dyDescent="0.3">
      <c r="A2190" t="s">
        <v>563</v>
      </c>
      <c r="B2190">
        <v>7</v>
      </c>
      <c r="C2190">
        <v>70</v>
      </c>
    </row>
    <row r="2191" spans="1:3" x14ac:dyDescent="0.3">
      <c r="A2191" t="s">
        <v>729</v>
      </c>
      <c r="B2191">
        <v>7</v>
      </c>
      <c r="C2191">
        <v>0</v>
      </c>
    </row>
    <row r="2192" spans="1:3" x14ac:dyDescent="0.3">
      <c r="A2192" t="s">
        <v>272</v>
      </c>
      <c r="B2192">
        <v>7</v>
      </c>
      <c r="C2192">
        <v>0</v>
      </c>
    </row>
    <row r="2193" spans="1:3" x14ac:dyDescent="0.3">
      <c r="A2193" t="s">
        <v>730</v>
      </c>
      <c r="B2193">
        <v>7</v>
      </c>
      <c r="C2193">
        <v>7</v>
      </c>
    </row>
    <row r="2194" spans="1:3" x14ac:dyDescent="0.3">
      <c r="A2194" t="s">
        <v>731</v>
      </c>
      <c r="B2194">
        <v>7</v>
      </c>
      <c r="C2194">
        <v>0</v>
      </c>
    </row>
    <row r="2195" spans="1:3" x14ac:dyDescent="0.3">
      <c r="A2195" t="s">
        <v>724</v>
      </c>
      <c r="B2195">
        <v>9</v>
      </c>
      <c r="C2195">
        <v>3</v>
      </c>
    </row>
    <row r="2196" spans="1:3" x14ac:dyDescent="0.3">
      <c r="A2196" t="s">
        <v>725</v>
      </c>
      <c r="B2196">
        <v>9</v>
      </c>
      <c r="C2196">
        <v>140</v>
      </c>
    </row>
    <row r="2197" spans="1:3" x14ac:dyDescent="0.3">
      <c r="A2197" t="s">
        <v>726</v>
      </c>
      <c r="B2197">
        <v>9</v>
      </c>
      <c r="C2197">
        <v>0</v>
      </c>
    </row>
    <row r="2198" spans="1:3" x14ac:dyDescent="0.3">
      <c r="A2198" t="s">
        <v>727</v>
      </c>
      <c r="B2198">
        <v>9</v>
      </c>
      <c r="C2198">
        <v>0</v>
      </c>
    </row>
    <row r="2199" spans="1:3" x14ac:dyDescent="0.3">
      <c r="A2199" t="s">
        <v>728</v>
      </c>
      <c r="B2199">
        <v>9</v>
      </c>
      <c r="C2199">
        <v>206</v>
      </c>
    </row>
    <row r="2200" spans="1:3" x14ac:dyDescent="0.3">
      <c r="A2200" t="s">
        <v>563</v>
      </c>
      <c r="B2200">
        <v>9</v>
      </c>
      <c r="C2200">
        <v>75</v>
      </c>
    </row>
    <row r="2201" spans="1:3" x14ac:dyDescent="0.3">
      <c r="A2201" t="s">
        <v>729</v>
      </c>
      <c r="B2201">
        <v>9</v>
      </c>
      <c r="C2201">
        <v>0</v>
      </c>
    </row>
    <row r="2202" spans="1:3" x14ac:dyDescent="0.3">
      <c r="A2202" t="s">
        <v>272</v>
      </c>
      <c r="B2202">
        <v>9</v>
      </c>
      <c r="C2202">
        <v>0</v>
      </c>
    </row>
    <row r="2203" spans="1:3" x14ac:dyDescent="0.3">
      <c r="A2203" t="s">
        <v>730</v>
      </c>
      <c r="B2203">
        <v>9</v>
      </c>
      <c r="C2203">
        <v>9</v>
      </c>
    </row>
    <row r="2204" spans="1:3" x14ac:dyDescent="0.3">
      <c r="A2204" t="s">
        <v>731</v>
      </c>
      <c r="B2204">
        <v>9</v>
      </c>
      <c r="C2204">
        <v>0</v>
      </c>
    </row>
    <row r="2205" spans="1:3" x14ac:dyDescent="0.3">
      <c r="A2205" t="s">
        <v>724</v>
      </c>
      <c r="B2205">
        <v>11</v>
      </c>
      <c r="C2205">
        <v>3</v>
      </c>
    </row>
    <row r="2206" spans="1:3" x14ac:dyDescent="0.3">
      <c r="A2206" t="s">
        <v>725</v>
      </c>
      <c r="B2206">
        <v>11</v>
      </c>
      <c r="C2206">
        <v>140</v>
      </c>
    </row>
    <row r="2207" spans="1:3" x14ac:dyDescent="0.3">
      <c r="A2207" t="s">
        <v>726</v>
      </c>
      <c r="B2207">
        <v>11</v>
      </c>
      <c r="C2207">
        <v>0</v>
      </c>
    </row>
    <row r="2208" spans="1:3" x14ac:dyDescent="0.3">
      <c r="A2208" t="s">
        <v>727</v>
      </c>
      <c r="B2208">
        <v>11</v>
      </c>
      <c r="C2208">
        <v>0</v>
      </c>
    </row>
    <row r="2209" spans="1:3" x14ac:dyDescent="0.3">
      <c r="A2209" t="s">
        <v>728</v>
      </c>
      <c r="B2209">
        <v>11</v>
      </c>
      <c r="C2209">
        <v>206</v>
      </c>
    </row>
    <row r="2210" spans="1:3" x14ac:dyDescent="0.3">
      <c r="A2210" t="s">
        <v>563</v>
      </c>
      <c r="B2210">
        <v>11</v>
      </c>
      <c r="C2210">
        <v>12</v>
      </c>
    </row>
    <row r="2211" spans="1:3" x14ac:dyDescent="0.3">
      <c r="A2211" t="s">
        <v>729</v>
      </c>
      <c r="B2211">
        <v>11</v>
      </c>
      <c r="C2211">
        <v>0</v>
      </c>
    </row>
    <row r="2212" spans="1:3" x14ac:dyDescent="0.3">
      <c r="A2212" t="s">
        <v>272</v>
      </c>
      <c r="B2212">
        <v>11</v>
      </c>
      <c r="C2212">
        <v>0</v>
      </c>
    </row>
    <row r="2213" spans="1:3" x14ac:dyDescent="0.3">
      <c r="A2213" t="s">
        <v>730</v>
      </c>
      <c r="B2213">
        <v>11</v>
      </c>
      <c r="C2213">
        <v>11</v>
      </c>
    </row>
    <row r="2214" spans="1:3" x14ac:dyDescent="0.3">
      <c r="A2214" t="s">
        <v>731</v>
      </c>
      <c r="B2214">
        <v>11</v>
      </c>
      <c r="C2214">
        <v>0</v>
      </c>
    </row>
    <row r="2215" spans="1:3" x14ac:dyDescent="0.3">
      <c r="A2215" t="s">
        <v>724</v>
      </c>
      <c r="B2215">
        <v>13</v>
      </c>
      <c r="C2215">
        <v>3</v>
      </c>
    </row>
    <row r="2216" spans="1:3" x14ac:dyDescent="0.3">
      <c r="A2216" t="s">
        <v>725</v>
      </c>
      <c r="B2216">
        <v>13</v>
      </c>
      <c r="C2216">
        <v>140</v>
      </c>
    </row>
    <row r="2217" spans="1:3" x14ac:dyDescent="0.3">
      <c r="A2217" t="s">
        <v>726</v>
      </c>
      <c r="B2217">
        <v>13</v>
      </c>
      <c r="C2217">
        <v>0</v>
      </c>
    </row>
    <row r="2218" spans="1:3" x14ac:dyDescent="0.3">
      <c r="A2218" t="s">
        <v>727</v>
      </c>
      <c r="B2218">
        <v>13</v>
      </c>
      <c r="C2218">
        <v>0</v>
      </c>
    </row>
    <row r="2219" spans="1:3" x14ac:dyDescent="0.3">
      <c r="A2219" t="s">
        <v>728</v>
      </c>
      <c r="B2219">
        <v>13</v>
      </c>
      <c r="C2219">
        <v>206</v>
      </c>
    </row>
    <row r="2220" spans="1:3" x14ac:dyDescent="0.3">
      <c r="A2220" t="s">
        <v>563</v>
      </c>
      <c r="B2220">
        <v>13</v>
      </c>
      <c r="C2220">
        <v>96</v>
      </c>
    </row>
    <row r="2221" spans="1:3" x14ac:dyDescent="0.3">
      <c r="A2221" t="s">
        <v>729</v>
      </c>
      <c r="B2221">
        <v>13</v>
      </c>
      <c r="C2221">
        <v>0</v>
      </c>
    </row>
    <row r="2222" spans="1:3" x14ac:dyDescent="0.3">
      <c r="A2222" t="s">
        <v>272</v>
      </c>
      <c r="B2222">
        <v>13</v>
      </c>
      <c r="C2222">
        <v>0</v>
      </c>
    </row>
    <row r="2223" spans="1:3" x14ac:dyDescent="0.3">
      <c r="A2223" t="s">
        <v>730</v>
      </c>
      <c r="B2223">
        <v>13</v>
      </c>
      <c r="C2223">
        <v>13</v>
      </c>
    </row>
    <row r="2224" spans="1:3" x14ac:dyDescent="0.3">
      <c r="A2224" t="s">
        <v>731</v>
      </c>
      <c r="B2224">
        <v>13</v>
      </c>
      <c r="C2224">
        <v>0</v>
      </c>
    </row>
    <row r="2225" spans="1:3" x14ac:dyDescent="0.3">
      <c r="A2225" t="s">
        <v>724</v>
      </c>
      <c r="B2225">
        <v>17</v>
      </c>
      <c r="C2225">
        <v>2</v>
      </c>
    </row>
    <row r="2226" spans="1:3" x14ac:dyDescent="0.3">
      <c r="A2226" t="s">
        <v>725</v>
      </c>
      <c r="B2226">
        <v>17</v>
      </c>
      <c r="C2226">
        <v>165</v>
      </c>
    </row>
    <row r="2227" spans="1:3" x14ac:dyDescent="0.3">
      <c r="A2227" t="s">
        <v>726</v>
      </c>
      <c r="B2227">
        <v>17</v>
      </c>
      <c r="C2227">
        <v>0</v>
      </c>
    </row>
    <row r="2228" spans="1:3" x14ac:dyDescent="0.3">
      <c r="A2228" t="s">
        <v>727</v>
      </c>
      <c r="B2228">
        <v>17</v>
      </c>
      <c r="C2228">
        <v>0</v>
      </c>
    </row>
    <row r="2229" spans="1:3" x14ac:dyDescent="0.3">
      <c r="A2229" t="s">
        <v>728</v>
      </c>
      <c r="B2229">
        <v>17</v>
      </c>
      <c r="C2229">
        <v>206</v>
      </c>
    </row>
    <row r="2230" spans="1:3" x14ac:dyDescent="0.3">
      <c r="A2230" t="s">
        <v>563</v>
      </c>
      <c r="B2230">
        <v>17</v>
      </c>
      <c r="C2230">
        <v>24.8</v>
      </c>
    </row>
    <row r="2231" spans="1:3" x14ac:dyDescent="0.3">
      <c r="A2231" t="s">
        <v>729</v>
      </c>
      <c r="B2231">
        <v>17</v>
      </c>
      <c r="C2231">
        <v>0</v>
      </c>
    </row>
    <row r="2232" spans="1:3" x14ac:dyDescent="0.3">
      <c r="A2232" t="s">
        <v>272</v>
      </c>
      <c r="B2232">
        <v>17</v>
      </c>
      <c r="C2232">
        <v>0</v>
      </c>
    </row>
    <row r="2233" spans="1:3" x14ac:dyDescent="0.3">
      <c r="A2233" t="s">
        <v>730</v>
      </c>
      <c r="B2233">
        <v>17</v>
      </c>
      <c r="C2233">
        <v>17</v>
      </c>
    </row>
    <row r="2234" spans="1:3" x14ac:dyDescent="0.3">
      <c r="A2234" t="s">
        <v>731</v>
      </c>
      <c r="B2234">
        <v>17</v>
      </c>
      <c r="C2234">
        <v>0</v>
      </c>
    </row>
    <row r="2235" spans="1:3" x14ac:dyDescent="0.3">
      <c r="A2235" t="s">
        <v>724</v>
      </c>
      <c r="B2235">
        <v>21</v>
      </c>
      <c r="C2235">
        <v>3</v>
      </c>
    </row>
    <row r="2236" spans="1:3" x14ac:dyDescent="0.3">
      <c r="A2236" t="s">
        <v>725</v>
      </c>
      <c r="B2236">
        <v>21</v>
      </c>
      <c r="C2236">
        <v>140</v>
      </c>
    </row>
    <row r="2237" spans="1:3" x14ac:dyDescent="0.3">
      <c r="A2237" t="s">
        <v>726</v>
      </c>
      <c r="B2237">
        <v>21</v>
      </c>
      <c r="C2237">
        <v>0</v>
      </c>
    </row>
    <row r="2238" spans="1:3" x14ac:dyDescent="0.3">
      <c r="A2238" t="s">
        <v>727</v>
      </c>
      <c r="B2238">
        <v>21</v>
      </c>
      <c r="C2238">
        <v>0</v>
      </c>
    </row>
    <row r="2239" spans="1:3" x14ac:dyDescent="0.3">
      <c r="A2239" t="s">
        <v>728</v>
      </c>
      <c r="B2239">
        <v>21</v>
      </c>
      <c r="C2239">
        <v>408</v>
      </c>
    </row>
    <row r="2240" spans="1:3" x14ac:dyDescent="0.3">
      <c r="A2240" t="s">
        <v>563</v>
      </c>
      <c r="B2240">
        <v>21</v>
      </c>
      <c r="C2240">
        <v>67</v>
      </c>
    </row>
    <row r="2241" spans="1:3" x14ac:dyDescent="0.3">
      <c r="A2241" t="s">
        <v>729</v>
      </c>
      <c r="B2241">
        <v>21</v>
      </c>
      <c r="C2241">
        <v>0</v>
      </c>
    </row>
    <row r="2242" spans="1:3" x14ac:dyDescent="0.3">
      <c r="A2242" t="s">
        <v>272</v>
      </c>
      <c r="B2242">
        <v>21</v>
      </c>
      <c r="C2242">
        <v>0</v>
      </c>
    </row>
    <row r="2243" spans="1:3" x14ac:dyDescent="0.3">
      <c r="A2243" t="s">
        <v>730</v>
      </c>
      <c r="B2243">
        <v>21</v>
      </c>
      <c r="C2243">
        <v>21</v>
      </c>
    </row>
    <row r="2244" spans="1:3" x14ac:dyDescent="0.3">
      <c r="A2244" t="s">
        <v>731</v>
      </c>
      <c r="B2244">
        <v>21</v>
      </c>
      <c r="C2244">
        <v>0</v>
      </c>
    </row>
    <row r="2245" spans="1:3" x14ac:dyDescent="0.3">
      <c r="A2245" t="s">
        <v>724</v>
      </c>
      <c r="B2245">
        <v>25</v>
      </c>
      <c r="C2245">
        <v>3</v>
      </c>
    </row>
    <row r="2246" spans="1:3" x14ac:dyDescent="0.3">
      <c r="A2246" t="s">
        <v>725</v>
      </c>
      <c r="B2246">
        <v>25</v>
      </c>
      <c r="C2246">
        <v>140</v>
      </c>
    </row>
    <row r="2247" spans="1:3" x14ac:dyDescent="0.3">
      <c r="A2247" t="s">
        <v>726</v>
      </c>
      <c r="B2247">
        <v>25</v>
      </c>
      <c r="C2247">
        <v>0</v>
      </c>
    </row>
    <row r="2248" spans="1:3" x14ac:dyDescent="0.3">
      <c r="A2248" t="s">
        <v>727</v>
      </c>
      <c r="B2248">
        <v>25</v>
      </c>
      <c r="C2248">
        <v>0</v>
      </c>
    </row>
    <row r="2249" spans="1:3" x14ac:dyDescent="0.3">
      <c r="A2249" t="s">
        <v>728</v>
      </c>
      <c r="B2249">
        <v>25</v>
      </c>
      <c r="C2249">
        <v>206</v>
      </c>
    </row>
    <row r="2250" spans="1:3" x14ac:dyDescent="0.3">
      <c r="A2250" t="s">
        <v>563</v>
      </c>
      <c r="B2250">
        <v>25</v>
      </c>
      <c r="C2250">
        <v>114</v>
      </c>
    </row>
    <row r="2251" spans="1:3" x14ac:dyDescent="0.3">
      <c r="A2251" t="s">
        <v>729</v>
      </c>
      <c r="B2251">
        <v>25</v>
      </c>
      <c r="C2251">
        <v>0</v>
      </c>
    </row>
    <row r="2252" spans="1:3" x14ac:dyDescent="0.3">
      <c r="A2252" t="s">
        <v>272</v>
      </c>
      <c r="B2252">
        <v>25</v>
      </c>
      <c r="C2252">
        <v>0</v>
      </c>
    </row>
    <row r="2253" spans="1:3" x14ac:dyDescent="0.3">
      <c r="A2253" t="s">
        <v>730</v>
      </c>
      <c r="B2253">
        <v>25</v>
      </c>
      <c r="C2253">
        <v>25</v>
      </c>
    </row>
    <row r="2254" spans="1:3" x14ac:dyDescent="0.3">
      <c r="A2254" t="s">
        <v>731</v>
      </c>
      <c r="B2254">
        <v>25</v>
      </c>
      <c r="C2254">
        <v>0</v>
      </c>
    </row>
    <row r="2255" spans="1:3" x14ac:dyDescent="0.3">
      <c r="A2255" t="s">
        <v>724</v>
      </c>
      <c r="B2255">
        <v>26</v>
      </c>
      <c r="C2255">
        <v>3</v>
      </c>
    </row>
    <row r="2256" spans="1:3" x14ac:dyDescent="0.3">
      <c r="A2256" t="s">
        <v>725</v>
      </c>
      <c r="B2256">
        <v>26</v>
      </c>
      <c r="C2256">
        <v>140</v>
      </c>
    </row>
    <row r="2257" spans="1:3" x14ac:dyDescent="0.3">
      <c r="A2257" t="s">
        <v>726</v>
      </c>
      <c r="B2257">
        <v>26</v>
      </c>
      <c r="C2257">
        <v>0</v>
      </c>
    </row>
    <row r="2258" spans="1:3" x14ac:dyDescent="0.3">
      <c r="A2258" t="s">
        <v>727</v>
      </c>
      <c r="B2258">
        <v>26</v>
      </c>
      <c r="C2258">
        <v>0</v>
      </c>
    </row>
    <row r="2259" spans="1:3" x14ac:dyDescent="0.3">
      <c r="A2259" t="s">
        <v>728</v>
      </c>
      <c r="B2259">
        <v>26</v>
      </c>
      <c r="C2259">
        <v>206</v>
      </c>
    </row>
    <row r="2260" spans="1:3" x14ac:dyDescent="0.3">
      <c r="A2260" t="s">
        <v>563</v>
      </c>
      <c r="B2260">
        <v>26</v>
      </c>
      <c r="C2260">
        <v>25</v>
      </c>
    </row>
    <row r="2261" spans="1:3" x14ac:dyDescent="0.3">
      <c r="A2261" t="s">
        <v>729</v>
      </c>
      <c r="B2261">
        <v>26</v>
      </c>
      <c r="C2261">
        <v>0</v>
      </c>
    </row>
    <row r="2262" spans="1:3" x14ac:dyDescent="0.3">
      <c r="A2262" t="s">
        <v>272</v>
      </c>
      <c r="B2262">
        <v>26</v>
      </c>
      <c r="C2262">
        <v>0</v>
      </c>
    </row>
    <row r="2263" spans="1:3" x14ac:dyDescent="0.3">
      <c r="A2263" t="s">
        <v>730</v>
      </c>
      <c r="B2263">
        <v>26</v>
      </c>
      <c r="C2263">
        <v>26</v>
      </c>
    </row>
    <row r="2264" spans="1:3" x14ac:dyDescent="0.3">
      <c r="A2264" t="s">
        <v>731</v>
      </c>
      <c r="B2264">
        <v>26</v>
      </c>
      <c r="C2264">
        <v>0</v>
      </c>
    </row>
    <row r="2265" spans="1:3" x14ac:dyDescent="0.3">
      <c r="A2265" t="s">
        <v>724</v>
      </c>
      <c r="B2265">
        <v>27</v>
      </c>
      <c r="C2265">
        <v>3</v>
      </c>
    </row>
    <row r="2266" spans="1:3" x14ac:dyDescent="0.3">
      <c r="A2266" t="s">
        <v>725</v>
      </c>
      <c r="B2266">
        <v>27</v>
      </c>
      <c r="C2266">
        <v>140</v>
      </c>
    </row>
    <row r="2267" spans="1:3" x14ac:dyDescent="0.3">
      <c r="A2267" t="s">
        <v>726</v>
      </c>
      <c r="B2267">
        <v>27</v>
      </c>
      <c r="C2267">
        <v>0</v>
      </c>
    </row>
    <row r="2268" spans="1:3" x14ac:dyDescent="0.3">
      <c r="A2268" t="s">
        <v>727</v>
      </c>
      <c r="B2268">
        <v>27</v>
      </c>
      <c r="C2268">
        <v>0</v>
      </c>
    </row>
    <row r="2269" spans="1:3" x14ac:dyDescent="0.3">
      <c r="A2269" t="s">
        <v>728</v>
      </c>
      <c r="B2269">
        <v>27</v>
      </c>
      <c r="C2269">
        <v>206</v>
      </c>
    </row>
    <row r="2270" spans="1:3" x14ac:dyDescent="0.3">
      <c r="A2270" t="s">
        <v>563</v>
      </c>
      <c r="B2270">
        <v>27</v>
      </c>
      <c r="C2270">
        <v>134</v>
      </c>
    </row>
    <row r="2271" spans="1:3" x14ac:dyDescent="0.3">
      <c r="A2271" t="s">
        <v>729</v>
      </c>
      <c r="B2271">
        <v>27</v>
      </c>
      <c r="C2271">
        <v>0</v>
      </c>
    </row>
    <row r="2272" spans="1:3" x14ac:dyDescent="0.3">
      <c r="A2272" t="s">
        <v>272</v>
      </c>
      <c r="B2272">
        <v>27</v>
      </c>
      <c r="C2272">
        <v>0</v>
      </c>
    </row>
    <row r="2273" spans="1:3" x14ac:dyDescent="0.3">
      <c r="A2273" t="s">
        <v>730</v>
      </c>
      <c r="B2273">
        <v>27</v>
      </c>
      <c r="C2273">
        <v>27</v>
      </c>
    </row>
    <row r="2274" spans="1:3" x14ac:dyDescent="0.3">
      <c r="A2274" t="s">
        <v>731</v>
      </c>
      <c r="B2274">
        <v>27</v>
      </c>
      <c r="C2274">
        <v>0</v>
      </c>
    </row>
    <row r="2275" spans="1:3" x14ac:dyDescent="0.3">
      <c r="A2275" t="s">
        <v>724</v>
      </c>
      <c r="B2275">
        <v>28</v>
      </c>
      <c r="C2275">
        <v>3</v>
      </c>
    </row>
    <row r="2276" spans="1:3" x14ac:dyDescent="0.3">
      <c r="A2276" t="s">
        <v>725</v>
      </c>
      <c r="B2276">
        <v>28</v>
      </c>
      <c r="C2276">
        <v>140</v>
      </c>
    </row>
    <row r="2277" spans="1:3" x14ac:dyDescent="0.3">
      <c r="A2277" t="s">
        <v>726</v>
      </c>
      <c r="B2277">
        <v>28</v>
      </c>
      <c r="C2277">
        <v>0</v>
      </c>
    </row>
    <row r="2278" spans="1:3" x14ac:dyDescent="0.3">
      <c r="A2278" t="s">
        <v>727</v>
      </c>
      <c r="B2278">
        <v>28</v>
      </c>
      <c r="C2278">
        <v>0</v>
      </c>
    </row>
    <row r="2279" spans="1:3" x14ac:dyDescent="0.3">
      <c r="A2279" t="s">
        <v>728</v>
      </c>
      <c r="B2279">
        <v>28</v>
      </c>
      <c r="C2279">
        <v>206</v>
      </c>
    </row>
    <row r="2280" spans="1:3" x14ac:dyDescent="0.3">
      <c r="A2280" t="s">
        <v>563</v>
      </c>
      <c r="B2280">
        <v>28</v>
      </c>
      <c r="C2280">
        <v>59</v>
      </c>
    </row>
    <row r="2281" spans="1:3" x14ac:dyDescent="0.3">
      <c r="A2281" t="s">
        <v>729</v>
      </c>
      <c r="B2281">
        <v>28</v>
      </c>
      <c r="C2281">
        <v>0</v>
      </c>
    </row>
    <row r="2282" spans="1:3" x14ac:dyDescent="0.3">
      <c r="A2282" t="s">
        <v>272</v>
      </c>
      <c r="B2282">
        <v>28</v>
      </c>
      <c r="C2282">
        <v>0</v>
      </c>
    </row>
    <row r="2283" spans="1:3" x14ac:dyDescent="0.3">
      <c r="A2283" t="s">
        <v>730</v>
      </c>
      <c r="B2283">
        <v>28</v>
      </c>
      <c r="C2283">
        <v>28</v>
      </c>
    </row>
    <row r="2284" spans="1:3" x14ac:dyDescent="0.3">
      <c r="A2284" t="s">
        <v>731</v>
      </c>
      <c r="B2284">
        <v>28</v>
      </c>
      <c r="C2284">
        <v>0</v>
      </c>
    </row>
    <row r="2285" spans="1:3" x14ac:dyDescent="0.3">
      <c r="A2285" t="s">
        <v>724</v>
      </c>
      <c r="B2285">
        <v>31</v>
      </c>
      <c r="C2285">
        <v>3</v>
      </c>
    </row>
    <row r="2286" spans="1:3" x14ac:dyDescent="0.3">
      <c r="A2286" t="s">
        <v>725</v>
      </c>
      <c r="B2286">
        <v>31</v>
      </c>
      <c r="C2286">
        <v>140</v>
      </c>
    </row>
    <row r="2287" spans="1:3" x14ac:dyDescent="0.3">
      <c r="A2287" t="s">
        <v>726</v>
      </c>
      <c r="B2287">
        <v>31</v>
      </c>
      <c r="C2287">
        <v>0</v>
      </c>
    </row>
    <row r="2288" spans="1:3" x14ac:dyDescent="0.3">
      <c r="A2288" t="s">
        <v>727</v>
      </c>
      <c r="B2288">
        <v>31</v>
      </c>
      <c r="C2288">
        <v>0</v>
      </c>
    </row>
    <row r="2289" spans="1:3" x14ac:dyDescent="0.3">
      <c r="A2289" t="s">
        <v>728</v>
      </c>
      <c r="B2289">
        <v>31</v>
      </c>
      <c r="C2289">
        <v>206</v>
      </c>
    </row>
    <row r="2290" spans="1:3" x14ac:dyDescent="0.3">
      <c r="A2290" t="s">
        <v>563</v>
      </c>
      <c r="B2290">
        <v>31</v>
      </c>
      <c r="C2290">
        <v>112</v>
      </c>
    </row>
    <row r="2291" spans="1:3" x14ac:dyDescent="0.3">
      <c r="A2291" t="s">
        <v>729</v>
      </c>
      <c r="B2291">
        <v>31</v>
      </c>
      <c r="C2291">
        <v>0</v>
      </c>
    </row>
    <row r="2292" spans="1:3" x14ac:dyDescent="0.3">
      <c r="A2292" t="s">
        <v>272</v>
      </c>
      <c r="B2292">
        <v>31</v>
      </c>
      <c r="C2292">
        <v>0</v>
      </c>
    </row>
    <row r="2293" spans="1:3" x14ac:dyDescent="0.3">
      <c r="A2293" t="s">
        <v>730</v>
      </c>
      <c r="B2293">
        <v>31</v>
      </c>
      <c r="C2293">
        <v>31</v>
      </c>
    </row>
    <row r="2294" spans="1:3" x14ac:dyDescent="0.3">
      <c r="A2294" t="s">
        <v>731</v>
      </c>
      <c r="B2294">
        <v>31</v>
      </c>
      <c r="C2294">
        <v>0</v>
      </c>
    </row>
    <row r="2295" spans="1:3" x14ac:dyDescent="0.3">
      <c r="A2295" t="s">
        <v>724</v>
      </c>
      <c r="B2295">
        <v>33</v>
      </c>
      <c r="C2295">
        <v>3</v>
      </c>
    </row>
    <row r="2296" spans="1:3" x14ac:dyDescent="0.3">
      <c r="A2296" t="s">
        <v>725</v>
      </c>
      <c r="B2296">
        <v>33</v>
      </c>
      <c r="C2296">
        <v>140</v>
      </c>
    </row>
    <row r="2297" spans="1:3" x14ac:dyDescent="0.3">
      <c r="A2297" t="s">
        <v>726</v>
      </c>
      <c r="B2297">
        <v>33</v>
      </c>
      <c r="C2297">
        <v>0</v>
      </c>
    </row>
    <row r="2298" spans="1:3" x14ac:dyDescent="0.3">
      <c r="A2298" t="s">
        <v>727</v>
      </c>
      <c r="B2298">
        <v>33</v>
      </c>
      <c r="C2298">
        <v>0</v>
      </c>
    </row>
    <row r="2299" spans="1:3" x14ac:dyDescent="0.3">
      <c r="A2299" t="s">
        <v>728</v>
      </c>
      <c r="B2299">
        <v>33</v>
      </c>
      <c r="C2299">
        <v>206</v>
      </c>
    </row>
    <row r="2300" spans="1:3" x14ac:dyDescent="0.3">
      <c r="A2300" t="s">
        <v>563</v>
      </c>
      <c r="B2300">
        <v>33</v>
      </c>
      <c r="C2300">
        <v>60</v>
      </c>
    </row>
    <row r="2301" spans="1:3" x14ac:dyDescent="0.3">
      <c r="A2301" t="s">
        <v>729</v>
      </c>
      <c r="B2301">
        <v>33</v>
      </c>
      <c r="C2301">
        <v>0</v>
      </c>
    </row>
    <row r="2302" spans="1:3" x14ac:dyDescent="0.3">
      <c r="A2302" t="s">
        <v>272</v>
      </c>
      <c r="B2302">
        <v>33</v>
      </c>
      <c r="C2302">
        <v>0</v>
      </c>
    </row>
    <row r="2303" spans="1:3" x14ac:dyDescent="0.3">
      <c r="A2303" t="s">
        <v>730</v>
      </c>
      <c r="B2303">
        <v>33</v>
      </c>
      <c r="C2303">
        <v>33</v>
      </c>
    </row>
    <row r="2304" spans="1:3" x14ac:dyDescent="0.3">
      <c r="A2304" t="s">
        <v>731</v>
      </c>
      <c r="B2304">
        <v>33</v>
      </c>
      <c r="C2304">
        <v>0</v>
      </c>
    </row>
    <row r="2305" spans="1:3" x14ac:dyDescent="0.3">
      <c r="A2305" t="s">
        <v>724</v>
      </c>
      <c r="B2305">
        <v>34</v>
      </c>
      <c r="C2305">
        <v>3</v>
      </c>
    </row>
    <row r="2306" spans="1:3" x14ac:dyDescent="0.3">
      <c r="A2306" t="s">
        <v>725</v>
      </c>
      <c r="B2306">
        <v>34</v>
      </c>
      <c r="C2306">
        <v>140</v>
      </c>
    </row>
    <row r="2307" spans="1:3" x14ac:dyDescent="0.3">
      <c r="A2307" t="s">
        <v>726</v>
      </c>
      <c r="B2307">
        <v>34</v>
      </c>
      <c r="C2307">
        <v>0</v>
      </c>
    </row>
    <row r="2308" spans="1:3" x14ac:dyDescent="0.3">
      <c r="A2308" t="s">
        <v>727</v>
      </c>
      <c r="B2308">
        <v>34</v>
      </c>
      <c r="C2308">
        <v>0</v>
      </c>
    </row>
    <row r="2309" spans="1:3" x14ac:dyDescent="0.3">
      <c r="A2309" t="s">
        <v>728</v>
      </c>
      <c r="B2309">
        <v>34</v>
      </c>
      <c r="C2309">
        <v>206</v>
      </c>
    </row>
    <row r="2310" spans="1:3" x14ac:dyDescent="0.3">
      <c r="A2310" t="s">
        <v>563</v>
      </c>
      <c r="B2310">
        <v>34</v>
      </c>
      <c r="C2310">
        <v>45</v>
      </c>
    </row>
    <row r="2311" spans="1:3" x14ac:dyDescent="0.3">
      <c r="A2311" t="s">
        <v>729</v>
      </c>
      <c r="B2311">
        <v>34</v>
      </c>
      <c r="C2311">
        <v>0</v>
      </c>
    </row>
    <row r="2312" spans="1:3" x14ac:dyDescent="0.3">
      <c r="A2312" t="s">
        <v>272</v>
      </c>
      <c r="B2312">
        <v>34</v>
      </c>
      <c r="C2312">
        <v>0</v>
      </c>
    </row>
    <row r="2313" spans="1:3" x14ac:dyDescent="0.3">
      <c r="A2313" t="s">
        <v>730</v>
      </c>
      <c r="B2313">
        <v>34</v>
      </c>
      <c r="C2313">
        <v>34</v>
      </c>
    </row>
    <row r="2314" spans="1:3" x14ac:dyDescent="0.3">
      <c r="A2314" t="s">
        <v>731</v>
      </c>
      <c r="B2314">
        <v>34</v>
      </c>
      <c r="C2314">
        <v>0</v>
      </c>
    </row>
    <row r="2315" spans="1:3" x14ac:dyDescent="0.3">
      <c r="A2315" t="s">
        <v>724</v>
      </c>
      <c r="B2315">
        <v>36</v>
      </c>
      <c r="C2315">
        <v>3</v>
      </c>
    </row>
    <row r="2316" spans="1:3" x14ac:dyDescent="0.3">
      <c r="A2316" t="s">
        <v>725</v>
      </c>
      <c r="B2316">
        <v>36</v>
      </c>
      <c r="C2316">
        <v>140</v>
      </c>
    </row>
    <row r="2317" spans="1:3" x14ac:dyDescent="0.3">
      <c r="A2317" t="s">
        <v>726</v>
      </c>
      <c r="B2317">
        <v>36</v>
      </c>
      <c r="C2317">
        <v>0</v>
      </c>
    </row>
    <row r="2318" spans="1:3" x14ac:dyDescent="0.3">
      <c r="A2318" t="s">
        <v>727</v>
      </c>
      <c r="B2318">
        <v>36</v>
      </c>
      <c r="C2318">
        <v>0</v>
      </c>
    </row>
    <row r="2319" spans="1:3" x14ac:dyDescent="0.3">
      <c r="A2319" t="s">
        <v>728</v>
      </c>
      <c r="B2319">
        <v>36</v>
      </c>
      <c r="C2319">
        <v>206</v>
      </c>
    </row>
    <row r="2320" spans="1:3" x14ac:dyDescent="0.3">
      <c r="A2320" t="s">
        <v>563</v>
      </c>
      <c r="B2320">
        <v>36</v>
      </c>
      <c r="C2320">
        <v>108</v>
      </c>
    </row>
    <row r="2321" spans="1:3" x14ac:dyDescent="0.3">
      <c r="A2321" t="s">
        <v>729</v>
      </c>
      <c r="B2321">
        <v>36</v>
      </c>
      <c r="C2321">
        <v>0</v>
      </c>
    </row>
    <row r="2322" spans="1:3" x14ac:dyDescent="0.3">
      <c r="A2322" t="s">
        <v>272</v>
      </c>
      <c r="B2322">
        <v>36</v>
      </c>
      <c r="C2322">
        <v>0</v>
      </c>
    </row>
    <row r="2323" spans="1:3" x14ac:dyDescent="0.3">
      <c r="A2323" t="s">
        <v>730</v>
      </c>
      <c r="B2323">
        <v>36</v>
      </c>
      <c r="C2323">
        <v>36</v>
      </c>
    </row>
    <row r="2324" spans="1:3" x14ac:dyDescent="0.3">
      <c r="A2324" t="s">
        <v>731</v>
      </c>
      <c r="B2324">
        <v>36</v>
      </c>
      <c r="C2324">
        <v>0</v>
      </c>
    </row>
    <row r="2325" spans="1:3" x14ac:dyDescent="0.3">
      <c r="A2325" t="s">
        <v>724</v>
      </c>
      <c r="B2325">
        <v>39</v>
      </c>
      <c r="C2325">
        <v>3</v>
      </c>
    </row>
    <row r="2326" spans="1:3" x14ac:dyDescent="0.3">
      <c r="A2326" t="s">
        <v>725</v>
      </c>
      <c r="B2326">
        <v>39</v>
      </c>
      <c r="C2326">
        <v>140</v>
      </c>
    </row>
    <row r="2327" spans="1:3" x14ac:dyDescent="0.3">
      <c r="A2327" t="s">
        <v>726</v>
      </c>
      <c r="B2327">
        <v>39</v>
      </c>
      <c r="C2327">
        <v>0</v>
      </c>
    </row>
    <row r="2328" spans="1:3" x14ac:dyDescent="0.3">
      <c r="A2328" t="s">
        <v>727</v>
      </c>
      <c r="B2328">
        <v>39</v>
      </c>
      <c r="C2328">
        <v>0</v>
      </c>
    </row>
    <row r="2329" spans="1:3" x14ac:dyDescent="0.3">
      <c r="A2329" t="s">
        <v>728</v>
      </c>
      <c r="B2329">
        <v>39</v>
      </c>
      <c r="C2329">
        <v>2</v>
      </c>
    </row>
    <row r="2330" spans="1:3" x14ac:dyDescent="0.3">
      <c r="A2330" t="s">
        <v>563</v>
      </c>
      <c r="B2330">
        <v>39</v>
      </c>
      <c r="C2330">
        <v>1</v>
      </c>
    </row>
    <row r="2331" spans="1:3" x14ac:dyDescent="0.3">
      <c r="A2331" t="s">
        <v>729</v>
      </c>
      <c r="B2331">
        <v>39</v>
      </c>
      <c r="C2331">
        <v>0</v>
      </c>
    </row>
    <row r="2332" spans="1:3" x14ac:dyDescent="0.3">
      <c r="A2332" t="s">
        <v>272</v>
      </c>
      <c r="B2332">
        <v>39</v>
      </c>
      <c r="C2332">
        <v>0</v>
      </c>
    </row>
    <row r="2333" spans="1:3" x14ac:dyDescent="0.3">
      <c r="A2333" t="s">
        <v>730</v>
      </c>
      <c r="B2333">
        <v>39</v>
      </c>
      <c r="C2333">
        <v>39</v>
      </c>
    </row>
    <row r="2334" spans="1:3" x14ac:dyDescent="0.3">
      <c r="A2334" t="s">
        <v>731</v>
      </c>
      <c r="B2334">
        <v>39</v>
      </c>
      <c r="C2334">
        <v>43</v>
      </c>
    </row>
    <row r="2335" spans="1:3" x14ac:dyDescent="0.3">
      <c r="A2335" t="s">
        <v>774</v>
      </c>
      <c r="B2335">
        <v>39</v>
      </c>
      <c r="C2335">
        <v>0</v>
      </c>
    </row>
    <row r="2336" spans="1:3" x14ac:dyDescent="0.3">
      <c r="A2336" t="s">
        <v>724</v>
      </c>
      <c r="B2336">
        <v>44</v>
      </c>
      <c r="C2336">
        <v>2</v>
      </c>
    </row>
    <row r="2337" spans="1:3" x14ac:dyDescent="0.3">
      <c r="A2337" t="s">
        <v>725</v>
      </c>
      <c r="B2337">
        <v>44</v>
      </c>
      <c r="C2337">
        <v>170</v>
      </c>
    </row>
    <row r="2338" spans="1:3" x14ac:dyDescent="0.3">
      <c r="A2338" t="s">
        <v>726</v>
      </c>
      <c r="B2338">
        <v>44</v>
      </c>
      <c r="C2338">
        <v>0</v>
      </c>
    </row>
    <row r="2339" spans="1:3" x14ac:dyDescent="0.3">
      <c r="A2339" t="s">
        <v>727</v>
      </c>
      <c r="B2339">
        <v>44</v>
      </c>
      <c r="C2339">
        <v>0</v>
      </c>
    </row>
    <row r="2340" spans="1:3" x14ac:dyDescent="0.3">
      <c r="A2340" t="s">
        <v>728</v>
      </c>
      <c r="B2340">
        <v>44</v>
      </c>
      <c r="C2340">
        <v>206</v>
      </c>
    </row>
    <row r="2341" spans="1:3" x14ac:dyDescent="0.3">
      <c r="A2341" t="s">
        <v>563</v>
      </c>
      <c r="B2341">
        <v>44</v>
      </c>
      <c r="C2341">
        <v>19.7</v>
      </c>
    </row>
    <row r="2342" spans="1:3" x14ac:dyDescent="0.3">
      <c r="A2342" t="s">
        <v>729</v>
      </c>
      <c r="B2342">
        <v>44</v>
      </c>
      <c r="C2342">
        <v>0</v>
      </c>
    </row>
    <row r="2343" spans="1:3" x14ac:dyDescent="0.3">
      <c r="A2343" t="s">
        <v>272</v>
      </c>
      <c r="B2343">
        <v>44</v>
      </c>
      <c r="C2343">
        <v>0</v>
      </c>
    </row>
    <row r="2344" spans="1:3" x14ac:dyDescent="0.3">
      <c r="A2344" t="s">
        <v>730</v>
      </c>
      <c r="B2344">
        <v>44</v>
      </c>
      <c r="C2344">
        <v>44</v>
      </c>
    </row>
    <row r="2345" spans="1:3" x14ac:dyDescent="0.3">
      <c r="A2345" t="s">
        <v>731</v>
      </c>
      <c r="B2345">
        <v>44</v>
      </c>
      <c r="C2345">
        <v>0</v>
      </c>
    </row>
    <row r="2346" spans="1:3" x14ac:dyDescent="0.3">
      <c r="A2346" t="s">
        <v>724</v>
      </c>
      <c r="B2346">
        <v>46</v>
      </c>
      <c r="C2346">
        <v>3</v>
      </c>
    </row>
    <row r="2347" spans="1:3" x14ac:dyDescent="0.3">
      <c r="A2347" t="s">
        <v>725</v>
      </c>
      <c r="B2347">
        <v>46</v>
      </c>
      <c r="C2347">
        <v>140</v>
      </c>
    </row>
    <row r="2348" spans="1:3" x14ac:dyDescent="0.3">
      <c r="A2348" t="s">
        <v>726</v>
      </c>
      <c r="B2348">
        <v>46</v>
      </c>
      <c r="C2348">
        <v>0</v>
      </c>
    </row>
    <row r="2349" spans="1:3" x14ac:dyDescent="0.3">
      <c r="A2349" t="s">
        <v>727</v>
      </c>
      <c r="B2349">
        <v>46</v>
      </c>
      <c r="C2349">
        <v>0</v>
      </c>
    </row>
    <row r="2350" spans="1:3" x14ac:dyDescent="0.3">
      <c r="A2350" t="s">
        <v>728</v>
      </c>
      <c r="B2350">
        <v>46</v>
      </c>
      <c r="C2350">
        <v>206</v>
      </c>
    </row>
    <row r="2351" spans="1:3" x14ac:dyDescent="0.3">
      <c r="A2351" t="s">
        <v>563</v>
      </c>
      <c r="B2351">
        <v>46</v>
      </c>
      <c r="C2351">
        <v>44</v>
      </c>
    </row>
    <row r="2352" spans="1:3" x14ac:dyDescent="0.3">
      <c r="A2352" t="s">
        <v>729</v>
      </c>
      <c r="B2352">
        <v>46</v>
      </c>
      <c r="C2352">
        <v>0</v>
      </c>
    </row>
    <row r="2353" spans="1:3" x14ac:dyDescent="0.3">
      <c r="A2353" t="s">
        <v>272</v>
      </c>
      <c r="B2353">
        <v>46</v>
      </c>
      <c r="C2353">
        <v>0</v>
      </c>
    </row>
    <row r="2354" spans="1:3" x14ac:dyDescent="0.3">
      <c r="A2354" t="s">
        <v>730</v>
      </c>
      <c r="B2354">
        <v>46</v>
      </c>
      <c r="C2354">
        <v>46</v>
      </c>
    </row>
    <row r="2355" spans="1:3" x14ac:dyDescent="0.3">
      <c r="A2355" t="s">
        <v>731</v>
      </c>
      <c r="B2355">
        <v>46</v>
      </c>
      <c r="C2355">
        <v>0</v>
      </c>
    </row>
    <row r="2356" spans="1:3" x14ac:dyDescent="0.3">
      <c r="A2356" t="s">
        <v>724</v>
      </c>
      <c r="B2356">
        <v>49</v>
      </c>
      <c r="C2356">
        <v>3</v>
      </c>
    </row>
    <row r="2357" spans="1:3" x14ac:dyDescent="0.3">
      <c r="A2357" t="s">
        <v>725</v>
      </c>
      <c r="B2357">
        <v>49</v>
      </c>
      <c r="C2357">
        <v>140</v>
      </c>
    </row>
    <row r="2358" spans="1:3" x14ac:dyDescent="0.3">
      <c r="A2358" t="s">
        <v>726</v>
      </c>
      <c r="B2358">
        <v>49</v>
      </c>
      <c r="C2358">
        <v>0</v>
      </c>
    </row>
    <row r="2359" spans="1:3" x14ac:dyDescent="0.3">
      <c r="A2359" t="s">
        <v>727</v>
      </c>
      <c r="B2359">
        <v>49</v>
      </c>
      <c r="C2359">
        <v>0</v>
      </c>
    </row>
    <row r="2360" spans="1:3" x14ac:dyDescent="0.3">
      <c r="A2360" t="s">
        <v>728</v>
      </c>
      <c r="B2360">
        <v>49</v>
      </c>
      <c r="C2360">
        <v>206</v>
      </c>
    </row>
    <row r="2361" spans="1:3" x14ac:dyDescent="0.3">
      <c r="A2361" t="s">
        <v>563</v>
      </c>
      <c r="B2361">
        <v>49</v>
      </c>
      <c r="C2361">
        <v>52</v>
      </c>
    </row>
    <row r="2362" spans="1:3" x14ac:dyDescent="0.3">
      <c r="A2362" t="s">
        <v>729</v>
      </c>
      <c r="B2362">
        <v>49</v>
      </c>
      <c r="C2362">
        <v>0</v>
      </c>
    </row>
    <row r="2363" spans="1:3" x14ac:dyDescent="0.3">
      <c r="A2363" t="s">
        <v>272</v>
      </c>
      <c r="B2363">
        <v>49</v>
      </c>
      <c r="C2363">
        <v>0</v>
      </c>
    </row>
    <row r="2364" spans="1:3" x14ac:dyDescent="0.3">
      <c r="A2364" t="s">
        <v>730</v>
      </c>
      <c r="B2364">
        <v>49</v>
      </c>
      <c r="C2364">
        <v>49</v>
      </c>
    </row>
    <row r="2365" spans="1:3" x14ac:dyDescent="0.3">
      <c r="A2365" t="s">
        <v>731</v>
      </c>
      <c r="B2365">
        <v>49</v>
      </c>
      <c r="C2365">
        <v>0</v>
      </c>
    </row>
    <row r="2367" spans="1:3" x14ac:dyDescent="0.3">
      <c r="A2367" t="s">
        <v>566</v>
      </c>
    </row>
    <row r="2368" spans="1:3" x14ac:dyDescent="0.3">
      <c r="A2368" t="s">
        <v>732</v>
      </c>
    </row>
    <row r="2369" spans="1:10" x14ac:dyDescent="0.3">
      <c r="A2369" t="s">
        <v>0</v>
      </c>
      <c r="B2369" t="s">
        <v>1</v>
      </c>
      <c r="C2369" t="s">
        <v>246</v>
      </c>
      <c r="D2369" t="s">
        <v>247</v>
      </c>
      <c r="E2369" t="s">
        <v>248</v>
      </c>
      <c r="F2369" t="s">
        <v>249</v>
      </c>
      <c r="G2369" t="s">
        <v>250</v>
      </c>
      <c r="H2369" t="s">
        <v>251</v>
      </c>
      <c r="I2369" t="s">
        <v>252</v>
      </c>
      <c r="J2369" t="s">
        <v>253</v>
      </c>
    </row>
    <row r="2370" spans="1:10" x14ac:dyDescent="0.3">
      <c r="A2370" t="s">
        <v>254</v>
      </c>
      <c r="B2370">
        <v>1</v>
      </c>
      <c r="C2370">
        <v>111</v>
      </c>
      <c r="D2370">
        <v>112</v>
      </c>
      <c r="E2370">
        <v>211</v>
      </c>
      <c r="F2370">
        <v>212</v>
      </c>
      <c r="G2370">
        <v>121</v>
      </c>
      <c r="H2370">
        <v>122</v>
      </c>
      <c r="I2370">
        <v>221</v>
      </c>
      <c r="J2370">
        <v>222</v>
      </c>
    </row>
    <row r="2371" spans="1:10" x14ac:dyDescent="0.3">
      <c r="A2371" t="s">
        <v>255</v>
      </c>
      <c r="B2371">
        <v>1</v>
      </c>
      <c r="C2371">
        <v>6</v>
      </c>
      <c r="D2371">
        <v>15</v>
      </c>
      <c r="E2371">
        <v>6</v>
      </c>
      <c r="F2371">
        <v>6</v>
      </c>
      <c r="G2371">
        <v>6</v>
      </c>
      <c r="H2371">
        <v>15</v>
      </c>
      <c r="I2371">
        <v>6</v>
      </c>
      <c r="J2371">
        <v>6</v>
      </c>
    </row>
    <row r="2372" spans="1:10" x14ac:dyDescent="0.3">
      <c r="A2372" t="s">
        <v>256</v>
      </c>
      <c r="B2372">
        <v>1</v>
      </c>
      <c r="C2372">
        <v>17</v>
      </c>
      <c r="D2372">
        <v>45.6</v>
      </c>
      <c r="E2372">
        <v>8</v>
      </c>
      <c r="F2372">
        <v>42.2</v>
      </c>
      <c r="G2372">
        <v>6</v>
      </c>
      <c r="H2372">
        <v>56.6</v>
      </c>
      <c r="I2372">
        <v>9.1999999999999993</v>
      </c>
      <c r="J2372">
        <v>41</v>
      </c>
    </row>
    <row r="2373" spans="1:10" x14ac:dyDescent="0.3">
      <c r="A2373" t="s">
        <v>257</v>
      </c>
      <c r="B2373">
        <v>1</v>
      </c>
      <c r="C2373">
        <v>2.5</v>
      </c>
      <c r="D2373">
        <v>3</v>
      </c>
      <c r="E2373">
        <v>2.5</v>
      </c>
      <c r="F2373">
        <v>2.5</v>
      </c>
      <c r="G2373">
        <v>2.5</v>
      </c>
      <c r="H2373">
        <v>3</v>
      </c>
      <c r="I2373">
        <v>2.5</v>
      </c>
      <c r="J2373">
        <v>2.5</v>
      </c>
    </row>
    <row r="2374" spans="1:10" x14ac:dyDescent="0.3">
      <c r="A2374" t="s">
        <v>258</v>
      </c>
      <c r="B2374">
        <v>1</v>
      </c>
      <c r="C2374">
        <v>0</v>
      </c>
      <c r="D2374">
        <v>0</v>
      </c>
      <c r="E2374">
        <v>0</v>
      </c>
      <c r="F2374">
        <v>0</v>
      </c>
      <c r="G2374">
        <v>0</v>
      </c>
      <c r="H2374">
        <v>0</v>
      </c>
      <c r="I2374">
        <v>0</v>
      </c>
      <c r="J2374">
        <v>0</v>
      </c>
    </row>
    <row r="2375" spans="1:10" x14ac:dyDescent="0.3">
      <c r="A2375" t="s">
        <v>259</v>
      </c>
      <c r="B2375">
        <v>1</v>
      </c>
      <c r="C2375">
        <v>0</v>
      </c>
      <c r="D2375">
        <v>0</v>
      </c>
      <c r="E2375">
        <v>0</v>
      </c>
      <c r="F2375">
        <v>0</v>
      </c>
      <c r="G2375">
        <v>0</v>
      </c>
      <c r="H2375">
        <v>0</v>
      </c>
      <c r="I2375">
        <v>0</v>
      </c>
      <c r="J2375">
        <v>0</v>
      </c>
    </row>
    <row r="2376" spans="1:10" x14ac:dyDescent="0.3">
      <c r="A2376" t="s">
        <v>260</v>
      </c>
      <c r="B2376">
        <v>1</v>
      </c>
      <c r="C2376">
        <v>3</v>
      </c>
      <c r="D2376">
        <v>3</v>
      </c>
      <c r="E2376">
        <v>3</v>
      </c>
      <c r="F2376">
        <v>3</v>
      </c>
      <c r="G2376">
        <v>3</v>
      </c>
      <c r="H2376">
        <v>3</v>
      </c>
      <c r="I2376">
        <v>3</v>
      </c>
      <c r="J2376">
        <v>3</v>
      </c>
    </row>
    <row r="2377" spans="1:10" x14ac:dyDescent="0.3">
      <c r="A2377" t="s">
        <v>261</v>
      </c>
      <c r="B2377">
        <v>1</v>
      </c>
      <c r="C2377">
        <v>3</v>
      </c>
      <c r="D2377">
        <v>4.4000000000000004</v>
      </c>
      <c r="E2377">
        <v>3</v>
      </c>
      <c r="F2377">
        <v>4</v>
      </c>
      <c r="G2377">
        <v>3</v>
      </c>
      <c r="H2377">
        <v>4.4000000000000004</v>
      </c>
      <c r="I2377">
        <v>3</v>
      </c>
      <c r="J2377">
        <v>4</v>
      </c>
    </row>
    <row r="2378" spans="1:10" x14ac:dyDescent="0.3">
      <c r="A2378" t="s">
        <v>262</v>
      </c>
      <c r="B2378">
        <v>1</v>
      </c>
      <c r="C2378">
        <v>4</v>
      </c>
      <c r="D2378">
        <v>2.4</v>
      </c>
      <c r="E2378">
        <v>3.8</v>
      </c>
      <c r="F2378">
        <v>2.6</v>
      </c>
      <c r="G2378">
        <v>4</v>
      </c>
      <c r="H2378">
        <v>2.4</v>
      </c>
      <c r="I2378">
        <v>3.8</v>
      </c>
      <c r="J2378">
        <v>2.6</v>
      </c>
    </row>
    <row r="2379" spans="1:10" x14ac:dyDescent="0.3">
      <c r="A2379" t="s">
        <v>263</v>
      </c>
      <c r="B2379">
        <v>1</v>
      </c>
      <c r="C2379">
        <v>0</v>
      </c>
      <c r="D2379">
        <v>3</v>
      </c>
      <c r="E2379">
        <v>0</v>
      </c>
      <c r="F2379">
        <v>0</v>
      </c>
      <c r="G2379">
        <v>0</v>
      </c>
      <c r="H2379">
        <v>3</v>
      </c>
      <c r="I2379">
        <v>0</v>
      </c>
      <c r="J2379">
        <v>0</v>
      </c>
    </row>
    <row r="2380" spans="1:10" x14ac:dyDescent="0.3">
      <c r="A2380" t="s">
        <v>264</v>
      </c>
      <c r="B2380">
        <v>1</v>
      </c>
      <c r="F2380">
        <v>7</v>
      </c>
      <c r="H2380">
        <v>7</v>
      </c>
      <c r="J2380">
        <v>7</v>
      </c>
    </row>
    <row r="2381" spans="1:10" x14ac:dyDescent="0.3">
      <c r="A2381" t="s">
        <v>265</v>
      </c>
      <c r="B2381">
        <v>1</v>
      </c>
      <c r="F2381">
        <v>30</v>
      </c>
      <c r="H2381">
        <v>28</v>
      </c>
      <c r="J2381">
        <v>30</v>
      </c>
    </row>
    <row r="2382" spans="1:10" x14ac:dyDescent="0.3">
      <c r="A2382" t="s">
        <v>266</v>
      </c>
      <c r="B2382">
        <v>1</v>
      </c>
      <c r="F2382">
        <v>0</v>
      </c>
      <c r="H2382">
        <v>0</v>
      </c>
      <c r="J2382">
        <v>0</v>
      </c>
    </row>
    <row r="2383" spans="1:10" x14ac:dyDescent="0.3">
      <c r="A2383" t="s">
        <v>267</v>
      </c>
      <c r="B2383">
        <v>1</v>
      </c>
      <c r="C2383">
        <v>13</v>
      </c>
      <c r="D2383">
        <v>21.8</v>
      </c>
      <c r="E2383">
        <v>12.8</v>
      </c>
      <c r="F2383">
        <v>47.6</v>
      </c>
      <c r="G2383">
        <v>13</v>
      </c>
      <c r="H2383">
        <v>45.8</v>
      </c>
      <c r="I2383">
        <v>12.8</v>
      </c>
      <c r="J2383">
        <v>47.6</v>
      </c>
    </row>
    <row r="2384" spans="1:10" x14ac:dyDescent="0.3">
      <c r="A2384" t="s">
        <v>268</v>
      </c>
      <c r="B2384">
        <v>1</v>
      </c>
      <c r="C2384">
        <v>0</v>
      </c>
      <c r="D2384">
        <v>1</v>
      </c>
      <c r="E2384">
        <v>0</v>
      </c>
      <c r="F2384">
        <v>1</v>
      </c>
      <c r="G2384">
        <v>0</v>
      </c>
      <c r="H2384">
        <v>1</v>
      </c>
      <c r="I2384">
        <v>0</v>
      </c>
      <c r="J2384">
        <v>1</v>
      </c>
    </row>
    <row r="2385" spans="1:10" x14ac:dyDescent="0.3">
      <c r="A2385" t="s">
        <v>269</v>
      </c>
      <c r="B2385">
        <v>1</v>
      </c>
      <c r="C2385">
        <v>1</v>
      </c>
      <c r="D2385">
        <v>1</v>
      </c>
      <c r="E2385">
        <v>1</v>
      </c>
      <c r="F2385">
        <v>1</v>
      </c>
      <c r="G2385">
        <v>1</v>
      </c>
      <c r="H2385">
        <v>1</v>
      </c>
      <c r="I2385">
        <v>1</v>
      </c>
      <c r="J2385">
        <v>1</v>
      </c>
    </row>
    <row r="2386" spans="1:10" x14ac:dyDescent="0.3">
      <c r="A2386" t="s">
        <v>270</v>
      </c>
      <c r="B2386">
        <v>1</v>
      </c>
      <c r="C2386">
        <v>116</v>
      </c>
      <c r="D2386">
        <v>0</v>
      </c>
      <c r="E2386">
        <v>52.4</v>
      </c>
      <c r="F2386">
        <v>67.2</v>
      </c>
      <c r="G2386">
        <v>116</v>
      </c>
      <c r="H2386">
        <v>129</v>
      </c>
      <c r="I2386">
        <v>52.4</v>
      </c>
      <c r="J2386">
        <v>68.400000000000006</v>
      </c>
    </row>
    <row r="2387" spans="1:10" x14ac:dyDescent="0.3">
      <c r="A2387" t="s">
        <v>271</v>
      </c>
      <c r="B2387">
        <v>1</v>
      </c>
      <c r="C2387">
        <v>0</v>
      </c>
      <c r="D2387">
        <v>52.4</v>
      </c>
      <c r="E2387">
        <v>67.2</v>
      </c>
      <c r="F2387">
        <v>116</v>
      </c>
      <c r="G2387">
        <v>129</v>
      </c>
      <c r="H2387">
        <v>52.4</v>
      </c>
      <c r="I2387">
        <v>68.400000000000006</v>
      </c>
      <c r="J2387">
        <v>116</v>
      </c>
    </row>
    <row r="2388" spans="1:10" x14ac:dyDescent="0.3">
      <c r="A2388" t="s">
        <v>272</v>
      </c>
      <c r="B2388">
        <v>1</v>
      </c>
      <c r="C2388">
        <v>133</v>
      </c>
      <c r="D2388">
        <v>45.6</v>
      </c>
      <c r="E2388">
        <v>60.4</v>
      </c>
      <c r="F2388">
        <v>109.4</v>
      </c>
      <c r="G2388">
        <v>122</v>
      </c>
      <c r="H2388">
        <v>45.6</v>
      </c>
      <c r="I2388">
        <v>61.6</v>
      </c>
      <c r="J2388">
        <v>109.4</v>
      </c>
    </row>
    <row r="2389" spans="1:10" x14ac:dyDescent="0.3">
      <c r="A2389" t="s">
        <v>273</v>
      </c>
      <c r="B2389">
        <v>1</v>
      </c>
      <c r="C2389">
        <v>133</v>
      </c>
      <c r="D2389">
        <v>45.6</v>
      </c>
      <c r="E2389">
        <v>60.4</v>
      </c>
      <c r="F2389">
        <v>109.4</v>
      </c>
      <c r="G2389">
        <v>122</v>
      </c>
      <c r="H2389">
        <v>17.600000000000001</v>
      </c>
      <c r="I2389">
        <v>61.6</v>
      </c>
      <c r="J2389">
        <v>109.4</v>
      </c>
    </row>
    <row r="2390" spans="1:10" x14ac:dyDescent="0.3">
      <c r="A2390" t="s">
        <v>274</v>
      </c>
      <c r="B2390">
        <v>1</v>
      </c>
      <c r="C2390">
        <v>116</v>
      </c>
      <c r="D2390">
        <v>0</v>
      </c>
      <c r="E2390">
        <v>52.4</v>
      </c>
      <c r="F2390">
        <v>67.2</v>
      </c>
      <c r="G2390">
        <v>116</v>
      </c>
      <c r="H2390">
        <v>129</v>
      </c>
      <c r="I2390">
        <v>52.4</v>
      </c>
      <c r="J2390">
        <v>68.400000000000006</v>
      </c>
    </row>
    <row r="2391" spans="1:10" x14ac:dyDescent="0.3">
      <c r="A2391" t="s">
        <v>275</v>
      </c>
      <c r="B2391">
        <v>1</v>
      </c>
      <c r="C2391">
        <v>133</v>
      </c>
      <c r="D2391">
        <v>45.6</v>
      </c>
      <c r="E2391">
        <v>60.4</v>
      </c>
      <c r="F2391">
        <v>109.4</v>
      </c>
      <c r="G2391">
        <v>122</v>
      </c>
      <c r="H2391">
        <v>45.6</v>
      </c>
      <c r="I2391">
        <v>61.6</v>
      </c>
      <c r="J2391">
        <v>109.4</v>
      </c>
    </row>
    <row r="2392" spans="1:10" x14ac:dyDescent="0.3">
      <c r="A2392" t="s">
        <v>276</v>
      </c>
      <c r="B2392">
        <v>1</v>
      </c>
      <c r="C2392">
        <v>133</v>
      </c>
      <c r="D2392">
        <v>45.6</v>
      </c>
      <c r="E2392">
        <v>60.4</v>
      </c>
      <c r="F2392">
        <v>109.4</v>
      </c>
      <c r="G2392">
        <v>122</v>
      </c>
      <c r="H2392">
        <v>17.600000000000001</v>
      </c>
      <c r="I2392">
        <v>61.6</v>
      </c>
      <c r="J2392">
        <v>109.4</v>
      </c>
    </row>
    <row r="2393" spans="1:10" x14ac:dyDescent="0.3">
      <c r="A2393" t="s">
        <v>567</v>
      </c>
      <c r="B2393">
        <v>1</v>
      </c>
      <c r="C2393">
        <v>25.8</v>
      </c>
      <c r="D2393">
        <v>61.3</v>
      </c>
      <c r="E2393">
        <v>6.2</v>
      </c>
      <c r="F2393">
        <v>19.5</v>
      </c>
      <c r="G2393">
        <v>3.1</v>
      </c>
      <c r="H2393">
        <v>84</v>
      </c>
      <c r="I2393">
        <v>9.1999999999999993</v>
      </c>
      <c r="J2393">
        <v>16.5</v>
      </c>
    </row>
    <row r="2394" spans="1:10" x14ac:dyDescent="0.3">
      <c r="A2394" t="s">
        <v>254</v>
      </c>
      <c r="B2394">
        <v>7</v>
      </c>
      <c r="C2394">
        <v>111</v>
      </c>
      <c r="D2394">
        <v>112</v>
      </c>
      <c r="E2394">
        <v>211</v>
      </c>
      <c r="F2394">
        <v>212</v>
      </c>
      <c r="G2394">
        <v>121</v>
      </c>
      <c r="H2394">
        <v>122</v>
      </c>
      <c r="I2394">
        <v>221</v>
      </c>
      <c r="J2394">
        <v>222</v>
      </c>
    </row>
    <row r="2395" spans="1:10" x14ac:dyDescent="0.3">
      <c r="A2395" t="s">
        <v>255</v>
      </c>
      <c r="B2395">
        <v>7</v>
      </c>
      <c r="C2395">
        <v>6</v>
      </c>
      <c r="D2395">
        <v>20</v>
      </c>
      <c r="E2395">
        <v>6</v>
      </c>
      <c r="F2395">
        <v>7</v>
      </c>
      <c r="G2395">
        <v>6</v>
      </c>
      <c r="H2395">
        <v>20</v>
      </c>
      <c r="I2395">
        <v>7</v>
      </c>
      <c r="J2395">
        <v>6</v>
      </c>
    </row>
    <row r="2396" spans="1:10" x14ac:dyDescent="0.3">
      <c r="A2396" t="s">
        <v>256</v>
      </c>
      <c r="B2396">
        <v>7</v>
      </c>
      <c r="C2396">
        <v>19.399999999999999</v>
      </c>
      <c r="D2396">
        <v>43.2</v>
      </c>
      <c r="E2396">
        <v>10.5</v>
      </c>
      <c r="F2396">
        <v>38.799999999999997</v>
      </c>
      <c r="G2396">
        <v>6.3</v>
      </c>
      <c r="H2396">
        <v>55.9</v>
      </c>
      <c r="I2396">
        <v>7.3</v>
      </c>
      <c r="J2396">
        <v>41.6</v>
      </c>
    </row>
    <row r="2397" spans="1:10" x14ac:dyDescent="0.3">
      <c r="A2397" t="s">
        <v>257</v>
      </c>
      <c r="B2397">
        <v>7</v>
      </c>
      <c r="C2397">
        <v>2.5</v>
      </c>
      <c r="D2397">
        <v>3.5</v>
      </c>
      <c r="E2397">
        <v>2.5</v>
      </c>
      <c r="F2397">
        <v>3.5</v>
      </c>
      <c r="G2397">
        <v>2.5</v>
      </c>
      <c r="H2397">
        <v>3.5</v>
      </c>
      <c r="I2397">
        <v>3.5</v>
      </c>
      <c r="J2397">
        <v>2.5</v>
      </c>
    </row>
    <row r="2398" spans="1:10" x14ac:dyDescent="0.3">
      <c r="A2398" t="s">
        <v>258</v>
      </c>
      <c r="B2398">
        <v>7</v>
      </c>
      <c r="C2398">
        <v>0</v>
      </c>
      <c r="D2398">
        <v>0</v>
      </c>
      <c r="E2398">
        <v>0</v>
      </c>
      <c r="F2398">
        <v>0</v>
      </c>
      <c r="G2398">
        <v>0</v>
      </c>
      <c r="H2398">
        <v>0</v>
      </c>
      <c r="I2398">
        <v>0</v>
      </c>
      <c r="J2398">
        <v>0</v>
      </c>
    </row>
    <row r="2399" spans="1:10" x14ac:dyDescent="0.3">
      <c r="A2399" t="s">
        <v>259</v>
      </c>
      <c r="B2399">
        <v>7</v>
      </c>
      <c r="C2399">
        <v>0</v>
      </c>
      <c r="D2399">
        <v>0</v>
      </c>
      <c r="E2399">
        <v>0</v>
      </c>
      <c r="F2399">
        <v>0</v>
      </c>
      <c r="G2399">
        <v>0</v>
      </c>
      <c r="H2399">
        <v>0</v>
      </c>
      <c r="I2399">
        <v>0</v>
      </c>
      <c r="J2399">
        <v>0</v>
      </c>
    </row>
    <row r="2400" spans="1:10" x14ac:dyDescent="0.3">
      <c r="A2400" t="s">
        <v>260</v>
      </c>
      <c r="B2400">
        <v>7</v>
      </c>
      <c r="C2400">
        <v>3</v>
      </c>
      <c r="D2400">
        <v>3</v>
      </c>
      <c r="E2400">
        <v>3</v>
      </c>
      <c r="F2400">
        <v>3</v>
      </c>
      <c r="G2400">
        <v>3</v>
      </c>
      <c r="H2400">
        <v>3</v>
      </c>
      <c r="I2400">
        <v>3</v>
      </c>
      <c r="J2400">
        <v>3</v>
      </c>
    </row>
    <row r="2401" spans="1:10" x14ac:dyDescent="0.3">
      <c r="A2401" t="s">
        <v>261</v>
      </c>
      <c r="B2401">
        <v>7</v>
      </c>
      <c r="C2401">
        <v>3</v>
      </c>
      <c r="D2401">
        <v>4.4000000000000004</v>
      </c>
      <c r="E2401">
        <v>3</v>
      </c>
      <c r="F2401">
        <v>3.3</v>
      </c>
      <c r="G2401">
        <v>3</v>
      </c>
      <c r="H2401">
        <v>4.4000000000000004</v>
      </c>
      <c r="I2401">
        <v>3</v>
      </c>
      <c r="J2401">
        <v>3.3</v>
      </c>
    </row>
    <row r="2402" spans="1:10" x14ac:dyDescent="0.3">
      <c r="A2402" t="s">
        <v>262</v>
      </c>
      <c r="B2402">
        <v>7</v>
      </c>
      <c r="C2402">
        <v>3.8</v>
      </c>
      <c r="D2402">
        <v>2.6</v>
      </c>
      <c r="E2402">
        <v>4.7</v>
      </c>
      <c r="F2402">
        <v>3.3</v>
      </c>
      <c r="G2402">
        <v>4.0999999999999996</v>
      </c>
      <c r="H2402">
        <v>2.7</v>
      </c>
      <c r="I2402">
        <v>4.7</v>
      </c>
      <c r="J2402">
        <v>3.7</v>
      </c>
    </row>
    <row r="2403" spans="1:10" x14ac:dyDescent="0.3">
      <c r="A2403" t="s">
        <v>263</v>
      </c>
      <c r="B2403">
        <v>7</v>
      </c>
      <c r="C2403">
        <v>0</v>
      </c>
      <c r="D2403">
        <v>3</v>
      </c>
      <c r="E2403">
        <v>0</v>
      </c>
      <c r="F2403">
        <v>0</v>
      </c>
      <c r="G2403">
        <v>0</v>
      </c>
      <c r="H2403">
        <v>3</v>
      </c>
      <c r="I2403">
        <v>0</v>
      </c>
      <c r="J2403">
        <v>0</v>
      </c>
    </row>
    <row r="2404" spans="1:10" x14ac:dyDescent="0.3">
      <c r="A2404" t="s">
        <v>264</v>
      </c>
      <c r="B2404">
        <v>7</v>
      </c>
      <c r="H2404">
        <v>7</v>
      </c>
      <c r="J2404">
        <v>7</v>
      </c>
    </row>
    <row r="2405" spans="1:10" x14ac:dyDescent="0.3">
      <c r="A2405" t="s">
        <v>265</v>
      </c>
      <c r="B2405">
        <v>7</v>
      </c>
      <c r="H2405">
        <v>32</v>
      </c>
      <c r="J2405">
        <v>31</v>
      </c>
    </row>
    <row r="2406" spans="1:10" x14ac:dyDescent="0.3">
      <c r="A2406" t="s">
        <v>266</v>
      </c>
      <c r="B2406">
        <v>7</v>
      </c>
      <c r="H2406">
        <v>0</v>
      </c>
      <c r="J2406">
        <v>0</v>
      </c>
    </row>
    <row r="2407" spans="1:10" x14ac:dyDescent="0.3">
      <c r="A2407" t="s">
        <v>267</v>
      </c>
      <c r="B2407">
        <v>7</v>
      </c>
      <c r="C2407">
        <v>12.8</v>
      </c>
      <c r="D2407">
        <v>27</v>
      </c>
      <c r="E2407">
        <v>13.7</v>
      </c>
      <c r="F2407">
        <v>23.5</v>
      </c>
      <c r="G2407">
        <v>13.1</v>
      </c>
      <c r="H2407">
        <v>50.1</v>
      </c>
      <c r="I2407">
        <v>14.7</v>
      </c>
      <c r="J2407">
        <v>48.5</v>
      </c>
    </row>
    <row r="2408" spans="1:10" x14ac:dyDescent="0.3">
      <c r="A2408" t="s">
        <v>268</v>
      </c>
      <c r="B2408">
        <v>7</v>
      </c>
      <c r="C2408">
        <v>0</v>
      </c>
      <c r="D2408">
        <v>1</v>
      </c>
      <c r="E2408">
        <v>0</v>
      </c>
      <c r="F2408">
        <v>1</v>
      </c>
      <c r="G2408">
        <v>0</v>
      </c>
      <c r="H2408">
        <v>1</v>
      </c>
      <c r="I2408">
        <v>0</v>
      </c>
      <c r="J2408">
        <v>1</v>
      </c>
    </row>
    <row r="2409" spans="1:10" x14ac:dyDescent="0.3">
      <c r="A2409" t="s">
        <v>269</v>
      </c>
      <c r="B2409">
        <v>7</v>
      </c>
      <c r="C2409">
        <v>1</v>
      </c>
      <c r="D2409">
        <v>1</v>
      </c>
      <c r="E2409">
        <v>1</v>
      </c>
      <c r="F2409">
        <v>1</v>
      </c>
      <c r="G2409">
        <v>1</v>
      </c>
      <c r="H2409">
        <v>1</v>
      </c>
      <c r="I2409">
        <v>1</v>
      </c>
      <c r="J2409">
        <v>1</v>
      </c>
    </row>
    <row r="2410" spans="1:10" x14ac:dyDescent="0.3">
      <c r="A2410" t="s">
        <v>270</v>
      </c>
      <c r="B2410">
        <v>7</v>
      </c>
      <c r="C2410">
        <v>43.8</v>
      </c>
      <c r="D2410">
        <v>70</v>
      </c>
      <c r="E2410">
        <v>120.2</v>
      </c>
      <c r="F2410">
        <v>138.4</v>
      </c>
      <c r="G2410">
        <v>43.8</v>
      </c>
      <c r="H2410">
        <v>57.2</v>
      </c>
      <c r="I2410">
        <v>120.2</v>
      </c>
      <c r="J2410">
        <v>135.19999999999999</v>
      </c>
    </row>
    <row r="2411" spans="1:10" x14ac:dyDescent="0.3">
      <c r="A2411" t="s">
        <v>271</v>
      </c>
      <c r="B2411">
        <v>7</v>
      </c>
      <c r="C2411">
        <v>70</v>
      </c>
      <c r="D2411">
        <v>120.2</v>
      </c>
      <c r="E2411">
        <v>138.4</v>
      </c>
      <c r="F2411">
        <v>43.8</v>
      </c>
      <c r="G2411">
        <v>57.2</v>
      </c>
      <c r="H2411">
        <v>120.2</v>
      </c>
      <c r="I2411">
        <v>135.19999999999999</v>
      </c>
      <c r="J2411">
        <v>43.8</v>
      </c>
    </row>
    <row r="2412" spans="1:10" x14ac:dyDescent="0.3">
      <c r="A2412" t="s">
        <v>272</v>
      </c>
      <c r="B2412">
        <v>7</v>
      </c>
      <c r="C2412">
        <v>63.2</v>
      </c>
      <c r="D2412">
        <v>113.2</v>
      </c>
      <c r="E2412">
        <v>130.69999999999999</v>
      </c>
      <c r="F2412">
        <v>37.200000000000003</v>
      </c>
      <c r="G2412">
        <v>50.1</v>
      </c>
      <c r="H2412">
        <v>113.1</v>
      </c>
      <c r="I2412">
        <v>127.5</v>
      </c>
      <c r="J2412">
        <v>36.799999999999997</v>
      </c>
    </row>
    <row r="2413" spans="1:10" x14ac:dyDescent="0.3">
      <c r="A2413" t="s">
        <v>273</v>
      </c>
      <c r="B2413">
        <v>7</v>
      </c>
      <c r="C2413">
        <v>63.2</v>
      </c>
      <c r="D2413">
        <v>113.2</v>
      </c>
      <c r="E2413">
        <v>130.69999999999999</v>
      </c>
      <c r="F2413">
        <v>37.200000000000003</v>
      </c>
      <c r="G2413">
        <v>50.1</v>
      </c>
      <c r="H2413">
        <v>81.099999999999994</v>
      </c>
      <c r="I2413">
        <v>127.5</v>
      </c>
      <c r="J2413">
        <v>36.799999999999997</v>
      </c>
    </row>
    <row r="2414" spans="1:10" x14ac:dyDescent="0.3">
      <c r="A2414" t="s">
        <v>274</v>
      </c>
      <c r="B2414">
        <v>7</v>
      </c>
      <c r="C2414">
        <v>113.8</v>
      </c>
      <c r="D2414">
        <v>0</v>
      </c>
      <c r="E2414">
        <v>50.2</v>
      </c>
      <c r="F2414">
        <v>68.400000000000006</v>
      </c>
      <c r="G2414">
        <v>113.8</v>
      </c>
      <c r="H2414">
        <v>127.2</v>
      </c>
      <c r="I2414">
        <v>50.2</v>
      </c>
      <c r="J2414">
        <v>65.2</v>
      </c>
    </row>
    <row r="2415" spans="1:10" x14ac:dyDescent="0.3">
      <c r="A2415" t="s">
        <v>275</v>
      </c>
      <c r="B2415">
        <v>7</v>
      </c>
      <c r="C2415">
        <v>133.19999999999999</v>
      </c>
      <c r="D2415">
        <v>43.2</v>
      </c>
      <c r="E2415">
        <v>60.7</v>
      </c>
      <c r="F2415">
        <v>107.2</v>
      </c>
      <c r="G2415">
        <v>120.1</v>
      </c>
      <c r="H2415">
        <v>43.1</v>
      </c>
      <c r="I2415">
        <v>57.5</v>
      </c>
      <c r="J2415">
        <v>106.8</v>
      </c>
    </row>
    <row r="2416" spans="1:10" x14ac:dyDescent="0.3">
      <c r="A2416" t="s">
        <v>276</v>
      </c>
      <c r="B2416">
        <v>7</v>
      </c>
      <c r="C2416">
        <v>133.19999999999999</v>
      </c>
      <c r="D2416">
        <v>43.2</v>
      </c>
      <c r="E2416">
        <v>60.7</v>
      </c>
      <c r="F2416">
        <v>107.2</v>
      </c>
      <c r="G2416">
        <v>120.1</v>
      </c>
      <c r="H2416">
        <v>11.1</v>
      </c>
      <c r="I2416">
        <v>57.5</v>
      </c>
      <c r="J2416">
        <v>106.8</v>
      </c>
    </row>
    <row r="2417" spans="1:10" x14ac:dyDescent="0.3">
      <c r="A2417" t="s">
        <v>567</v>
      </c>
      <c r="B2417">
        <v>7</v>
      </c>
      <c r="C2417">
        <v>20</v>
      </c>
      <c r="D2417">
        <v>72.900000000000006</v>
      </c>
      <c r="E2417">
        <v>7.8</v>
      </c>
      <c r="F2417">
        <v>11.2</v>
      </c>
      <c r="G2417">
        <v>7.1</v>
      </c>
      <c r="H2417">
        <v>85.4</v>
      </c>
      <c r="I2417">
        <v>5.8</v>
      </c>
      <c r="J2417">
        <v>12.8</v>
      </c>
    </row>
    <row r="2418" spans="1:10" x14ac:dyDescent="0.3">
      <c r="A2418" t="s">
        <v>254</v>
      </c>
      <c r="B2418">
        <v>9</v>
      </c>
      <c r="C2418">
        <v>111</v>
      </c>
      <c r="D2418">
        <v>112</v>
      </c>
      <c r="E2418">
        <v>211</v>
      </c>
      <c r="F2418">
        <v>212</v>
      </c>
      <c r="G2418">
        <v>121</v>
      </c>
      <c r="H2418">
        <v>122</v>
      </c>
      <c r="I2418">
        <v>221</v>
      </c>
      <c r="J2418">
        <v>222</v>
      </c>
    </row>
    <row r="2419" spans="1:10" x14ac:dyDescent="0.3">
      <c r="A2419" t="s">
        <v>255</v>
      </c>
      <c r="B2419">
        <v>9</v>
      </c>
      <c r="C2419">
        <v>6</v>
      </c>
      <c r="D2419">
        <v>10</v>
      </c>
      <c r="E2419">
        <v>6</v>
      </c>
      <c r="F2419">
        <v>5</v>
      </c>
      <c r="G2419">
        <v>6</v>
      </c>
      <c r="H2419">
        <v>10</v>
      </c>
      <c r="I2419">
        <v>6</v>
      </c>
      <c r="J2419">
        <v>5</v>
      </c>
    </row>
    <row r="2420" spans="1:10" x14ac:dyDescent="0.3">
      <c r="A2420" t="s">
        <v>256</v>
      </c>
      <c r="B2420">
        <v>9</v>
      </c>
      <c r="C2420">
        <v>14.5</v>
      </c>
      <c r="D2420">
        <v>49.2</v>
      </c>
      <c r="E2420">
        <v>6.3</v>
      </c>
      <c r="F2420">
        <v>43.2</v>
      </c>
      <c r="G2420">
        <v>6.3</v>
      </c>
      <c r="H2420">
        <v>57</v>
      </c>
      <c r="I2420">
        <v>12.1</v>
      </c>
      <c r="J2420">
        <v>37.200000000000003</v>
      </c>
    </row>
    <row r="2421" spans="1:10" x14ac:dyDescent="0.3">
      <c r="A2421" t="s">
        <v>257</v>
      </c>
      <c r="B2421">
        <v>9</v>
      </c>
      <c r="C2421">
        <v>2.5</v>
      </c>
      <c r="D2421">
        <v>2.5</v>
      </c>
      <c r="E2421">
        <v>2.5</v>
      </c>
      <c r="F2421">
        <v>3</v>
      </c>
      <c r="G2421">
        <v>2.5</v>
      </c>
      <c r="H2421">
        <v>2.5</v>
      </c>
      <c r="I2421">
        <v>3</v>
      </c>
      <c r="J2421">
        <v>3</v>
      </c>
    </row>
    <row r="2422" spans="1:10" x14ac:dyDescent="0.3">
      <c r="A2422" t="s">
        <v>258</v>
      </c>
      <c r="B2422">
        <v>9</v>
      </c>
      <c r="C2422">
        <v>0</v>
      </c>
      <c r="D2422">
        <v>0</v>
      </c>
      <c r="E2422">
        <v>0</v>
      </c>
      <c r="F2422">
        <v>0</v>
      </c>
      <c r="G2422">
        <v>0</v>
      </c>
      <c r="H2422">
        <v>0</v>
      </c>
      <c r="I2422">
        <v>0</v>
      </c>
      <c r="J2422">
        <v>0</v>
      </c>
    </row>
    <row r="2423" spans="1:10" x14ac:dyDescent="0.3">
      <c r="A2423" t="s">
        <v>259</v>
      </c>
      <c r="B2423">
        <v>9</v>
      </c>
      <c r="C2423">
        <v>0</v>
      </c>
      <c r="D2423">
        <v>0</v>
      </c>
      <c r="E2423">
        <v>0</v>
      </c>
      <c r="F2423">
        <v>0</v>
      </c>
      <c r="G2423">
        <v>0</v>
      </c>
      <c r="H2423">
        <v>0</v>
      </c>
      <c r="I2423">
        <v>0</v>
      </c>
      <c r="J2423">
        <v>0</v>
      </c>
    </row>
    <row r="2424" spans="1:10" x14ac:dyDescent="0.3">
      <c r="A2424" t="s">
        <v>260</v>
      </c>
      <c r="B2424">
        <v>9</v>
      </c>
      <c r="C2424">
        <v>3</v>
      </c>
      <c r="D2424">
        <v>3</v>
      </c>
      <c r="E2424">
        <v>3</v>
      </c>
      <c r="F2424">
        <v>3</v>
      </c>
      <c r="G2424">
        <v>3</v>
      </c>
      <c r="H2424">
        <v>3</v>
      </c>
      <c r="I2424">
        <v>3</v>
      </c>
      <c r="J2424">
        <v>3</v>
      </c>
    </row>
    <row r="2425" spans="1:10" x14ac:dyDescent="0.3">
      <c r="A2425" t="s">
        <v>261</v>
      </c>
      <c r="B2425">
        <v>9</v>
      </c>
      <c r="C2425">
        <v>3</v>
      </c>
      <c r="D2425">
        <v>4.4000000000000004</v>
      </c>
      <c r="E2425">
        <v>3</v>
      </c>
      <c r="F2425">
        <v>3.3</v>
      </c>
      <c r="G2425">
        <v>3</v>
      </c>
      <c r="H2425">
        <v>4.4000000000000004</v>
      </c>
      <c r="I2425">
        <v>3</v>
      </c>
      <c r="J2425">
        <v>3.6</v>
      </c>
    </row>
    <row r="2426" spans="1:10" x14ac:dyDescent="0.3">
      <c r="A2426" t="s">
        <v>262</v>
      </c>
      <c r="B2426">
        <v>9</v>
      </c>
      <c r="C2426">
        <v>3.7</v>
      </c>
      <c r="D2426">
        <v>2</v>
      </c>
      <c r="E2426">
        <v>3.9</v>
      </c>
      <c r="F2426">
        <v>3.5</v>
      </c>
      <c r="G2426">
        <v>3.7</v>
      </c>
      <c r="H2426">
        <v>2.4</v>
      </c>
      <c r="I2426">
        <v>3.9</v>
      </c>
      <c r="J2426">
        <v>3.4</v>
      </c>
    </row>
    <row r="2427" spans="1:10" x14ac:dyDescent="0.3">
      <c r="A2427" t="s">
        <v>263</v>
      </c>
      <c r="B2427">
        <v>9</v>
      </c>
      <c r="C2427">
        <v>0</v>
      </c>
      <c r="D2427">
        <v>3</v>
      </c>
      <c r="E2427">
        <v>0</v>
      </c>
      <c r="F2427">
        <v>0</v>
      </c>
      <c r="G2427">
        <v>0</v>
      </c>
      <c r="H2427">
        <v>3</v>
      </c>
      <c r="I2427">
        <v>0</v>
      </c>
      <c r="J2427">
        <v>0</v>
      </c>
    </row>
    <row r="2428" spans="1:10" x14ac:dyDescent="0.3">
      <c r="A2428" t="s">
        <v>264</v>
      </c>
      <c r="B2428">
        <v>9</v>
      </c>
      <c r="F2428">
        <v>7</v>
      </c>
      <c r="H2428">
        <v>7</v>
      </c>
    </row>
    <row r="2429" spans="1:10" x14ac:dyDescent="0.3">
      <c r="A2429" t="s">
        <v>265</v>
      </c>
      <c r="B2429">
        <v>9</v>
      </c>
      <c r="F2429">
        <v>33</v>
      </c>
      <c r="H2429">
        <v>16</v>
      </c>
    </row>
    <row r="2430" spans="1:10" x14ac:dyDescent="0.3">
      <c r="A2430" t="s">
        <v>266</v>
      </c>
      <c r="B2430">
        <v>9</v>
      </c>
      <c r="F2430">
        <v>0</v>
      </c>
      <c r="H2430">
        <v>0</v>
      </c>
    </row>
    <row r="2431" spans="1:10" x14ac:dyDescent="0.3">
      <c r="A2431" t="s">
        <v>267</v>
      </c>
      <c r="B2431">
        <v>9</v>
      </c>
      <c r="C2431">
        <v>12.7</v>
      </c>
      <c r="D2431">
        <v>22.5</v>
      </c>
      <c r="E2431">
        <v>12.9</v>
      </c>
      <c r="F2431">
        <v>49.8</v>
      </c>
      <c r="G2431">
        <v>12.7</v>
      </c>
      <c r="H2431">
        <v>34.799999999999997</v>
      </c>
      <c r="I2431">
        <v>12.9</v>
      </c>
      <c r="J2431">
        <v>22.5</v>
      </c>
    </row>
    <row r="2432" spans="1:10" x14ac:dyDescent="0.3">
      <c r="A2432" t="s">
        <v>268</v>
      </c>
      <c r="B2432">
        <v>9</v>
      </c>
      <c r="C2432">
        <v>0</v>
      </c>
      <c r="D2432">
        <v>1</v>
      </c>
      <c r="E2432">
        <v>0</v>
      </c>
      <c r="F2432">
        <v>1</v>
      </c>
      <c r="G2432">
        <v>0</v>
      </c>
      <c r="H2432">
        <v>1</v>
      </c>
      <c r="I2432">
        <v>0</v>
      </c>
      <c r="J2432">
        <v>1</v>
      </c>
    </row>
    <row r="2433" spans="1:10" x14ac:dyDescent="0.3">
      <c r="A2433" t="s">
        <v>269</v>
      </c>
      <c r="B2433">
        <v>9</v>
      </c>
      <c r="C2433">
        <v>1</v>
      </c>
      <c r="D2433">
        <v>1</v>
      </c>
      <c r="E2433">
        <v>1</v>
      </c>
      <c r="F2433">
        <v>1</v>
      </c>
      <c r="G2433">
        <v>1</v>
      </c>
      <c r="H2433">
        <v>1</v>
      </c>
      <c r="I2433">
        <v>1</v>
      </c>
      <c r="J2433">
        <v>1</v>
      </c>
    </row>
    <row r="2434" spans="1:10" x14ac:dyDescent="0.3">
      <c r="A2434" t="s">
        <v>270</v>
      </c>
      <c r="B2434">
        <v>9</v>
      </c>
      <c r="C2434">
        <v>53.8</v>
      </c>
      <c r="D2434">
        <v>75</v>
      </c>
      <c r="E2434">
        <v>130.6</v>
      </c>
      <c r="F2434">
        <v>3.8</v>
      </c>
      <c r="G2434">
        <v>53.8</v>
      </c>
      <c r="H2434">
        <v>66.8</v>
      </c>
      <c r="I2434">
        <v>130.6</v>
      </c>
      <c r="J2434">
        <v>9.6</v>
      </c>
    </row>
    <row r="2435" spans="1:10" x14ac:dyDescent="0.3">
      <c r="A2435" t="s">
        <v>271</v>
      </c>
      <c r="B2435">
        <v>9</v>
      </c>
      <c r="C2435">
        <v>75</v>
      </c>
      <c r="D2435">
        <v>130.6</v>
      </c>
      <c r="E2435">
        <v>3.8</v>
      </c>
      <c r="F2435">
        <v>53.8</v>
      </c>
      <c r="G2435">
        <v>66.8</v>
      </c>
      <c r="H2435">
        <v>130.6</v>
      </c>
      <c r="I2435">
        <v>9.6</v>
      </c>
      <c r="J2435">
        <v>53.8</v>
      </c>
    </row>
    <row r="2436" spans="1:10" x14ac:dyDescent="0.3">
      <c r="A2436" t="s">
        <v>272</v>
      </c>
      <c r="B2436">
        <v>9</v>
      </c>
      <c r="C2436">
        <v>68.3</v>
      </c>
      <c r="D2436">
        <v>124.2</v>
      </c>
      <c r="E2436">
        <v>136.9</v>
      </c>
      <c r="F2436">
        <v>47</v>
      </c>
      <c r="G2436">
        <v>60.1</v>
      </c>
      <c r="H2436">
        <v>123.8</v>
      </c>
      <c r="I2436">
        <v>2.7</v>
      </c>
      <c r="J2436">
        <v>46.8</v>
      </c>
    </row>
    <row r="2437" spans="1:10" x14ac:dyDescent="0.3">
      <c r="A2437" t="s">
        <v>273</v>
      </c>
      <c r="B2437">
        <v>9</v>
      </c>
      <c r="C2437">
        <v>68.3</v>
      </c>
      <c r="D2437">
        <v>124.2</v>
      </c>
      <c r="E2437">
        <v>136.9</v>
      </c>
      <c r="F2437">
        <v>47</v>
      </c>
      <c r="G2437">
        <v>60.1</v>
      </c>
      <c r="H2437">
        <v>107.8</v>
      </c>
      <c r="I2437">
        <v>2.7</v>
      </c>
      <c r="J2437">
        <v>46.8</v>
      </c>
    </row>
    <row r="2438" spans="1:10" x14ac:dyDescent="0.3">
      <c r="A2438" t="s">
        <v>274</v>
      </c>
      <c r="B2438">
        <v>9</v>
      </c>
      <c r="C2438">
        <v>118.8</v>
      </c>
      <c r="D2438">
        <v>0</v>
      </c>
      <c r="E2438">
        <v>55.6</v>
      </c>
      <c r="F2438">
        <v>68.8</v>
      </c>
      <c r="G2438">
        <v>118.8</v>
      </c>
      <c r="H2438">
        <v>131.80000000000001</v>
      </c>
      <c r="I2438">
        <v>55.6</v>
      </c>
      <c r="J2438">
        <v>74.599999999999994</v>
      </c>
    </row>
    <row r="2439" spans="1:10" x14ac:dyDescent="0.3">
      <c r="A2439" t="s">
        <v>275</v>
      </c>
      <c r="B2439">
        <v>9</v>
      </c>
      <c r="C2439">
        <v>133.30000000000001</v>
      </c>
      <c r="D2439">
        <v>49.2</v>
      </c>
      <c r="E2439">
        <v>61.9</v>
      </c>
      <c r="F2439">
        <v>112</v>
      </c>
      <c r="G2439">
        <v>125.1</v>
      </c>
      <c r="H2439">
        <v>48.8</v>
      </c>
      <c r="I2439">
        <v>67.7</v>
      </c>
      <c r="J2439">
        <v>111.8</v>
      </c>
    </row>
    <row r="2440" spans="1:10" x14ac:dyDescent="0.3">
      <c r="A2440" t="s">
        <v>276</v>
      </c>
      <c r="B2440">
        <v>9</v>
      </c>
      <c r="C2440">
        <v>133.30000000000001</v>
      </c>
      <c r="D2440">
        <v>49.2</v>
      </c>
      <c r="E2440">
        <v>61.9</v>
      </c>
      <c r="F2440">
        <v>112</v>
      </c>
      <c r="G2440">
        <v>125.1</v>
      </c>
      <c r="H2440">
        <v>32.799999999999997</v>
      </c>
      <c r="I2440">
        <v>67.7</v>
      </c>
      <c r="J2440">
        <v>111.8</v>
      </c>
    </row>
    <row r="2441" spans="1:10" x14ac:dyDescent="0.3">
      <c r="A2441" t="s">
        <v>567</v>
      </c>
      <c r="B2441">
        <v>9</v>
      </c>
      <c r="C2441">
        <v>14.9</v>
      </c>
      <c r="D2441">
        <v>75.7</v>
      </c>
      <c r="E2441">
        <v>5</v>
      </c>
      <c r="F2441">
        <v>17.600000000000001</v>
      </c>
      <c r="G2441">
        <v>4.5</v>
      </c>
      <c r="H2441">
        <v>85.7</v>
      </c>
      <c r="I2441">
        <v>8.8000000000000007</v>
      </c>
      <c r="J2441">
        <v>13.6</v>
      </c>
    </row>
    <row r="2442" spans="1:10" x14ac:dyDescent="0.3">
      <c r="A2442" t="s">
        <v>254</v>
      </c>
      <c r="B2442">
        <v>11</v>
      </c>
      <c r="C2442">
        <v>111</v>
      </c>
      <c r="D2442">
        <v>112</v>
      </c>
      <c r="E2442">
        <v>211</v>
      </c>
      <c r="F2442">
        <v>212</v>
      </c>
      <c r="G2442">
        <v>121</v>
      </c>
      <c r="H2442">
        <v>122</v>
      </c>
      <c r="I2442">
        <v>221</v>
      </c>
      <c r="J2442">
        <v>222</v>
      </c>
    </row>
    <row r="2443" spans="1:10" x14ac:dyDescent="0.3">
      <c r="A2443" t="s">
        <v>255</v>
      </c>
      <c r="B2443">
        <v>11</v>
      </c>
      <c r="C2443">
        <v>6</v>
      </c>
      <c r="D2443">
        <v>20</v>
      </c>
      <c r="E2443">
        <v>6</v>
      </c>
      <c r="F2443">
        <v>8</v>
      </c>
      <c r="G2443">
        <v>6</v>
      </c>
      <c r="H2443">
        <v>20</v>
      </c>
      <c r="I2443">
        <v>6</v>
      </c>
      <c r="J2443">
        <v>8</v>
      </c>
    </row>
    <row r="2444" spans="1:10" x14ac:dyDescent="0.3">
      <c r="A2444" t="s">
        <v>256</v>
      </c>
      <c r="B2444">
        <v>11</v>
      </c>
      <c r="C2444">
        <v>20.6</v>
      </c>
      <c r="D2444">
        <v>48</v>
      </c>
      <c r="E2444">
        <v>18.100000000000001</v>
      </c>
      <c r="F2444">
        <v>27.3</v>
      </c>
      <c r="G2444">
        <v>18</v>
      </c>
      <c r="H2444">
        <v>50.6</v>
      </c>
      <c r="I2444">
        <v>6</v>
      </c>
      <c r="J2444">
        <v>40</v>
      </c>
    </row>
    <row r="2445" spans="1:10" x14ac:dyDescent="0.3">
      <c r="A2445" t="s">
        <v>257</v>
      </c>
      <c r="B2445">
        <v>11</v>
      </c>
      <c r="C2445">
        <v>2.5</v>
      </c>
      <c r="D2445">
        <v>4</v>
      </c>
      <c r="E2445">
        <v>2.5</v>
      </c>
      <c r="F2445">
        <v>3.6</v>
      </c>
      <c r="G2445">
        <v>2</v>
      </c>
      <c r="H2445">
        <v>4</v>
      </c>
      <c r="I2445">
        <v>2.5</v>
      </c>
      <c r="J2445">
        <v>2</v>
      </c>
    </row>
    <row r="2446" spans="1:10" x14ac:dyDescent="0.3">
      <c r="A2446" t="s">
        <v>258</v>
      </c>
      <c r="B2446">
        <v>11</v>
      </c>
      <c r="C2446">
        <v>0</v>
      </c>
      <c r="D2446">
        <v>0</v>
      </c>
      <c r="E2446">
        <v>0</v>
      </c>
      <c r="F2446">
        <v>0</v>
      </c>
      <c r="G2446">
        <v>0</v>
      </c>
      <c r="H2446">
        <v>0</v>
      </c>
      <c r="I2446">
        <v>0</v>
      </c>
      <c r="J2446">
        <v>0</v>
      </c>
    </row>
    <row r="2447" spans="1:10" x14ac:dyDescent="0.3">
      <c r="A2447" t="s">
        <v>259</v>
      </c>
      <c r="B2447">
        <v>11</v>
      </c>
      <c r="C2447">
        <v>0</v>
      </c>
      <c r="D2447">
        <v>0</v>
      </c>
      <c r="E2447">
        <v>0</v>
      </c>
      <c r="F2447">
        <v>0</v>
      </c>
      <c r="G2447">
        <v>0</v>
      </c>
      <c r="H2447">
        <v>0</v>
      </c>
      <c r="I2447">
        <v>0</v>
      </c>
      <c r="J2447">
        <v>0</v>
      </c>
    </row>
    <row r="2448" spans="1:10" x14ac:dyDescent="0.3">
      <c r="A2448" t="s">
        <v>260</v>
      </c>
      <c r="B2448">
        <v>11</v>
      </c>
      <c r="C2448">
        <v>3</v>
      </c>
      <c r="D2448">
        <v>3</v>
      </c>
      <c r="E2448">
        <v>3</v>
      </c>
      <c r="F2448">
        <v>3</v>
      </c>
      <c r="G2448">
        <v>3</v>
      </c>
      <c r="H2448">
        <v>3</v>
      </c>
      <c r="I2448">
        <v>3</v>
      </c>
      <c r="J2448">
        <v>3</v>
      </c>
    </row>
    <row r="2449" spans="1:10" x14ac:dyDescent="0.3">
      <c r="A2449" t="s">
        <v>261</v>
      </c>
      <c r="B2449">
        <v>11</v>
      </c>
      <c r="C2449">
        <v>3</v>
      </c>
      <c r="D2449">
        <v>4.4000000000000004</v>
      </c>
      <c r="E2449">
        <v>3</v>
      </c>
      <c r="F2449">
        <v>3.6</v>
      </c>
      <c r="G2449">
        <v>3</v>
      </c>
      <c r="H2449">
        <v>4.4000000000000004</v>
      </c>
      <c r="I2449">
        <v>3</v>
      </c>
      <c r="J2449">
        <v>3.6</v>
      </c>
    </row>
    <row r="2450" spans="1:10" x14ac:dyDescent="0.3">
      <c r="A2450" t="s">
        <v>262</v>
      </c>
      <c r="B2450">
        <v>11</v>
      </c>
      <c r="C2450">
        <v>3.3</v>
      </c>
      <c r="D2450">
        <v>2</v>
      </c>
      <c r="E2450">
        <v>3.5</v>
      </c>
      <c r="F2450">
        <v>3.2</v>
      </c>
      <c r="G2450">
        <v>3.3</v>
      </c>
      <c r="H2450">
        <v>2</v>
      </c>
      <c r="I2450">
        <v>3</v>
      </c>
      <c r="J2450">
        <v>3.1</v>
      </c>
    </row>
    <row r="2451" spans="1:10" x14ac:dyDescent="0.3">
      <c r="A2451" t="s">
        <v>263</v>
      </c>
      <c r="B2451">
        <v>11</v>
      </c>
      <c r="C2451">
        <v>0</v>
      </c>
      <c r="D2451">
        <v>3</v>
      </c>
      <c r="E2451">
        <v>0</v>
      </c>
      <c r="F2451">
        <v>0</v>
      </c>
      <c r="G2451">
        <v>0</v>
      </c>
      <c r="H2451">
        <v>3</v>
      </c>
      <c r="I2451">
        <v>0</v>
      </c>
      <c r="J2451">
        <v>0</v>
      </c>
    </row>
    <row r="2452" spans="1:10" x14ac:dyDescent="0.3">
      <c r="A2452" t="s">
        <v>264</v>
      </c>
      <c r="B2452">
        <v>11</v>
      </c>
      <c r="H2452">
        <v>7</v>
      </c>
      <c r="J2452">
        <v>7</v>
      </c>
    </row>
    <row r="2453" spans="1:10" x14ac:dyDescent="0.3">
      <c r="A2453" t="s">
        <v>265</v>
      </c>
      <c r="B2453">
        <v>11</v>
      </c>
      <c r="H2453">
        <v>17</v>
      </c>
      <c r="J2453">
        <v>30</v>
      </c>
    </row>
    <row r="2454" spans="1:10" x14ac:dyDescent="0.3">
      <c r="A2454" t="s">
        <v>266</v>
      </c>
      <c r="B2454">
        <v>11</v>
      </c>
      <c r="H2454">
        <v>0</v>
      </c>
      <c r="J2454">
        <v>0</v>
      </c>
    </row>
    <row r="2455" spans="1:10" x14ac:dyDescent="0.3">
      <c r="A2455" t="s">
        <v>267</v>
      </c>
      <c r="B2455">
        <v>11</v>
      </c>
      <c r="C2455">
        <v>12.3</v>
      </c>
      <c r="D2455">
        <v>26.4</v>
      </c>
      <c r="E2455">
        <v>22.5</v>
      </c>
      <c r="F2455">
        <v>24.3</v>
      </c>
      <c r="G2455">
        <v>24.3</v>
      </c>
      <c r="H2455">
        <v>34.4</v>
      </c>
      <c r="I2455">
        <v>12</v>
      </c>
      <c r="J2455">
        <v>46.7</v>
      </c>
    </row>
    <row r="2456" spans="1:10" x14ac:dyDescent="0.3">
      <c r="A2456" t="s">
        <v>268</v>
      </c>
      <c r="B2456">
        <v>11</v>
      </c>
      <c r="C2456">
        <v>0</v>
      </c>
      <c r="D2456">
        <v>1</v>
      </c>
      <c r="E2456">
        <v>1</v>
      </c>
      <c r="F2456">
        <v>1</v>
      </c>
      <c r="G2456">
        <v>1</v>
      </c>
      <c r="H2456">
        <v>1</v>
      </c>
      <c r="I2456">
        <v>0</v>
      </c>
      <c r="J2456">
        <v>1</v>
      </c>
    </row>
    <row r="2457" spans="1:10" x14ac:dyDescent="0.3">
      <c r="A2457" t="s">
        <v>269</v>
      </c>
      <c r="B2457">
        <v>11</v>
      </c>
      <c r="C2457">
        <v>1</v>
      </c>
      <c r="D2457">
        <v>1</v>
      </c>
      <c r="E2457">
        <v>1</v>
      </c>
      <c r="F2457">
        <v>1</v>
      </c>
      <c r="G2457">
        <v>1</v>
      </c>
      <c r="H2457">
        <v>1</v>
      </c>
      <c r="I2457">
        <v>1</v>
      </c>
      <c r="J2457">
        <v>1</v>
      </c>
    </row>
    <row r="2458" spans="1:10" x14ac:dyDescent="0.3">
      <c r="A2458" t="s">
        <v>270</v>
      </c>
      <c r="B2458">
        <v>11</v>
      </c>
      <c r="C2458">
        <v>125.1</v>
      </c>
      <c r="D2458">
        <v>12</v>
      </c>
      <c r="E2458">
        <v>66.400000000000006</v>
      </c>
      <c r="F2458">
        <v>91</v>
      </c>
      <c r="G2458">
        <v>125.1</v>
      </c>
      <c r="H2458">
        <v>9.4</v>
      </c>
      <c r="I2458">
        <v>66.400000000000006</v>
      </c>
      <c r="J2458">
        <v>78.400000000000006</v>
      </c>
    </row>
    <row r="2459" spans="1:10" x14ac:dyDescent="0.3">
      <c r="A2459" t="s">
        <v>271</v>
      </c>
      <c r="B2459">
        <v>11</v>
      </c>
      <c r="C2459">
        <v>12</v>
      </c>
      <c r="D2459">
        <v>66.400000000000006</v>
      </c>
      <c r="E2459">
        <v>91</v>
      </c>
      <c r="F2459">
        <v>125.1</v>
      </c>
      <c r="G2459">
        <v>9.4</v>
      </c>
      <c r="H2459">
        <v>66.400000000000006</v>
      </c>
      <c r="I2459">
        <v>78.400000000000006</v>
      </c>
      <c r="J2459">
        <v>125.1</v>
      </c>
    </row>
    <row r="2460" spans="1:10" x14ac:dyDescent="0.3">
      <c r="A2460" t="s">
        <v>272</v>
      </c>
      <c r="B2460">
        <v>11</v>
      </c>
      <c r="C2460">
        <v>5.7</v>
      </c>
      <c r="D2460">
        <v>60</v>
      </c>
      <c r="E2460">
        <v>84.5</v>
      </c>
      <c r="F2460">
        <v>118.3</v>
      </c>
      <c r="G2460">
        <v>3.1</v>
      </c>
      <c r="H2460">
        <v>60</v>
      </c>
      <c r="I2460">
        <v>72.400000000000006</v>
      </c>
      <c r="J2460">
        <v>118.4</v>
      </c>
    </row>
    <row r="2461" spans="1:10" x14ac:dyDescent="0.3">
      <c r="A2461" t="s">
        <v>273</v>
      </c>
      <c r="B2461">
        <v>11</v>
      </c>
      <c r="C2461">
        <v>5.7</v>
      </c>
      <c r="D2461">
        <v>60</v>
      </c>
      <c r="E2461">
        <v>84.5</v>
      </c>
      <c r="F2461">
        <v>118.3</v>
      </c>
      <c r="G2461">
        <v>3.1</v>
      </c>
      <c r="H2461">
        <v>43</v>
      </c>
      <c r="I2461">
        <v>72.400000000000006</v>
      </c>
      <c r="J2461">
        <v>118.4</v>
      </c>
    </row>
    <row r="2462" spans="1:10" x14ac:dyDescent="0.3">
      <c r="A2462" t="s">
        <v>274</v>
      </c>
      <c r="B2462">
        <v>11</v>
      </c>
      <c r="C2462">
        <v>113.1</v>
      </c>
      <c r="D2462">
        <v>0</v>
      </c>
      <c r="E2462">
        <v>54.4</v>
      </c>
      <c r="F2462">
        <v>79</v>
      </c>
      <c r="G2462">
        <v>113.1</v>
      </c>
      <c r="H2462">
        <v>137.4</v>
      </c>
      <c r="I2462">
        <v>54.4</v>
      </c>
      <c r="J2462">
        <v>66.400000000000006</v>
      </c>
    </row>
    <row r="2463" spans="1:10" x14ac:dyDescent="0.3">
      <c r="A2463" t="s">
        <v>275</v>
      </c>
      <c r="B2463">
        <v>11</v>
      </c>
      <c r="C2463">
        <v>133.69999999999999</v>
      </c>
      <c r="D2463">
        <v>48</v>
      </c>
      <c r="E2463">
        <v>72.5</v>
      </c>
      <c r="F2463">
        <v>106.3</v>
      </c>
      <c r="G2463">
        <v>131.1</v>
      </c>
      <c r="H2463">
        <v>48</v>
      </c>
      <c r="I2463">
        <v>60.4</v>
      </c>
      <c r="J2463">
        <v>106.4</v>
      </c>
    </row>
    <row r="2464" spans="1:10" x14ac:dyDescent="0.3">
      <c r="A2464" t="s">
        <v>276</v>
      </c>
      <c r="B2464">
        <v>11</v>
      </c>
      <c r="C2464">
        <v>133.69999999999999</v>
      </c>
      <c r="D2464">
        <v>48</v>
      </c>
      <c r="E2464">
        <v>72.5</v>
      </c>
      <c r="F2464">
        <v>106.3</v>
      </c>
      <c r="G2464">
        <v>131.1</v>
      </c>
      <c r="H2464">
        <v>31</v>
      </c>
      <c r="I2464">
        <v>60.4</v>
      </c>
      <c r="J2464">
        <v>106.4</v>
      </c>
    </row>
    <row r="2465" spans="1:10" x14ac:dyDescent="0.3">
      <c r="A2465" t="s">
        <v>567</v>
      </c>
      <c r="B2465">
        <v>11</v>
      </c>
      <c r="C2465">
        <v>17.399999999999999</v>
      </c>
      <c r="D2465">
        <v>63.2</v>
      </c>
      <c r="E2465">
        <v>14</v>
      </c>
      <c r="F2465">
        <v>19.399999999999999</v>
      </c>
      <c r="G2465">
        <v>7.5</v>
      </c>
      <c r="H2465">
        <v>73.099999999999994</v>
      </c>
      <c r="I2465">
        <v>0</v>
      </c>
      <c r="J2465">
        <v>40</v>
      </c>
    </row>
    <row r="2466" spans="1:10" x14ac:dyDescent="0.3">
      <c r="A2466" t="s">
        <v>254</v>
      </c>
      <c r="B2466">
        <v>13</v>
      </c>
      <c r="C2466">
        <v>111</v>
      </c>
      <c r="D2466">
        <v>112</v>
      </c>
      <c r="E2466">
        <v>211</v>
      </c>
      <c r="F2466">
        <v>212</v>
      </c>
      <c r="G2466">
        <v>121</v>
      </c>
      <c r="H2466">
        <v>122</v>
      </c>
      <c r="I2466">
        <v>221</v>
      </c>
      <c r="J2466">
        <v>222</v>
      </c>
    </row>
    <row r="2467" spans="1:10" x14ac:dyDescent="0.3">
      <c r="A2467" t="s">
        <v>255</v>
      </c>
      <c r="B2467">
        <v>13</v>
      </c>
      <c r="C2467">
        <v>6</v>
      </c>
      <c r="D2467">
        <v>20</v>
      </c>
      <c r="E2467">
        <v>6</v>
      </c>
      <c r="F2467">
        <v>7</v>
      </c>
      <c r="G2467">
        <v>7</v>
      </c>
      <c r="H2467">
        <v>20</v>
      </c>
      <c r="I2467">
        <v>7</v>
      </c>
      <c r="J2467">
        <v>6</v>
      </c>
    </row>
    <row r="2468" spans="1:10" x14ac:dyDescent="0.3">
      <c r="A2468" t="s">
        <v>256</v>
      </c>
      <c r="B2468">
        <v>13</v>
      </c>
      <c r="C2468">
        <v>6</v>
      </c>
      <c r="D2468">
        <v>34.4</v>
      </c>
      <c r="E2468">
        <v>6</v>
      </c>
      <c r="F2468">
        <v>63</v>
      </c>
      <c r="G2468">
        <v>17.100000000000001</v>
      </c>
      <c r="H2468">
        <v>22.8</v>
      </c>
      <c r="I2468">
        <v>7.3</v>
      </c>
      <c r="J2468">
        <v>61.7</v>
      </c>
    </row>
    <row r="2469" spans="1:10" x14ac:dyDescent="0.3">
      <c r="A2469" t="s">
        <v>257</v>
      </c>
      <c r="B2469">
        <v>13</v>
      </c>
      <c r="C2469">
        <v>2</v>
      </c>
      <c r="D2469">
        <v>3.5</v>
      </c>
      <c r="E2469">
        <v>2</v>
      </c>
      <c r="F2469">
        <v>2</v>
      </c>
      <c r="G2469">
        <v>2</v>
      </c>
      <c r="H2469">
        <v>3.5</v>
      </c>
      <c r="I2469">
        <v>2</v>
      </c>
      <c r="J2469">
        <v>2</v>
      </c>
    </row>
    <row r="2470" spans="1:10" x14ac:dyDescent="0.3">
      <c r="A2470" t="s">
        <v>258</v>
      </c>
      <c r="B2470">
        <v>13</v>
      </c>
      <c r="C2470">
        <v>0</v>
      </c>
      <c r="D2470">
        <v>0</v>
      </c>
      <c r="E2470">
        <v>0</v>
      </c>
      <c r="F2470">
        <v>0</v>
      </c>
      <c r="G2470">
        <v>0</v>
      </c>
      <c r="H2470">
        <v>0</v>
      </c>
      <c r="I2470">
        <v>0</v>
      </c>
      <c r="J2470">
        <v>0</v>
      </c>
    </row>
    <row r="2471" spans="1:10" x14ac:dyDescent="0.3">
      <c r="A2471" t="s">
        <v>259</v>
      </c>
      <c r="B2471">
        <v>13</v>
      </c>
      <c r="C2471">
        <v>0</v>
      </c>
      <c r="D2471">
        <v>0</v>
      </c>
      <c r="E2471">
        <v>0</v>
      </c>
      <c r="F2471">
        <v>0</v>
      </c>
      <c r="G2471">
        <v>0</v>
      </c>
      <c r="H2471">
        <v>0</v>
      </c>
      <c r="I2471">
        <v>0</v>
      </c>
      <c r="J2471">
        <v>0</v>
      </c>
    </row>
    <row r="2472" spans="1:10" x14ac:dyDescent="0.3">
      <c r="A2472" t="s">
        <v>260</v>
      </c>
      <c r="B2472">
        <v>13</v>
      </c>
      <c r="C2472">
        <v>3</v>
      </c>
      <c r="D2472">
        <v>3</v>
      </c>
      <c r="E2472">
        <v>3</v>
      </c>
      <c r="F2472">
        <v>3</v>
      </c>
      <c r="G2472">
        <v>3</v>
      </c>
      <c r="H2472">
        <v>3</v>
      </c>
      <c r="I2472">
        <v>3</v>
      </c>
      <c r="J2472">
        <v>3</v>
      </c>
    </row>
    <row r="2473" spans="1:10" x14ac:dyDescent="0.3">
      <c r="A2473" t="s">
        <v>261</v>
      </c>
      <c r="B2473">
        <v>13</v>
      </c>
      <c r="C2473">
        <v>3</v>
      </c>
      <c r="D2473">
        <v>4.4000000000000004</v>
      </c>
      <c r="E2473">
        <v>3</v>
      </c>
      <c r="F2473">
        <v>3.6</v>
      </c>
      <c r="G2473">
        <v>3</v>
      </c>
      <c r="H2473">
        <v>4.4000000000000004</v>
      </c>
      <c r="I2473">
        <v>3</v>
      </c>
      <c r="J2473">
        <v>3.3</v>
      </c>
    </row>
    <row r="2474" spans="1:10" x14ac:dyDescent="0.3">
      <c r="A2474" t="s">
        <v>262</v>
      </c>
      <c r="B2474">
        <v>13</v>
      </c>
      <c r="C2474">
        <v>4</v>
      </c>
      <c r="D2474">
        <v>2.6</v>
      </c>
      <c r="E2474">
        <v>4.4000000000000004</v>
      </c>
      <c r="F2474">
        <v>5.6</v>
      </c>
      <c r="G2474">
        <v>4.9000000000000004</v>
      </c>
      <c r="H2474">
        <v>2.2000000000000002</v>
      </c>
      <c r="I2474">
        <v>4.7</v>
      </c>
      <c r="J2474">
        <v>5.6</v>
      </c>
    </row>
    <row r="2475" spans="1:10" x14ac:dyDescent="0.3">
      <c r="A2475" t="s">
        <v>263</v>
      </c>
      <c r="B2475">
        <v>13</v>
      </c>
      <c r="C2475">
        <v>0</v>
      </c>
      <c r="D2475">
        <v>3</v>
      </c>
      <c r="E2475">
        <v>0</v>
      </c>
      <c r="F2475">
        <v>0</v>
      </c>
      <c r="G2475">
        <v>0</v>
      </c>
      <c r="H2475">
        <v>3</v>
      </c>
      <c r="I2475">
        <v>0</v>
      </c>
      <c r="J2475">
        <v>0</v>
      </c>
    </row>
    <row r="2476" spans="1:10" x14ac:dyDescent="0.3">
      <c r="A2476" t="s">
        <v>264</v>
      </c>
      <c r="B2476">
        <v>13</v>
      </c>
      <c r="J2476">
        <v>7</v>
      </c>
    </row>
    <row r="2477" spans="1:10" x14ac:dyDescent="0.3">
      <c r="A2477" t="s">
        <v>265</v>
      </c>
      <c r="B2477">
        <v>13</v>
      </c>
      <c r="J2477">
        <v>34</v>
      </c>
    </row>
    <row r="2478" spans="1:10" x14ac:dyDescent="0.3">
      <c r="A2478" t="s">
        <v>266</v>
      </c>
      <c r="B2478">
        <v>13</v>
      </c>
      <c r="J2478">
        <v>0</v>
      </c>
    </row>
    <row r="2479" spans="1:10" x14ac:dyDescent="0.3">
      <c r="A2479" t="s">
        <v>267</v>
      </c>
      <c r="B2479">
        <v>13</v>
      </c>
      <c r="C2479">
        <v>13</v>
      </c>
      <c r="D2479">
        <v>27</v>
      </c>
      <c r="E2479">
        <v>13.4</v>
      </c>
      <c r="F2479">
        <v>26.6</v>
      </c>
      <c r="G2479">
        <v>25</v>
      </c>
      <c r="H2479">
        <v>26.6</v>
      </c>
      <c r="I2479">
        <v>14.7</v>
      </c>
      <c r="J2479">
        <v>70.599999999999994</v>
      </c>
    </row>
    <row r="2480" spans="1:10" x14ac:dyDescent="0.3">
      <c r="A2480" t="s">
        <v>268</v>
      </c>
      <c r="B2480">
        <v>13</v>
      </c>
      <c r="C2480">
        <v>0</v>
      </c>
      <c r="D2480">
        <v>1</v>
      </c>
      <c r="E2480">
        <v>0</v>
      </c>
      <c r="F2480">
        <v>1</v>
      </c>
      <c r="G2480">
        <v>1</v>
      </c>
      <c r="H2480">
        <v>1</v>
      </c>
      <c r="I2480">
        <v>0</v>
      </c>
      <c r="J2480">
        <v>1</v>
      </c>
    </row>
    <row r="2481" spans="1:10" x14ac:dyDescent="0.3">
      <c r="A2481" t="s">
        <v>269</v>
      </c>
      <c r="B2481">
        <v>13</v>
      </c>
      <c r="C2481">
        <v>1</v>
      </c>
      <c r="D2481">
        <v>1</v>
      </c>
      <c r="E2481">
        <v>1</v>
      </c>
      <c r="F2481">
        <v>1</v>
      </c>
      <c r="G2481">
        <v>1</v>
      </c>
      <c r="H2481">
        <v>1</v>
      </c>
      <c r="I2481">
        <v>1</v>
      </c>
      <c r="J2481">
        <v>1</v>
      </c>
    </row>
    <row r="2482" spans="1:10" x14ac:dyDescent="0.3">
      <c r="A2482" t="s">
        <v>270</v>
      </c>
      <c r="B2482">
        <v>13</v>
      </c>
      <c r="C2482">
        <v>71</v>
      </c>
      <c r="D2482">
        <v>84</v>
      </c>
      <c r="E2482">
        <v>125.4</v>
      </c>
      <c r="F2482">
        <v>138.80000000000001</v>
      </c>
      <c r="G2482">
        <v>71</v>
      </c>
      <c r="H2482">
        <v>96</v>
      </c>
      <c r="I2482">
        <v>125.4</v>
      </c>
      <c r="J2482">
        <v>0.4</v>
      </c>
    </row>
    <row r="2483" spans="1:10" x14ac:dyDescent="0.3">
      <c r="A2483" t="s">
        <v>271</v>
      </c>
      <c r="B2483">
        <v>13</v>
      </c>
      <c r="C2483">
        <v>84</v>
      </c>
      <c r="D2483">
        <v>125.4</v>
      </c>
      <c r="E2483">
        <v>138.80000000000001</v>
      </c>
      <c r="F2483">
        <v>71</v>
      </c>
      <c r="G2483">
        <v>96</v>
      </c>
      <c r="H2483">
        <v>125.4</v>
      </c>
      <c r="I2483">
        <v>0.4</v>
      </c>
      <c r="J2483">
        <v>71</v>
      </c>
    </row>
    <row r="2484" spans="1:10" x14ac:dyDescent="0.3">
      <c r="A2484" t="s">
        <v>272</v>
      </c>
      <c r="B2484">
        <v>13</v>
      </c>
      <c r="C2484">
        <v>77</v>
      </c>
      <c r="D2484">
        <v>118.4</v>
      </c>
      <c r="E2484">
        <v>131.4</v>
      </c>
      <c r="F2484">
        <v>61.8</v>
      </c>
      <c r="G2484">
        <v>88.1</v>
      </c>
      <c r="H2484">
        <v>118.8</v>
      </c>
      <c r="I2484">
        <v>132.69999999999999</v>
      </c>
      <c r="J2484">
        <v>62.1</v>
      </c>
    </row>
    <row r="2485" spans="1:10" x14ac:dyDescent="0.3">
      <c r="A2485" t="s">
        <v>273</v>
      </c>
      <c r="B2485">
        <v>13</v>
      </c>
      <c r="C2485">
        <v>77</v>
      </c>
      <c r="D2485">
        <v>118.4</v>
      </c>
      <c r="E2485">
        <v>131.4</v>
      </c>
      <c r="F2485">
        <v>61.8</v>
      </c>
      <c r="G2485">
        <v>88.1</v>
      </c>
      <c r="H2485">
        <v>118.8</v>
      </c>
      <c r="I2485">
        <v>132.69999999999999</v>
      </c>
      <c r="J2485">
        <v>62.1</v>
      </c>
    </row>
    <row r="2486" spans="1:10" x14ac:dyDescent="0.3">
      <c r="A2486" t="s">
        <v>274</v>
      </c>
      <c r="B2486">
        <v>13</v>
      </c>
      <c r="C2486">
        <v>115</v>
      </c>
      <c r="D2486">
        <v>128</v>
      </c>
      <c r="E2486">
        <v>29.4</v>
      </c>
      <c r="F2486">
        <v>42.8</v>
      </c>
      <c r="G2486">
        <v>115</v>
      </c>
      <c r="H2486">
        <v>0</v>
      </c>
      <c r="I2486">
        <v>29.4</v>
      </c>
      <c r="J2486">
        <v>44.4</v>
      </c>
    </row>
    <row r="2487" spans="1:10" x14ac:dyDescent="0.3">
      <c r="A2487" t="s">
        <v>275</v>
      </c>
      <c r="B2487">
        <v>13</v>
      </c>
      <c r="C2487">
        <v>121</v>
      </c>
      <c r="D2487">
        <v>22.4</v>
      </c>
      <c r="E2487">
        <v>35.4</v>
      </c>
      <c r="F2487">
        <v>105.8</v>
      </c>
      <c r="G2487">
        <v>132.1</v>
      </c>
      <c r="H2487">
        <v>22.8</v>
      </c>
      <c r="I2487">
        <v>36.700000000000003</v>
      </c>
      <c r="J2487">
        <v>106.1</v>
      </c>
    </row>
    <row r="2488" spans="1:10" x14ac:dyDescent="0.3">
      <c r="A2488" t="s">
        <v>276</v>
      </c>
      <c r="B2488">
        <v>13</v>
      </c>
      <c r="C2488">
        <v>121</v>
      </c>
      <c r="D2488">
        <v>22.4</v>
      </c>
      <c r="E2488">
        <v>35.4</v>
      </c>
      <c r="F2488">
        <v>105.8</v>
      </c>
      <c r="G2488">
        <v>132.1</v>
      </c>
      <c r="H2488">
        <v>22.8</v>
      </c>
      <c r="I2488">
        <v>36.700000000000003</v>
      </c>
      <c r="J2488">
        <v>106.1</v>
      </c>
    </row>
    <row r="2489" spans="1:10" x14ac:dyDescent="0.3">
      <c r="A2489" t="s">
        <v>567</v>
      </c>
      <c r="B2489">
        <v>13</v>
      </c>
      <c r="C2489">
        <v>2.7</v>
      </c>
      <c r="D2489">
        <v>67.599999999999994</v>
      </c>
      <c r="E2489">
        <v>4.8</v>
      </c>
      <c r="F2489">
        <v>34.299999999999997</v>
      </c>
      <c r="G2489">
        <v>18.399999999999999</v>
      </c>
      <c r="H2489">
        <v>51.4</v>
      </c>
      <c r="I2489">
        <v>7.3</v>
      </c>
      <c r="J2489">
        <v>31.8</v>
      </c>
    </row>
    <row r="2490" spans="1:10" x14ac:dyDescent="0.3">
      <c r="A2490" t="s">
        <v>254</v>
      </c>
      <c r="B2490">
        <v>17</v>
      </c>
      <c r="C2490">
        <v>111</v>
      </c>
      <c r="D2490">
        <v>112</v>
      </c>
      <c r="E2490">
        <v>212</v>
      </c>
      <c r="F2490">
        <v>211</v>
      </c>
      <c r="G2490">
        <v>121</v>
      </c>
      <c r="H2490">
        <v>122</v>
      </c>
      <c r="I2490">
        <v>213</v>
      </c>
      <c r="J2490">
        <v>214</v>
      </c>
    </row>
    <row r="2491" spans="1:10" x14ac:dyDescent="0.3">
      <c r="A2491" t="s">
        <v>255</v>
      </c>
      <c r="B2491">
        <v>17</v>
      </c>
      <c r="C2491">
        <v>10</v>
      </c>
      <c r="D2491">
        <v>15</v>
      </c>
      <c r="F2491">
        <v>8</v>
      </c>
      <c r="G2491">
        <v>6</v>
      </c>
      <c r="H2491">
        <v>15</v>
      </c>
      <c r="J2491">
        <v>8</v>
      </c>
    </row>
    <row r="2492" spans="1:10" x14ac:dyDescent="0.3">
      <c r="A2492" t="s">
        <v>256</v>
      </c>
      <c r="B2492">
        <v>17</v>
      </c>
      <c r="C2492">
        <v>18</v>
      </c>
      <c r="D2492">
        <v>27.3</v>
      </c>
      <c r="F2492">
        <v>45</v>
      </c>
      <c r="G2492">
        <v>6.3</v>
      </c>
      <c r="H2492">
        <v>38.200000000000003</v>
      </c>
      <c r="J2492">
        <v>46</v>
      </c>
    </row>
    <row r="2493" spans="1:10" x14ac:dyDescent="0.3">
      <c r="A2493" t="s">
        <v>257</v>
      </c>
      <c r="B2493">
        <v>17</v>
      </c>
      <c r="C2493">
        <v>2.5</v>
      </c>
      <c r="D2493">
        <v>2.5</v>
      </c>
      <c r="F2493">
        <v>3.5</v>
      </c>
      <c r="G2493">
        <v>2.5</v>
      </c>
      <c r="H2493">
        <v>2.5</v>
      </c>
      <c r="J2493">
        <v>2.5</v>
      </c>
    </row>
    <row r="2494" spans="1:10" x14ac:dyDescent="0.3">
      <c r="A2494" t="s">
        <v>258</v>
      </c>
      <c r="B2494">
        <v>17</v>
      </c>
      <c r="C2494">
        <v>0</v>
      </c>
      <c r="D2494">
        <v>0</v>
      </c>
      <c r="F2494">
        <v>0</v>
      </c>
      <c r="G2494">
        <v>0</v>
      </c>
      <c r="H2494">
        <v>0</v>
      </c>
      <c r="J2494">
        <v>0</v>
      </c>
    </row>
    <row r="2495" spans="1:10" x14ac:dyDescent="0.3">
      <c r="A2495" t="s">
        <v>259</v>
      </c>
      <c r="B2495">
        <v>17</v>
      </c>
      <c r="C2495">
        <v>0</v>
      </c>
      <c r="D2495">
        <v>0</v>
      </c>
      <c r="F2495">
        <v>0</v>
      </c>
      <c r="G2495">
        <v>0</v>
      </c>
      <c r="H2495">
        <v>0</v>
      </c>
      <c r="J2495">
        <v>0</v>
      </c>
    </row>
    <row r="2496" spans="1:10" x14ac:dyDescent="0.3">
      <c r="A2496" t="s">
        <v>260</v>
      </c>
      <c r="B2496">
        <v>17</v>
      </c>
      <c r="C2496">
        <v>3</v>
      </c>
      <c r="D2496">
        <v>3</v>
      </c>
      <c r="F2496">
        <v>3</v>
      </c>
      <c r="G2496">
        <v>3</v>
      </c>
      <c r="H2496">
        <v>3</v>
      </c>
      <c r="J2496">
        <v>3</v>
      </c>
    </row>
    <row r="2497" spans="1:10" x14ac:dyDescent="0.3">
      <c r="A2497" t="s">
        <v>261</v>
      </c>
      <c r="B2497">
        <v>17</v>
      </c>
      <c r="C2497">
        <v>3</v>
      </c>
      <c r="D2497">
        <v>4.4000000000000004</v>
      </c>
      <c r="F2497">
        <v>3.3</v>
      </c>
      <c r="G2497">
        <v>3</v>
      </c>
      <c r="H2497">
        <v>4.4000000000000004</v>
      </c>
      <c r="J2497">
        <v>3</v>
      </c>
    </row>
    <row r="2498" spans="1:10" x14ac:dyDescent="0.3">
      <c r="A2498" t="s">
        <v>262</v>
      </c>
      <c r="B2498">
        <v>17</v>
      </c>
      <c r="C2498">
        <v>3.8</v>
      </c>
      <c r="D2498">
        <v>2.2000000000000002</v>
      </c>
      <c r="F2498">
        <v>4.7</v>
      </c>
      <c r="G2498">
        <v>4.7</v>
      </c>
      <c r="H2498">
        <v>2.1</v>
      </c>
      <c r="J2498">
        <v>4.3</v>
      </c>
    </row>
    <row r="2499" spans="1:10" x14ac:dyDescent="0.3">
      <c r="A2499" t="s">
        <v>263</v>
      </c>
      <c r="B2499">
        <v>17</v>
      </c>
      <c r="C2499">
        <v>0</v>
      </c>
      <c r="D2499">
        <v>3</v>
      </c>
      <c r="F2499">
        <v>0</v>
      </c>
      <c r="G2499">
        <v>0</v>
      </c>
      <c r="H2499">
        <v>3</v>
      </c>
      <c r="J2499">
        <v>0</v>
      </c>
    </row>
    <row r="2500" spans="1:10" x14ac:dyDescent="0.3">
      <c r="A2500" t="s">
        <v>264</v>
      </c>
      <c r="B2500">
        <v>17</v>
      </c>
      <c r="F2500">
        <v>7</v>
      </c>
      <c r="H2500">
        <v>7</v>
      </c>
      <c r="J2500">
        <v>7</v>
      </c>
    </row>
    <row r="2501" spans="1:10" x14ac:dyDescent="0.3">
      <c r="A2501" t="s">
        <v>265</v>
      </c>
      <c r="B2501">
        <v>17</v>
      </c>
      <c r="F2501">
        <v>35</v>
      </c>
      <c r="H2501">
        <v>26</v>
      </c>
      <c r="J2501">
        <v>36</v>
      </c>
    </row>
    <row r="2502" spans="1:10" x14ac:dyDescent="0.3">
      <c r="A2502" t="s">
        <v>266</v>
      </c>
      <c r="B2502">
        <v>17</v>
      </c>
      <c r="F2502">
        <v>0</v>
      </c>
      <c r="H2502">
        <v>0</v>
      </c>
      <c r="J2502">
        <v>0</v>
      </c>
    </row>
    <row r="2503" spans="1:10" x14ac:dyDescent="0.3">
      <c r="A2503" t="s">
        <v>267</v>
      </c>
      <c r="B2503">
        <v>17</v>
      </c>
      <c r="C2503">
        <v>16.8</v>
      </c>
      <c r="D2503">
        <v>21.6</v>
      </c>
      <c r="F2503">
        <v>50</v>
      </c>
      <c r="G2503">
        <v>13.7</v>
      </c>
      <c r="H2503">
        <v>39.5</v>
      </c>
      <c r="J2503">
        <v>50.3</v>
      </c>
    </row>
    <row r="2504" spans="1:10" x14ac:dyDescent="0.3">
      <c r="A2504" t="s">
        <v>268</v>
      </c>
      <c r="B2504">
        <v>17</v>
      </c>
      <c r="C2504">
        <v>1</v>
      </c>
      <c r="D2504">
        <v>1</v>
      </c>
      <c r="F2504">
        <v>1</v>
      </c>
      <c r="G2504">
        <v>0</v>
      </c>
      <c r="H2504">
        <v>1</v>
      </c>
      <c r="J2504">
        <v>1</v>
      </c>
    </row>
    <row r="2505" spans="1:10" x14ac:dyDescent="0.3">
      <c r="A2505" t="s">
        <v>269</v>
      </c>
      <c r="B2505">
        <v>17</v>
      </c>
      <c r="C2505">
        <v>1</v>
      </c>
      <c r="D2505">
        <v>1</v>
      </c>
      <c r="F2505">
        <v>1</v>
      </c>
      <c r="G2505">
        <v>1</v>
      </c>
      <c r="H2505">
        <v>1</v>
      </c>
      <c r="J2505">
        <v>1</v>
      </c>
    </row>
    <row r="2506" spans="1:10" x14ac:dyDescent="0.3">
      <c r="A2506" t="s">
        <v>270</v>
      </c>
      <c r="B2506">
        <v>17</v>
      </c>
      <c r="C2506">
        <v>0</v>
      </c>
      <c r="D2506">
        <v>24.8</v>
      </c>
      <c r="F2506">
        <v>58.7</v>
      </c>
      <c r="G2506">
        <v>0</v>
      </c>
      <c r="H2506">
        <v>14</v>
      </c>
      <c r="J2506">
        <v>111.7</v>
      </c>
    </row>
    <row r="2507" spans="1:10" x14ac:dyDescent="0.3">
      <c r="A2507" t="s">
        <v>271</v>
      </c>
      <c r="B2507">
        <v>17</v>
      </c>
      <c r="C2507">
        <v>24.8</v>
      </c>
      <c r="D2507">
        <v>58.7</v>
      </c>
      <c r="F2507">
        <v>111.7</v>
      </c>
      <c r="G2507">
        <v>14</v>
      </c>
      <c r="H2507">
        <v>58.7</v>
      </c>
      <c r="J2507">
        <v>0</v>
      </c>
    </row>
    <row r="2508" spans="1:10" x14ac:dyDescent="0.3">
      <c r="A2508" t="s">
        <v>272</v>
      </c>
      <c r="B2508">
        <v>17</v>
      </c>
      <c r="C2508">
        <v>18</v>
      </c>
      <c r="D2508">
        <v>52.1</v>
      </c>
      <c r="F2508">
        <v>103.7</v>
      </c>
      <c r="G2508">
        <v>6.3</v>
      </c>
      <c r="H2508">
        <v>52.2</v>
      </c>
      <c r="J2508">
        <v>157.69999999999999</v>
      </c>
    </row>
    <row r="2509" spans="1:10" x14ac:dyDescent="0.3">
      <c r="A2509" t="s">
        <v>273</v>
      </c>
      <c r="B2509">
        <v>17</v>
      </c>
      <c r="C2509">
        <v>18</v>
      </c>
      <c r="D2509">
        <v>52.1</v>
      </c>
      <c r="F2509">
        <v>103.7</v>
      </c>
      <c r="G2509">
        <v>6.3</v>
      </c>
      <c r="H2509">
        <v>26.2</v>
      </c>
      <c r="J2509">
        <v>157.69999999999999</v>
      </c>
    </row>
    <row r="2510" spans="1:10" x14ac:dyDescent="0.3">
      <c r="A2510" t="s">
        <v>274</v>
      </c>
      <c r="B2510">
        <v>17</v>
      </c>
      <c r="C2510">
        <v>140.19999999999999</v>
      </c>
      <c r="D2510">
        <v>0</v>
      </c>
      <c r="F2510">
        <v>33.9</v>
      </c>
      <c r="G2510">
        <v>140.19999999999999</v>
      </c>
      <c r="H2510">
        <v>154.19999999999999</v>
      </c>
      <c r="J2510">
        <v>86.9</v>
      </c>
    </row>
    <row r="2511" spans="1:10" x14ac:dyDescent="0.3">
      <c r="A2511" t="s">
        <v>275</v>
      </c>
      <c r="B2511">
        <v>17</v>
      </c>
      <c r="C2511">
        <v>158.19999999999999</v>
      </c>
      <c r="D2511">
        <v>27.3</v>
      </c>
      <c r="F2511">
        <v>78.900000000000006</v>
      </c>
      <c r="G2511">
        <v>146.5</v>
      </c>
      <c r="H2511">
        <v>27.4</v>
      </c>
      <c r="J2511">
        <v>132.9</v>
      </c>
    </row>
    <row r="2512" spans="1:10" x14ac:dyDescent="0.3">
      <c r="A2512" t="s">
        <v>276</v>
      </c>
      <c r="B2512">
        <v>17</v>
      </c>
      <c r="C2512">
        <v>158.19999999999999</v>
      </c>
      <c r="D2512">
        <v>27.3</v>
      </c>
      <c r="F2512">
        <v>78.900000000000006</v>
      </c>
      <c r="G2512">
        <v>146.5</v>
      </c>
      <c r="H2512">
        <v>1.4</v>
      </c>
      <c r="J2512">
        <v>132.9</v>
      </c>
    </row>
    <row r="2513" spans="1:10" x14ac:dyDescent="0.3">
      <c r="A2513" t="s">
        <v>567</v>
      </c>
      <c r="B2513">
        <v>17</v>
      </c>
      <c r="C2513">
        <v>5.8</v>
      </c>
      <c r="D2513">
        <v>42.4</v>
      </c>
      <c r="F2513">
        <v>9.5</v>
      </c>
      <c r="G2513">
        <v>6.3</v>
      </c>
      <c r="H2513">
        <v>41.1</v>
      </c>
      <c r="J2513">
        <v>11.7</v>
      </c>
    </row>
    <row r="2514" spans="1:10" x14ac:dyDescent="0.3">
      <c r="A2514" t="s">
        <v>254</v>
      </c>
      <c r="B2514">
        <v>21</v>
      </c>
      <c r="C2514">
        <v>111</v>
      </c>
      <c r="D2514">
        <v>112</v>
      </c>
      <c r="E2514">
        <v>211</v>
      </c>
      <c r="F2514">
        <v>212</v>
      </c>
      <c r="G2514">
        <v>121</v>
      </c>
      <c r="H2514">
        <v>122</v>
      </c>
      <c r="I2514">
        <v>221</v>
      </c>
      <c r="J2514">
        <v>222</v>
      </c>
    </row>
    <row r="2515" spans="1:10" x14ac:dyDescent="0.3">
      <c r="A2515" t="s">
        <v>255</v>
      </c>
      <c r="B2515">
        <v>21</v>
      </c>
      <c r="C2515">
        <v>6</v>
      </c>
      <c r="D2515">
        <v>20</v>
      </c>
      <c r="E2515">
        <v>6</v>
      </c>
      <c r="F2515">
        <v>7</v>
      </c>
      <c r="G2515">
        <v>6</v>
      </c>
      <c r="H2515">
        <v>20</v>
      </c>
      <c r="I2515">
        <v>6</v>
      </c>
      <c r="J2515">
        <v>7</v>
      </c>
    </row>
    <row r="2516" spans="1:10" x14ac:dyDescent="0.3">
      <c r="A2516" t="s">
        <v>256</v>
      </c>
      <c r="B2516">
        <v>21</v>
      </c>
      <c r="C2516">
        <v>7.3</v>
      </c>
      <c r="D2516">
        <v>56</v>
      </c>
      <c r="E2516">
        <v>6.7</v>
      </c>
      <c r="F2516">
        <v>37.9</v>
      </c>
      <c r="G2516">
        <v>9.1999999999999993</v>
      </c>
      <c r="H2516">
        <v>53.3</v>
      </c>
      <c r="I2516">
        <v>6.7</v>
      </c>
      <c r="J2516">
        <v>38</v>
      </c>
    </row>
    <row r="2517" spans="1:10" x14ac:dyDescent="0.3">
      <c r="A2517" t="s">
        <v>257</v>
      </c>
      <c r="B2517">
        <v>21</v>
      </c>
      <c r="C2517">
        <v>2.5</v>
      </c>
      <c r="D2517">
        <v>3</v>
      </c>
      <c r="E2517">
        <v>2.5</v>
      </c>
      <c r="F2517">
        <v>3</v>
      </c>
      <c r="G2517">
        <v>2.5</v>
      </c>
      <c r="H2517">
        <v>3</v>
      </c>
      <c r="I2517">
        <v>2.5</v>
      </c>
      <c r="J2517">
        <v>3</v>
      </c>
    </row>
    <row r="2518" spans="1:10" x14ac:dyDescent="0.3">
      <c r="A2518" t="s">
        <v>258</v>
      </c>
      <c r="B2518">
        <v>21</v>
      </c>
      <c r="C2518">
        <v>0</v>
      </c>
      <c r="D2518">
        <v>0</v>
      </c>
      <c r="E2518">
        <v>0</v>
      </c>
      <c r="F2518">
        <v>0</v>
      </c>
      <c r="G2518">
        <v>0</v>
      </c>
      <c r="H2518">
        <v>0</v>
      </c>
      <c r="I2518">
        <v>0</v>
      </c>
      <c r="J2518">
        <v>0</v>
      </c>
    </row>
    <row r="2519" spans="1:10" x14ac:dyDescent="0.3">
      <c r="A2519" t="s">
        <v>259</v>
      </c>
      <c r="B2519">
        <v>21</v>
      </c>
      <c r="C2519">
        <v>0</v>
      </c>
      <c r="D2519">
        <v>0</v>
      </c>
      <c r="E2519">
        <v>0</v>
      </c>
      <c r="F2519">
        <v>0</v>
      </c>
      <c r="G2519">
        <v>0</v>
      </c>
      <c r="H2519">
        <v>0</v>
      </c>
      <c r="I2519">
        <v>0</v>
      </c>
      <c r="J2519">
        <v>0</v>
      </c>
    </row>
    <row r="2520" spans="1:10" x14ac:dyDescent="0.3">
      <c r="A2520" t="s">
        <v>260</v>
      </c>
      <c r="B2520">
        <v>21</v>
      </c>
      <c r="C2520">
        <v>3</v>
      </c>
      <c r="D2520">
        <v>3</v>
      </c>
      <c r="E2520">
        <v>3</v>
      </c>
      <c r="F2520">
        <v>3</v>
      </c>
      <c r="G2520">
        <v>3</v>
      </c>
      <c r="H2520">
        <v>3</v>
      </c>
      <c r="I2520">
        <v>3</v>
      </c>
      <c r="J2520">
        <v>3</v>
      </c>
    </row>
    <row r="2521" spans="1:10" x14ac:dyDescent="0.3">
      <c r="A2521" t="s">
        <v>261</v>
      </c>
      <c r="B2521">
        <v>21</v>
      </c>
      <c r="C2521">
        <v>3</v>
      </c>
      <c r="D2521">
        <v>4.3</v>
      </c>
      <c r="E2521">
        <v>3</v>
      </c>
      <c r="F2521">
        <v>4.4000000000000004</v>
      </c>
      <c r="G2521">
        <v>3</v>
      </c>
      <c r="H2521">
        <v>4.3</v>
      </c>
      <c r="I2521">
        <v>3</v>
      </c>
      <c r="J2521">
        <v>4.4000000000000004</v>
      </c>
    </row>
    <row r="2522" spans="1:10" x14ac:dyDescent="0.3">
      <c r="A2522" t="s">
        <v>262</v>
      </c>
      <c r="B2522">
        <v>21</v>
      </c>
      <c r="C2522">
        <v>4.7</v>
      </c>
      <c r="D2522">
        <v>3.9</v>
      </c>
      <c r="E2522">
        <v>6</v>
      </c>
      <c r="F2522">
        <v>2.8</v>
      </c>
      <c r="G2522">
        <v>5.6</v>
      </c>
      <c r="H2522">
        <v>3.8</v>
      </c>
      <c r="I2522">
        <v>6</v>
      </c>
      <c r="J2522">
        <v>2.7</v>
      </c>
    </row>
    <row r="2523" spans="1:10" x14ac:dyDescent="0.3">
      <c r="A2523" t="s">
        <v>263</v>
      </c>
      <c r="B2523">
        <v>21</v>
      </c>
      <c r="C2523">
        <v>0</v>
      </c>
      <c r="D2523">
        <v>3</v>
      </c>
      <c r="E2523">
        <v>0</v>
      </c>
      <c r="F2523">
        <v>3</v>
      </c>
      <c r="G2523">
        <v>0</v>
      </c>
      <c r="H2523">
        <v>3</v>
      </c>
      <c r="I2523">
        <v>0</v>
      </c>
      <c r="J2523">
        <v>3</v>
      </c>
    </row>
    <row r="2524" spans="1:10" x14ac:dyDescent="0.3">
      <c r="A2524" t="s">
        <v>264</v>
      </c>
      <c r="B2524">
        <v>21</v>
      </c>
      <c r="D2524">
        <v>7</v>
      </c>
      <c r="F2524">
        <v>7</v>
      </c>
      <c r="H2524">
        <v>7</v>
      </c>
      <c r="J2524">
        <v>7</v>
      </c>
    </row>
    <row r="2525" spans="1:10" x14ac:dyDescent="0.3">
      <c r="A2525" t="s">
        <v>265</v>
      </c>
      <c r="B2525">
        <v>21</v>
      </c>
      <c r="D2525">
        <v>45</v>
      </c>
      <c r="F2525">
        <v>24</v>
      </c>
      <c r="H2525">
        <v>41</v>
      </c>
      <c r="J2525">
        <v>27</v>
      </c>
    </row>
    <row r="2526" spans="1:10" x14ac:dyDescent="0.3">
      <c r="A2526" t="s">
        <v>266</v>
      </c>
      <c r="B2526">
        <v>21</v>
      </c>
      <c r="D2526">
        <v>0</v>
      </c>
      <c r="F2526">
        <v>0</v>
      </c>
      <c r="H2526">
        <v>0</v>
      </c>
      <c r="J2526">
        <v>0</v>
      </c>
    </row>
    <row r="2527" spans="1:10" x14ac:dyDescent="0.3">
      <c r="A2527" t="s">
        <v>267</v>
      </c>
      <c r="B2527">
        <v>21</v>
      </c>
      <c r="C2527">
        <v>13.7</v>
      </c>
      <c r="D2527">
        <v>64.2</v>
      </c>
      <c r="E2527">
        <v>15.7</v>
      </c>
      <c r="F2527">
        <v>43.2</v>
      </c>
      <c r="G2527">
        <v>14.6</v>
      </c>
      <c r="H2527">
        <v>59.1</v>
      </c>
      <c r="I2527">
        <v>15.7</v>
      </c>
      <c r="J2527">
        <v>45.1</v>
      </c>
    </row>
    <row r="2528" spans="1:10" x14ac:dyDescent="0.3">
      <c r="A2528" t="s">
        <v>268</v>
      </c>
      <c r="B2528">
        <v>21</v>
      </c>
      <c r="C2528">
        <v>0</v>
      </c>
      <c r="D2528">
        <v>1</v>
      </c>
      <c r="E2528">
        <v>0</v>
      </c>
      <c r="F2528">
        <v>1</v>
      </c>
      <c r="G2528">
        <v>0</v>
      </c>
      <c r="H2528">
        <v>1</v>
      </c>
      <c r="I2528">
        <v>0</v>
      </c>
      <c r="J2528">
        <v>1</v>
      </c>
    </row>
    <row r="2529" spans="1:10" x14ac:dyDescent="0.3">
      <c r="A2529" t="s">
        <v>269</v>
      </c>
      <c r="B2529">
        <v>21</v>
      </c>
      <c r="C2529">
        <v>1</v>
      </c>
      <c r="D2529">
        <v>1</v>
      </c>
      <c r="E2529">
        <v>1</v>
      </c>
      <c r="F2529">
        <v>1</v>
      </c>
      <c r="G2529">
        <v>1</v>
      </c>
      <c r="H2529">
        <v>1</v>
      </c>
      <c r="I2529">
        <v>1</v>
      </c>
      <c r="J2529">
        <v>1</v>
      </c>
    </row>
    <row r="2530" spans="1:10" x14ac:dyDescent="0.3">
      <c r="A2530" t="s">
        <v>270</v>
      </c>
      <c r="B2530">
        <v>21</v>
      </c>
      <c r="C2530">
        <v>112.1</v>
      </c>
      <c r="D2530">
        <v>127.1</v>
      </c>
      <c r="E2530">
        <v>51.3</v>
      </c>
      <c r="F2530">
        <v>67</v>
      </c>
      <c r="G2530">
        <v>112.1</v>
      </c>
      <c r="H2530">
        <v>129.9</v>
      </c>
      <c r="I2530">
        <v>51.3</v>
      </c>
      <c r="J2530">
        <v>67</v>
      </c>
    </row>
    <row r="2531" spans="1:10" x14ac:dyDescent="0.3">
      <c r="A2531" t="s">
        <v>271</v>
      </c>
      <c r="B2531">
        <v>21</v>
      </c>
      <c r="C2531">
        <v>127.1</v>
      </c>
      <c r="D2531">
        <v>51.3</v>
      </c>
      <c r="E2531">
        <v>67</v>
      </c>
      <c r="F2531">
        <v>112.1</v>
      </c>
      <c r="G2531">
        <v>129.9</v>
      </c>
      <c r="H2531">
        <v>51.3</v>
      </c>
      <c r="I2531">
        <v>67</v>
      </c>
      <c r="J2531">
        <v>112.1</v>
      </c>
    </row>
    <row r="2532" spans="1:10" x14ac:dyDescent="0.3">
      <c r="A2532" t="s">
        <v>272</v>
      </c>
      <c r="B2532">
        <v>21</v>
      </c>
      <c r="C2532">
        <v>119.4</v>
      </c>
      <c r="D2532">
        <v>43.1</v>
      </c>
      <c r="E2532">
        <v>58</v>
      </c>
      <c r="F2532">
        <v>104.9</v>
      </c>
      <c r="G2532">
        <v>121.3</v>
      </c>
      <c r="H2532">
        <v>43.2</v>
      </c>
      <c r="I2532">
        <v>58</v>
      </c>
      <c r="J2532">
        <v>105</v>
      </c>
    </row>
    <row r="2533" spans="1:10" x14ac:dyDescent="0.3">
      <c r="A2533" t="s">
        <v>273</v>
      </c>
      <c r="B2533">
        <v>21</v>
      </c>
      <c r="C2533">
        <v>119.4</v>
      </c>
      <c r="D2533">
        <v>138.1</v>
      </c>
      <c r="E2533">
        <v>58</v>
      </c>
      <c r="F2533">
        <v>80.900000000000006</v>
      </c>
      <c r="G2533">
        <v>121.3</v>
      </c>
      <c r="H2533">
        <v>2.2000000000000002</v>
      </c>
      <c r="I2533">
        <v>58</v>
      </c>
      <c r="J2533">
        <v>78</v>
      </c>
    </row>
    <row r="2534" spans="1:10" x14ac:dyDescent="0.3">
      <c r="A2534" t="s">
        <v>274</v>
      </c>
      <c r="B2534">
        <v>21</v>
      </c>
      <c r="C2534">
        <v>45.1</v>
      </c>
      <c r="D2534">
        <v>60.1</v>
      </c>
      <c r="E2534">
        <v>124.3</v>
      </c>
      <c r="F2534">
        <v>0</v>
      </c>
      <c r="G2534">
        <v>45.1</v>
      </c>
      <c r="H2534">
        <v>62.9</v>
      </c>
      <c r="I2534">
        <v>124.3</v>
      </c>
      <c r="J2534">
        <v>0</v>
      </c>
    </row>
    <row r="2535" spans="1:10" x14ac:dyDescent="0.3">
      <c r="A2535" t="s">
        <v>275</v>
      </c>
      <c r="B2535">
        <v>21</v>
      </c>
      <c r="C2535">
        <v>52.4</v>
      </c>
      <c r="D2535">
        <v>116.1</v>
      </c>
      <c r="E2535">
        <v>131</v>
      </c>
      <c r="F2535">
        <v>37.9</v>
      </c>
      <c r="G2535">
        <v>54.3</v>
      </c>
      <c r="H2535">
        <v>116.2</v>
      </c>
      <c r="I2535">
        <v>131</v>
      </c>
      <c r="J2535">
        <v>38</v>
      </c>
    </row>
    <row r="2536" spans="1:10" x14ac:dyDescent="0.3">
      <c r="A2536" t="s">
        <v>276</v>
      </c>
      <c r="B2536">
        <v>21</v>
      </c>
      <c r="C2536">
        <v>52.4</v>
      </c>
      <c r="D2536">
        <v>71.099999999999994</v>
      </c>
      <c r="E2536">
        <v>131</v>
      </c>
      <c r="F2536">
        <v>13.9</v>
      </c>
      <c r="G2536">
        <v>54.3</v>
      </c>
      <c r="H2536">
        <v>75.2</v>
      </c>
      <c r="I2536">
        <v>131</v>
      </c>
      <c r="J2536">
        <v>11</v>
      </c>
    </row>
    <row r="2537" spans="1:10" x14ac:dyDescent="0.3">
      <c r="A2537" t="s">
        <v>567</v>
      </c>
      <c r="B2537">
        <v>21</v>
      </c>
      <c r="C2537">
        <v>5.8</v>
      </c>
      <c r="D2537">
        <v>59</v>
      </c>
      <c r="E2537">
        <v>1.2</v>
      </c>
      <c r="F2537">
        <v>41.9</v>
      </c>
      <c r="G2537">
        <v>9</v>
      </c>
      <c r="H2537">
        <v>55</v>
      </c>
      <c r="I2537">
        <v>3.9</v>
      </c>
      <c r="J2537">
        <v>39.299999999999997</v>
      </c>
    </row>
    <row r="2538" spans="1:10" x14ac:dyDescent="0.3">
      <c r="A2538" t="s">
        <v>254</v>
      </c>
      <c r="B2538">
        <v>25</v>
      </c>
      <c r="C2538">
        <v>111</v>
      </c>
      <c r="D2538">
        <v>112</v>
      </c>
      <c r="E2538">
        <v>211</v>
      </c>
      <c r="F2538">
        <v>212</v>
      </c>
      <c r="G2538">
        <v>121</v>
      </c>
      <c r="H2538">
        <v>122</v>
      </c>
      <c r="I2538">
        <v>221</v>
      </c>
      <c r="J2538">
        <v>222</v>
      </c>
    </row>
    <row r="2539" spans="1:10" x14ac:dyDescent="0.3">
      <c r="A2539" t="s">
        <v>255</v>
      </c>
      <c r="B2539">
        <v>25</v>
      </c>
      <c r="D2539">
        <v>25</v>
      </c>
      <c r="F2539">
        <v>10</v>
      </c>
      <c r="G2539">
        <v>5</v>
      </c>
      <c r="H2539">
        <v>25</v>
      </c>
    </row>
    <row r="2540" spans="1:10" x14ac:dyDescent="0.3">
      <c r="A2540" t="s">
        <v>256</v>
      </c>
      <c r="B2540">
        <v>25</v>
      </c>
      <c r="D2540">
        <v>100.7</v>
      </c>
      <c r="F2540">
        <v>26.7</v>
      </c>
      <c r="G2540">
        <v>10</v>
      </c>
      <c r="H2540">
        <v>84.7</v>
      </c>
    </row>
    <row r="2541" spans="1:10" x14ac:dyDescent="0.3">
      <c r="A2541" t="s">
        <v>257</v>
      </c>
      <c r="B2541">
        <v>25</v>
      </c>
      <c r="D2541">
        <v>2.5</v>
      </c>
      <c r="F2541">
        <v>2.5</v>
      </c>
      <c r="G2541">
        <v>2.5</v>
      </c>
      <c r="H2541">
        <v>2.5</v>
      </c>
    </row>
    <row r="2542" spans="1:10" x14ac:dyDescent="0.3">
      <c r="A2542" t="s">
        <v>258</v>
      </c>
      <c r="B2542">
        <v>25</v>
      </c>
      <c r="D2542">
        <v>0</v>
      </c>
      <c r="F2542">
        <v>0</v>
      </c>
      <c r="G2542">
        <v>0</v>
      </c>
      <c r="H2542">
        <v>0</v>
      </c>
    </row>
    <row r="2543" spans="1:10" x14ac:dyDescent="0.3">
      <c r="A2543" t="s">
        <v>259</v>
      </c>
      <c r="B2543">
        <v>25</v>
      </c>
      <c r="D2543">
        <v>0</v>
      </c>
      <c r="F2543">
        <v>0</v>
      </c>
      <c r="G2543">
        <v>0</v>
      </c>
      <c r="H2543">
        <v>0</v>
      </c>
    </row>
    <row r="2544" spans="1:10" x14ac:dyDescent="0.3">
      <c r="A2544" t="s">
        <v>260</v>
      </c>
      <c r="B2544">
        <v>25</v>
      </c>
      <c r="D2544">
        <v>3</v>
      </c>
      <c r="F2544">
        <v>3</v>
      </c>
      <c r="G2544">
        <v>3</v>
      </c>
      <c r="H2544">
        <v>3</v>
      </c>
    </row>
    <row r="2545" spans="1:8" x14ac:dyDescent="0.3">
      <c r="A2545" t="s">
        <v>261</v>
      </c>
      <c r="B2545">
        <v>25</v>
      </c>
      <c r="D2545">
        <v>4.4000000000000004</v>
      </c>
      <c r="F2545">
        <v>3</v>
      </c>
      <c r="G2545">
        <v>3</v>
      </c>
      <c r="H2545">
        <v>4.4000000000000004</v>
      </c>
    </row>
    <row r="2546" spans="1:8" x14ac:dyDescent="0.3">
      <c r="A2546" t="s">
        <v>262</v>
      </c>
      <c r="B2546">
        <v>25</v>
      </c>
      <c r="D2546">
        <v>1.9</v>
      </c>
      <c r="F2546">
        <v>3.3</v>
      </c>
      <c r="G2546">
        <v>3</v>
      </c>
      <c r="H2546">
        <v>1.9</v>
      </c>
    </row>
    <row r="2547" spans="1:8" x14ac:dyDescent="0.3">
      <c r="A2547" t="s">
        <v>263</v>
      </c>
      <c r="B2547">
        <v>25</v>
      </c>
      <c r="D2547">
        <v>3</v>
      </c>
      <c r="F2547">
        <v>0</v>
      </c>
      <c r="G2547">
        <v>0</v>
      </c>
      <c r="H2547">
        <v>3</v>
      </c>
    </row>
    <row r="2548" spans="1:8" x14ac:dyDescent="0.3">
      <c r="A2548" t="s">
        <v>264</v>
      </c>
      <c r="B2548">
        <v>25</v>
      </c>
      <c r="H2548">
        <v>7</v>
      </c>
    </row>
    <row r="2549" spans="1:8" x14ac:dyDescent="0.3">
      <c r="A2549" t="s">
        <v>265</v>
      </c>
      <c r="B2549">
        <v>25</v>
      </c>
      <c r="H2549">
        <v>11</v>
      </c>
    </row>
    <row r="2550" spans="1:8" x14ac:dyDescent="0.3">
      <c r="A2550" t="s">
        <v>266</v>
      </c>
      <c r="B2550">
        <v>25</v>
      </c>
      <c r="H2550">
        <v>0</v>
      </c>
    </row>
    <row r="2551" spans="1:8" x14ac:dyDescent="0.3">
      <c r="A2551" t="s">
        <v>267</v>
      </c>
      <c r="B2551">
        <v>25</v>
      </c>
      <c r="D2551">
        <v>31.3</v>
      </c>
      <c r="F2551">
        <v>22.5</v>
      </c>
      <c r="G2551">
        <v>11</v>
      </c>
      <c r="H2551">
        <v>31.3</v>
      </c>
    </row>
    <row r="2552" spans="1:8" x14ac:dyDescent="0.3">
      <c r="A2552" t="s">
        <v>268</v>
      </c>
      <c r="B2552">
        <v>25</v>
      </c>
      <c r="D2552">
        <v>1</v>
      </c>
      <c r="F2552">
        <v>1</v>
      </c>
      <c r="G2552">
        <v>0</v>
      </c>
      <c r="H2552">
        <v>1</v>
      </c>
    </row>
    <row r="2553" spans="1:8" x14ac:dyDescent="0.3">
      <c r="A2553" t="s">
        <v>269</v>
      </c>
      <c r="B2553">
        <v>25</v>
      </c>
      <c r="D2553">
        <v>1</v>
      </c>
      <c r="F2553">
        <v>1</v>
      </c>
      <c r="G2553">
        <v>1</v>
      </c>
      <c r="H2553">
        <v>1</v>
      </c>
    </row>
    <row r="2554" spans="1:8" x14ac:dyDescent="0.3">
      <c r="A2554" t="s">
        <v>270</v>
      </c>
      <c r="B2554">
        <v>25</v>
      </c>
      <c r="D2554">
        <v>98</v>
      </c>
      <c r="F2554">
        <v>65</v>
      </c>
      <c r="G2554">
        <v>98</v>
      </c>
      <c r="H2554">
        <v>114</v>
      </c>
    </row>
    <row r="2555" spans="1:8" x14ac:dyDescent="0.3">
      <c r="A2555" t="s">
        <v>271</v>
      </c>
      <c r="B2555">
        <v>25</v>
      </c>
      <c r="D2555">
        <v>65</v>
      </c>
      <c r="F2555">
        <v>98</v>
      </c>
      <c r="G2555">
        <v>114</v>
      </c>
      <c r="H2555">
        <v>65</v>
      </c>
    </row>
    <row r="2556" spans="1:8" x14ac:dyDescent="0.3">
      <c r="A2556" t="s">
        <v>272</v>
      </c>
      <c r="B2556">
        <v>25</v>
      </c>
      <c r="D2556">
        <v>58.7</v>
      </c>
      <c r="F2556">
        <v>91.7</v>
      </c>
      <c r="G2556">
        <v>108</v>
      </c>
      <c r="H2556">
        <v>58.7</v>
      </c>
    </row>
    <row r="2557" spans="1:8" x14ac:dyDescent="0.3">
      <c r="A2557" t="s">
        <v>273</v>
      </c>
      <c r="B2557">
        <v>25</v>
      </c>
      <c r="D2557">
        <v>58.7</v>
      </c>
      <c r="F2557">
        <v>91.7</v>
      </c>
      <c r="G2557">
        <v>108</v>
      </c>
      <c r="H2557">
        <v>47.7</v>
      </c>
    </row>
    <row r="2558" spans="1:8" x14ac:dyDescent="0.3">
      <c r="A2558" t="s">
        <v>274</v>
      </c>
      <c r="B2558">
        <v>25</v>
      </c>
      <c r="D2558">
        <v>124</v>
      </c>
      <c r="F2558">
        <v>91</v>
      </c>
      <c r="G2558">
        <v>124</v>
      </c>
      <c r="H2558">
        <v>0</v>
      </c>
    </row>
    <row r="2559" spans="1:8" x14ac:dyDescent="0.3">
      <c r="A2559" t="s">
        <v>275</v>
      </c>
      <c r="B2559">
        <v>25</v>
      </c>
      <c r="D2559">
        <v>84.7</v>
      </c>
      <c r="F2559">
        <v>117.7</v>
      </c>
      <c r="G2559">
        <v>134</v>
      </c>
      <c r="H2559">
        <v>84.7</v>
      </c>
    </row>
    <row r="2560" spans="1:8" x14ac:dyDescent="0.3">
      <c r="A2560" t="s">
        <v>276</v>
      </c>
      <c r="B2560">
        <v>25</v>
      </c>
      <c r="D2560">
        <v>84.7</v>
      </c>
      <c r="F2560">
        <v>117.7</v>
      </c>
      <c r="G2560">
        <v>134</v>
      </c>
      <c r="H2560">
        <v>73.7</v>
      </c>
    </row>
    <row r="2561" spans="1:10" x14ac:dyDescent="0.3">
      <c r="A2561" t="s">
        <v>567</v>
      </c>
      <c r="B2561">
        <v>25</v>
      </c>
      <c r="D2561">
        <v>109.6</v>
      </c>
      <c r="F2561">
        <v>17.8</v>
      </c>
      <c r="G2561">
        <v>7.7</v>
      </c>
      <c r="H2561">
        <v>95.9</v>
      </c>
    </row>
    <row r="2562" spans="1:10" x14ac:dyDescent="0.3">
      <c r="A2562" t="s">
        <v>254</v>
      </c>
      <c r="B2562">
        <v>26</v>
      </c>
      <c r="C2562">
        <v>111</v>
      </c>
      <c r="D2562">
        <v>112</v>
      </c>
      <c r="E2562">
        <v>211</v>
      </c>
      <c r="F2562">
        <v>212</v>
      </c>
      <c r="G2562">
        <v>121</v>
      </c>
      <c r="H2562">
        <v>122</v>
      </c>
      <c r="I2562">
        <v>221</v>
      </c>
      <c r="J2562">
        <v>222</v>
      </c>
    </row>
    <row r="2563" spans="1:10" x14ac:dyDescent="0.3">
      <c r="A2563" t="s">
        <v>255</v>
      </c>
      <c r="B2563">
        <v>26</v>
      </c>
      <c r="D2563">
        <v>15</v>
      </c>
      <c r="G2563">
        <v>6</v>
      </c>
      <c r="H2563">
        <v>15</v>
      </c>
      <c r="J2563">
        <v>6</v>
      </c>
    </row>
    <row r="2564" spans="1:10" x14ac:dyDescent="0.3">
      <c r="A2564" t="s">
        <v>256</v>
      </c>
      <c r="B2564">
        <v>26</v>
      </c>
      <c r="D2564">
        <v>87.5</v>
      </c>
      <c r="G2564">
        <v>22.6</v>
      </c>
      <c r="H2564">
        <v>58.5</v>
      </c>
      <c r="J2564">
        <v>38.700000000000003</v>
      </c>
    </row>
    <row r="2565" spans="1:10" x14ac:dyDescent="0.3">
      <c r="A2565" t="s">
        <v>257</v>
      </c>
      <c r="B2565">
        <v>26</v>
      </c>
      <c r="D2565">
        <v>2.5</v>
      </c>
      <c r="G2565">
        <v>2.5</v>
      </c>
      <c r="H2565">
        <v>2.5</v>
      </c>
      <c r="J2565">
        <v>3.3</v>
      </c>
    </row>
    <row r="2566" spans="1:10" x14ac:dyDescent="0.3">
      <c r="A2566" t="s">
        <v>258</v>
      </c>
      <c r="B2566">
        <v>26</v>
      </c>
      <c r="D2566">
        <v>0</v>
      </c>
      <c r="G2566">
        <v>0</v>
      </c>
      <c r="H2566">
        <v>0</v>
      </c>
      <c r="J2566">
        <v>0</v>
      </c>
    </row>
    <row r="2567" spans="1:10" x14ac:dyDescent="0.3">
      <c r="A2567" t="s">
        <v>259</v>
      </c>
      <c r="B2567">
        <v>26</v>
      </c>
      <c r="D2567">
        <v>0</v>
      </c>
      <c r="G2567">
        <v>0</v>
      </c>
      <c r="H2567">
        <v>0</v>
      </c>
      <c r="J2567">
        <v>0</v>
      </c>
    </row>
    <row r="2568" spans="1:10" x14ac:dyDescent="0.3">
      <c r="A2568" t="s">
        <v>260</v>
      </c>
      <c r="B2568">
        <v>26</v>
      </c>
      <c r="D2568">
        <v>3</v>
      </c>
      <c r="G2568">
        <v>3</v>
      </c>
      <c r="H2568">
        <v>3</v>
      </c>
      <c r="J2568">
        <v>3</v>
      </c>
    </row>
    <row r="2569" spans="1:10" x14ac:dyDescent="0.3">
      <c r="A2569" t="s">
        <v>261</v>
      </c>
      <c r="B2569">
        <v>26</v>
      </c>
      <c r="D2569">
        <v>4.4000000000000004</v>
      </c>
      <c r="G2569">
        <v>3</v>
      </c>
      <c r="H2569">
        <v>4.4000000000000004</v>
      </c>
      <c r="J2569">
        <v>3</v>
      </c>
    </row>
    <row r="2570" spans="1:10" x14ac:dyDescent="0.3">
      <c r="A2570" t="s">
        <v>262</v>
      </c>
      <c r="B2570">
        <v>26</v>
      </c>
      <c r="D2570">
        <v>2.1</v>
      </c>
      <c r="G2570">
        <v>3.4</v>
      </c>
      <c r="H2570">
        <v>2.1</v>
      </c>
      <c r="J2570">
        <v>4.3</v>
      </c>
    </row>
    <row r="2571" spans="1:10" x14ac:dyDescent="0.3">
      <c r="A2571" t="s">
        <v>263</v>
      </c>
      <c r="B2571">
        <v>26</v>
      </c>
      <c r="D2571">
        <v>3</v>
      </c>
      <c r="G2571">
        <v>0</v>
      </c>
      <c r="H2571">
        <v>3</v>
      </c>
      <c r="J2571">
        <v>0</v>
      </c>
    </row>
    <row r="2572" spans="1:10" x14ac:dyDescent="0.3">
      <c r="A2572" t="s">
        <v>264</v>
      </c>
      <c r="B2572">
        <v>26</v>
      </c>
      <c r="H2572">
        <v>7</v>
      </c>
    </row>
    <row r="2573" spans="1:10" x14ac:dyDescent="0.3">
      <c r="A2573" t="s">
        <v>265</v>
      </c>
      <c r="B2573">
        <v>26</v>
      </c>
      <c r="H2573">
        <v>18</v>
      </c>
    </row>
    <row r="2574" spans="1:10" x14ac:dyDescent="0.3">
      <c r="A2574" t="s">
        <v>266</v>
      </c>
      <c r="B2574">
        <v>26</v>
      </c>
      <c r="H2574">
        <v>0</v>
      </c>
    </row>
    <row r="2575" spans="1:10" x14ac:dyDescent="0.3">
      <c r="A2575" t="s">
        <v>267</v>
      </c>
      <c r="B2575">
        <v>26</v>
      </c>
      <c r="D2575">
        <v>26.8</v>
      </c>
      <c r="G2575">
        <v>19.5</v>
      </c>
      <c r="H2575">
        <v>35.5</v>
      </c>
      <c r="J2575">
        <v>26.6</v>
      </c>
    </row>
    <row r="2576" spans="1:10" x14ac:dyDescent="0.3">
      <c r="A2576" t="s">
        <v>268</v>
      </c>
      <c r="B2576">
        <v>26</v>
      </c>
      <c r="D2576">
        <v>1</v>
      </c>
      <c r="G2576">
        <v>0</v>
      </c>
      <c r="H2576">
        <v>1</v>
      </c>
      <c r="J2576">
        <v>1</v>
      </c>
    </row>
    <row r="2577" spans="1:10" x14ac:dyDescent="0.3">
      <c r="A2577" t="s">
        <v>269</v>
      </c>
      <c r="B2577">
        <v>26</v>
      </c>
      <c r="D2577">
        <v>1</v>
      </c>
      <c r="G2577">
        <v>1</v>
      </c>
      <c r="H2577">
        <v>1</v>
      </c>
      <c r="J2577">
        <v>1</v>
      </c>
    </row>
    <row r="2578" spans="1:10" x14ac:dyDescent="0.3">
      <c r="A2578" t="s">
        <v>270</v>
      </c>
      <c r="B2578">
        <v>26</v>
      </c>
      <c r="D2578">
        <v>136</v>
      </c>
      <c r="G2578">
        <v>136</v>
      </c>
      <c r="H2578">
        <v>25</v>
      </c>
      <c r="J2578">
        <v>90</v>
      </c>
    </row>
    <row r="2579" spans="1:10" x14ac:dyDescent="0.3">
      <c r="A2579" t="s">
        <v>271</v>
      </c>
      <c r="B2579">
        <v>26</v>
      </c>
      <c r="D2579">
        <v>90</v>
      </c>
      <c r="G2579">
        <v>25</v>
      </c>
      <c r="H2579">
        <v>90</v>
      </c>
      <c r="J2579">
        <v>136</v>
      </c>
    </row>
    <row r="2580" spans="1:10" x14ac:dyDescent="0.3">
      <c r="A2580" t="s">
        <v>272</v>
      </c>
      <c r="B2580">
        <v>26</v>
      </c>
      <c r="D2580">
        <v>83.5</v>
      </c>
      <c r="G2580">
        <v>18.600000000000001</v>
      </c>
      <c r="H2580">
        <v>83.5</v>
      </c>
      <c r="J2580">
        <v>128.69999999999999</v>
      </c>
    </row>
    <row r="2581" spans="1:10" x14ac:dyDescent="0.3">
      <c r="A2581" t="s">
        <v>273</v>
      </c>
      <c r="B2581">
        <v>26</v>
      </c>
      <c r="D2581">
        <v>83.5</v>
      </c>
      <c r="G2581">
        <v>18.600000000000001</v>
      </c>
      <c r="H2581">
        <v>65.5</v>
      </c>
      <c r="J2581">
        <v>128.69999999999999</v>
      </c>
    </row>
    <row r="2582" spans="1:10" x14ac:dyDescent="0.3">
      <c r="A2582" t="s">
        <v>274</v>
      </c>
      <c r="B2582">
        <v>26</v>
      </c>
      <c r="D2582">
        <v>111</v>
      </c>
      <c r="G2582">
        <v>111</v>
      </c>
      <c r="H2582">
        <v>0</v>
      </c>
      <c r="J2582">
        <v>65</v>
      </c>
    </row>
    <row r="2583" spans="1:10" x14ac:dyDescent="0.3">
      <c r="A2583" t="s">
        <v>275</v>
      </c>
      <c r="B2583">
        <v>26</v>
      </c>
      <c r="D2583">
        <v>58.5</v>
      </c>
      <c r="G2583">
        <v>133.6</v>
      </c>
      <c r="H2583">
        <v>58.5</v>
      </c>
      <c r="J2583">
        <v>103.7</v>
      </c>
    </row>
    <row r="2584" spans="1:10" x14ac:dyDescent="0.3">
      <c r="A2584" t="s">
        <v>276</v>
      </c>
      <c r="B2584">
        <v>26</v>
      </c>
      <c r="D2584">
        <v>58.5</v>
      </c>
      <c r="G2584">
        <v>133.6</v>
      </c>
      <c r="H2584">
        <v>40.5</v>
      </c>
      <c r="J2584">
        <v>103.7</v>
      </c>
    </row>
    <row r="2585" spans="1:10" x14ac:dyDescent="0.3">
      <c r="A2585" t="s">
        <v>567</v>
      </c>
      <c r="B2585">
        <v>26</v>
      </c>
      <c r="D2585">
        <v>111.8</v>
      </c>
      <c r="G2585">
        <v>8.1</v>
      </c>
      <c r="H2585">
        <v>97.3</v>
      </c>
      <c r="J2585">
        <v>14.4</v>
      </c>
    </row>
    <row r="2586" spans="1:10" x14ac:dyDescent="0.3">
      <c r="A2586" t="s">
        <v>254</v>
      </c>
      <c r="B2586">
        <v>27</v>
      </c>
      <c r="C2586">
        <v>111</v>
      </c>
      <c r="D2586">
        <v>112</v>
      </c>
      <c r="E2586">
        <v>211</v>
      </c>
      <c r="F2586">
        <v>212</v>
      </c>
      <c r="G2586">
        <v>121</v>
      </c>
      <c r="H2586">
        <v>122</v>
      </c>
      <c r="I2586">
        <v>221</v>
      </c>
      <c r="J2586">
        <v>222</v>
      </c>
    </row>
    <row r="2587" spans="1:10" x14ac:dyDescent="0.3">
      <c r="A2587" t="s">
        <v>255</v>
      </c>
      <c r="B2587">
        <v>27</v>
      </c>
      <c r="D2587">
        <v>25</v>
      </c>
      <c r="F2587">
        <v>8</v>
      </c>
      <c r="G2587">
        <v>6</v>
      </c>
      <c r="H2587">
        <v>25</v>
      </c>
    </row>
    <row r="2588" spans="1:10" x14ac:dyDescent="0.3">
      <c r="A2588" t="s">
        <v>256</v>
      </c>
      <c r="B2588">
        <v>27</v>
      </c>
      <c r="D2588">
        <v>96.2</v>
      </c>
      <c r="F2588">
        <v>30.7</v>
      </c>
      <c r="G2588">
        <v>14</v>
      </c>
      <c r="H2588">
        <v>74.7</v>
      </c>
    </row>
    <row r="2589" spans="1:10" x14ac:dyDescent="0.3">
      <c r="A2589" t="s">
        <v>257</v>
      </c>
      <c r="B2589">
        <v>27</v>
      </c>
      <c r="D2589">
        <v>6</v>
      </c>
      <c r="F2589">
        <v>2.5</v>
      </c>
      <c r="G2589">
        <v>2.5</v>
      </c>
      <c r="H2589">
        <v>6</v>
      </c>
    </row>
    <row r="2590" spans="1:10" x14ac:dyDescent="0.3">
      <c r="A2590" t="s">
        <v>258</v>
      </c>
      <c r="B2590">
        <v>27</v>
      </c>
      <c r="D2590">
        <v>0</v>
      </c>
      <c r="F2590">
        <v>0</v>
      </c>
      <c r="G2590">
        <v>0</v>
      </c>
      <c r="H2590">
        <v>0</v>
      </c>
    </row>
    <row r="2591" spans="1:10" x14ac:dyDescent="0.3">
      <c r="A2591" t="s">
        <v>259</v>
      </c>
      <c r="B2591">
        <v>27</v>
      </c>
      <c r="D2591">
        <v>0</v>
      </c>
      <c r="F2591">
        <v>0</v>
      </c>
      <c r="G2591">
        <v>0</v>
      </c>
      <c r="H2591">
        <v>0</v>
      </c>
    </row>
    <row r="2592" spans="1:10" x14ac:dyDescent="0.3">
      <c r="A2592" t="s">
        <v>260</v>
      </c>
      <c r="B2592">
        <v>27</v>
      </c>
      <c r="D2592">
        <v>3</v>
      </c>
      <c r="F2592">
        <v>3</v>
      </c>
      <c r="G2592">
        <v>3</v>
      </c>
      <c r="H2592">
        <v>3</v>
      </c>
    </row>
    <row r="2593" spans="1:8" x14ac:dyDescent="0.3">
      <c r="A2593" t="s">
        <v>261</v>
      </c>
      <c r="B2593">
        <v>27</v>
      </c>
      <c r="D2593">
        <v>4.4000000000000004</v>
      </c>
      <c r="F2593">
        <v>3</v>
      </c>
      <c r="G2593">
        <v>3</v>
      </c>
      <c r="H2593">
        <v>4.4000000000000004</v>
      </c>
    </row>
    <row r="2594" spans="1:8" x14ac:dyDescent="0.3">
      <c r="A2594" t="s">
        <v>262</v>
      </c>
      <c r="B2594">
        <v>27</v>
      </c>
      <c r="D2594">
        <v>1.4</v>
      </c>
      <c r="F2594">
        <v>4.3</v>
      </c>
      <c r="G2594">
        <v>4</v>
      </c>
      <c r="H2594">
        <v>1.9</v>
      </c>
    </row>
    <row r="2595" spans="1:8" x14ac:dyDescent="0.3">
      <c r="A2595" t="s">
        <v>263</v>
      </c>
      <c r="B2595">
        <v>27</v>
      </c>
      <c r="D2595">
        <v>3</v>
      </c>
      <c r="F2595">
        <v>0</v>
      </c>
      <c r="G2595">
        <v>0</v>
      </c>
      <c r="H2595">
        <v>3</v>
      </c>
    </row>
    <row r="2596" spans="1:8" x14ac:dyDescent="0.3">
      <c r="A2596" t="s">
        <v>264</v>
      </c>
      <c r="B2596">
        <v>27</v>
      </c>
      <c r="H2596">
        <v>7</v>
      </c>
    </row>
    <row r="2597" spans="1:8" x14ac:dyDescent="0.3">
      <c r="A2597" t="s">
        <v>265</v>
      </c>
      <c r="B2597">
        <v>27</v>
      </c>
      <c r="H2597">
        <v>23</v>
      </c>
    </row>
    <row r="2598" spans="1:8" x14ac:dyDescent="0.3">
      <c r="A2598" t="s">
        <v>266</v>
      </c>
      <c r="B2598">
        <v>27</v>
      </c>
      <c r="H2598">
        <v>0</v>
      </c>
    </row>
    <row r="2599" spans="1:8" x14ac:dyDescent="0.3">
      <c r="A2599" t="s">
        <v>267</v>
      </c>
      <c r="B2599">
        <v>27</v>
      </c>
      <c r="D2599">
        <v>30.8</v>
      </c>
      <c r="F2599">
        <v>22.5</v>
      </c>
      <c r="G2599">
        <v>13</v>
      </c>
      <c r="H2599">
        <v>41.3</v>
      </c>
    </row>
    <row r="2600" spans="1:8" x14ac:dyDescent="0.3">
      <c r="A2600" t="s">
        <v>268</v>
      </c>
      <c r="B2600">
        <v>27</v>
      </c>
      <c r="D2600">
        <v>1</v>
      </c>
      <c r="F2600">
        <v>1</v>
      </c>
      <c r="G2600">
        <v>0</v>
      </c>
      <c r="H2600">
        <v>1</v>
      </c>
    </row>
    <row r="2601" spans="1:8" x14ac:dyDescent="0.3">
      <c r="A2601" t="s">
        <v>269</v>
      </c>
      <c r="B2601">
        <v>27</v>
      </c>
      <c r="D2601">
        <v>1</v>
      </c>
      <c r="F2601">
        <v>1</v>
      </c>
      <c r="G2601">
        <v>1</v>
      </c>
      <c r="H2601">
        <v>1</v>
      </c>
    </row>
    <row r="2602" spans="1:8" x14ac:dyDescent="0.3">
      <c r="A2602" t="s">
        <v>270</v>
      </c>
      <c r="B2602">
        <v>27</v>
      </c>
      <c r="D2602">
        <v>113</v>
      </c>
      <c r="F2602">
        <v>75</v>
      </c>
      <c r="G2602">
        <v>113</v>
      </c>
      <c r="H2602">
        <v>134</v>
      </c>
    </row>
    <row r="2603" spans="1:8" x14ac:dyDescent="0.3">
      <c r="A2603" t="s">
        <v>271</v>
      </c>
      <c r="B2603">
        <v>27</v>
      </c>
      <c r="D2603">
        <v>75</v>
      </c>
      <c r="F2603">
        <v>113</v>
      </c>
      <c r="G2603">
        <v>134</v>
      </c>
      <c r="H2603">
        <v>75</v>
      </c>
    </row>
    <row r="2604" spans="1:8" x14ac:dyDescent="0.3">
      <c r="A2604" t="s">
        <v>272</v>
      </c>
      <c r="B2604">
        <v>27</v>
      </c>
      <c r="D2604">
        <v>69.2</v>
      </c>
      <c r="F2604">
        <v>105.7</v>
      </c>
      <c r="G2604">
        <v>127</v>
      </c>
      <c r="H2604">
        <v>68.7</v>
      </c>
    </row>
    <row r="2605" spans="1:8" x14ac:dyDescent="0.3">
      <c r="A2605" t="s">
        <v>273</v>
      </c>
      <c r="B2605">
        <v>27</v>
      </c>
      <c r="D2605">
        <v>69.2</v>
      </c>
      <c r="F2605">
        <v>105.7</v>
      </c>
      <c r="G2605">
        <v>127</v>
      </c>
      <c r="H2605">
        <v>45.7</v>
      </c>
    </row>
    <row r="2606" spans="1:8" x14ac:dyDescent="0.3">
      <c r="A2606" t="s">
        <v>274</v>
      </c>
      <c r="B2606">
        <v>27</v>
      </c>
      <c r="D2606">
        <v>119</v>
      </c>
      <c r="F2606">
        <v>81</v>
      </c>
      <c r="G2606">
        <v>119</v>
      </c>
      <c r="H2606">
        <v>0</v>
      </c>
    </row>
    <row r="2607" spans="1:8" x14ac:dyDescent="0.3">
      <c r="A2607" t="s">
        <v>275</v>
      </c>
      <c r="B2607">
        <v>27</v>
      </c>
      <c r="D2607">
        <v>75.2</v>
      </c>
      <c r="F2607">
        <v>111.7</v>
      </c>
      <c r="G2607">
        <v>133</v>
      </c>
      <c r="H2607">
        <v>74.7</v>
      </c>
    </row>
    <row r="2608" spans="1:8" x14ac:dyDescent="0.3">
      <c r="A2608" t="s">
        <v>276</v>
      </c>
      <c r="B2608">
        <v>27</v>
      </c>
      <c r="D2608">
        <v>75.2</v>
      </c>
      <c r="F2608">
        <v>111.7</v>
      </c>
      <c r="G2608">
        <v>133</v>
      </c>
      <c r="H2608">
        <v>51.7</v>
      </c>
    </row>
    <row r="2609" spans="1:10" x14ac:dyDescent="0.3">
      <c r="A2609" t="s">
        <v>567</v>
      </c>
      <c r="B2609">
        <v>27</v>
      </c>
      <c r="D2609">
        <v>116.2</v>
      </c>
      <c r="F2609">
        <v>10.7</v>
      </c>
      <c r="G2609">
        <v>2.5</v>
      </c>
      <c r="H2609">
        <v>106.2</v>
      </c>
    </row>
    <row r="2610" spans="1:10" x14ac:dyDescent="0.3">
      <c r="A2610" t="s">
        <v>254</v>
      </c>
      <c r="B2610">
        <v>28</v>
      </c>
      <c r="C2610">
        <v>111</v>
      </c>
      <c r="D2610">
        <v>112</v>
      </c>
      <c r="E2610">
        <v>211</v>
      </c>
      <c r="F2610">
        <v>212</v>
      </c>
      <c r="G2610">
        <v>121</v>
      </c>
      <c r="H2610">
        <v>122</v>
      </c>
      <c r="I2610">
        <v>221</v>
      </c>
      <c r="J2610">
        <v>222</v>
      </c>
    </row>
    <row r="2611" spans="1:10" x14ac:dyDescent="0.3">
      <c r="A2611" t="s">
        <v>255</v>
      </c>
      <c r="B2611">
        <v>28</v>
      </c>
      <c r="D2611">
        <v>10</v>
      </c>
      <c r="F2611">
        <v>7</v>
      </c>
      <c r="G2611">
        <v>10</v>
      </c>
      <c r="H2611">
        <v>10</v>
      </c>
    </row>
    <row r="2612" spans="1:10" x14ac:dyDescent="0.3">
      <c r="A2612" t="s">
        <v>256</v>
      </c>
      <c r="B2612">
        <v>28</v>
      </c>
      <c r="D2612">
        <v>99.9</v>
      </c>
      <c r="F2612">
        <v>25.7</v>
      </c>
      <c r="G2612">
        <v>29.1</v>
      </c>
      <c r="H2612">
        <v>64</v>
      </c>
    </row>
    <row r="2613" spans="1:10" x14ac:dyDescent="0.3">
      <c r="A2613" t="s">
        <v>257</v>
      </c>
      <c r="B2613">
        <v>28</v>
      </c>
      <c r="D2613">
        <v>3</v>
      </c>
      <c r="F2613">
        <v>2.5</v>
      </c>
      <c r="G2613">
        <v>2.5</v>
      </c>
      <c r="H2613">
        <v>3</v>
      </c>
    </row>
    <row r="2614" spans="1:10" x14ac:dyDescent="0.3">
      <c r="A2614" t="s">
        <v>258</v>
      </c>
      <c r="B2614">
        <v>28</v>
      </c>
      <c r="D2614">
        <v>0</v>
      </c>
      <c r="F2614">
        <v>0</v>
      </c>
      <c r="G2614">
        <v>0</v>
      </c>
      <c r="H2614">
        <v>0</v>
      </c>
    </row>
    <row r="2615" spans="1:10" x14ac:dyDescent="0.3">
      <c r="A2615" t="s">
        <v>259</v>
      </c>
      <c r="B2615">
        <v>28</v>
      </c>
      <c r="D2615">
        <v>0</v>
      </c>
      <c r="F2615">
        <v>0</v>
      </c>
      <c r="G2615">
        <v>0</v>
      </c>
      <c r="H2615">
        <v>0</v>
      </c>
    </row>
    <row r="2616" spans="1:10" x14ac:dyDescent="0.3">
      <c r="A2616" t="s">
        <v>260</v>
      </c>
      <c r="B2616">
        <v>28</v>
      </c>
      <c r="D2616">
        <v>3</v>
      </c>
      <c r="F2616">
        <v>3</v>
      </c>
      <c r="G2616">
        <v>3</v>
      </c>
      <c r="H2616">
        <v>3</v>
      </c>
    </row>
    <row r="2617" spans="1:10" x14ac:dyDescent="0.3">
      <c r="A2617" t="s">
        <v>261</v>
      </c>
      <c r="B2617">
        <v>28</v>
      </c>
      <c r="D2617">
        <v>4.4000000000000004</v>
      </c>
      <c r="F2617">
        <v>3</v>
      </c>
      <c r="G2617">
        <v>3</v>
      </c>
      <c r="H2617">
        <v>4.4000000000000004</v>
      </c>
    </row>
    <row r="2618" spans="1:10" x14ac:dyDescent="0.3">
      <c r="A2618" t="s">
        <v>262</v>
      </c>
      <c r="B2618">
        <v>28</v>
      </c>
      <c r="D2618">
        <v>1.7</v>
      </c>
      <c r="F2618">
        <v>5.3</v>
      </c>
      <c r="G2618">
        <v>3.9</v>
      </c>
      <c r="H2618">
        <v>1.6</v>
      </c>
    </row>
    <row r="2619" spans="1:10" x14ac:dyDescent="0.3">
      <c r="A2619" t="s">
        <v>263</v>
      </c>
      <c r="B2619">
        <v>28</v>
      </c>
      <c r="D2619">
        <v>3</v>
      </c>
      <c r="F2619">
        <v>0</v>
      </c>
      <c r="G2619">
        <v>0</v>
      </c>
      <c r="H2619">
        <v>3</v>
      </c>
    </row>
    <row r="2620" spans="1:10" x14ac:dyDescent="0.3">
      <c r="A2620" t="s">
        <v>264</v>
      </c>
      <c r="B2620">
        <v>28</v>
      </c>
      <c r="H2620">
        <v>7</v>
      </c>
    </row>
    <row r="2621" spans="1:10" x14ac:dyDescent="0.3">
      <c r="A2621" t="s">
        <v>265</v>
      </c>
      <c r="B2621">
        <v>28</v>
      </c>
      <c r="H2621">
        <v>10</v>
      </c>
    </row>
    <row r="2622" spans="1:10" x14ac:dyDescent="0.3">
      <c r="A2622" t="s">
        <v>266</v>
      </c>
      <c r="B2622">
        <v>28</v>
      </c>
      <c r="H2622">
        <v>0</v>
      </c>
    </row>
    <row r="2623" spans="1:10" x14ac:dyDescent="0.3">
      <c r="A2623" t="s">
        <v>267</v>
      </c>
      <c r="B2623">
        <v>28</v>
      </c>
      <c r="D2623">
        <v>25.3</v>
      </c>
      <c r="F2623">
        <v>15.3</v>
      </c>
      <c r="G2623">
        <v>16.899999999999999</v>
      </c>
      <c r="H2623">
        <v>27</v>
      </c>
    </row>
    <row r="2624" spans="1:10" x14ac:dyDescent="0.3">
      <c r="A2624" t="s">
        <v>268</v>
      </c>
      <c r="B2624">
        <v>28</v>
      </c>
      <c r="D2624">
        <v>1</v>
      </c>
      <c r="F2624">
        <v>1</v>
      </c>
      <c r="G2624">
        <v>0</v>
      </c>
      <c r="H2624">
        <v>1</v>
      </c>
    </row>
    <row r="2625" spans="1:10" x14ac:dyDescent="0.3">
      <c r="A2625" t="s">
        <v>269</v>
      </c>
      <c r="B2625">
        <v>28</v>
      </c>
      <c r="D2625">
        <v>1</v>
      </c>
      <c r="F2625">
        <v>1</v>
      </c>
      <c r="G2625">
        <v>1</v>
      </c>
      <c r="H2625">
        <v>1</v>
      </c>
    </row>
    <row r="2626" spans="1:10" x14ac:dyDescent="0.3">
      <c r="A2626" t="s">
        <v>270</v>
      </c>
      <c r="B2626">
        <v>28</v>
      </c>
      <c r="D2626">
        <v>23</v>
      </c>
      <c r="F2626">
        <v>129</v>
      </c>
      <c r="G2626">
        <v>23</v>
      </c>
      <c r="H2626">
        <v>59</v>
      </c>
    </row>
    <row r="2627" spans="1:10" x14ac:dyDescent="0.3">
      <c r="A2627" t="s">
        <v>271</v>
      </c>
      <c r="B2627">
        <v>28</v>
      </c>
      <c r="D2627">
        <v>129</v>
      </c>
      <c r="F2627">
        <v>23</v>
      </c>
      <c r="G2627">
        <v>59</v>
      </c>
      <c r="H2627">
        <v>129</v>
      </c>
    </row>
    <row r="2628" spans="1:10" x14ac:dyDescent="0.3">
      <c r="A2628" t="s">
        <v>272</v>
      </c>
      <c r="B2628">
        <v>28</v>
      </c>
      <c r="D2628">
        <v>122.9</v>
      </c>
      <c r="F2628">
        <v>14.7</v>
      </c>
      <c r="G2628">
        <v>52.1</v>
      </c>
      <c r="H2628">
        <v>123</v>
      </c>
    </row>
    <row r="2629" spans="1:10" x14ac:dyDescent="0.3">
      <c r="A2629" t="s">
        <v>273</v>
      </c>
      <c r="B2629">
        <v>28</v>
      </c>
      <c r="D2629">
        <v>122.9</v>
      </c>
      <c r="F2629">
        <v>14.7</v>
      </c>
      <c r="G2629">
        <v>52.1</v>
      </c>
      <c r="H2629">
        <v>113</v>
      </c>
    </row>
    <row r="2630" spans="1:10" x14ac:dyDescent="0.3">
      <c r="A2630" t="s">
        <v>274</v>
      </c>
      <c r="B2630">
        <v>28</v>
      </c>
      <c r="D2630">
        <v>104</v>
      </c>
      <c r="F2630">
        <v>70</v>
      </c>
      <c r="G2630">
        <v>104</v>
      </c>
      <c r="H2630">
        <v>0</v>
      </c>
    </row>
    <row r="2631" spans="1:10" x14ac:dyDescent="0.3">
      <c r="A2631" t="s">
        <v>275</v>
      </c>
      <c r="B2631">
        <v>28</v>
      </c>
      <c r="D2631">
        <v>63.9</v>
      </c>
      <c r="F2631">
        <v>95.7</v>
      </c>
      <c r="G2631">
        <v>133.1</v>
      </c>
      <c r="H2631">
        <v>64</v>
      </c>
    </row>
    <row r="2632" spans="1:10" x14ac:dyDescent="0.3">
      <c r="A2632" t="s">
        <v>276</v>
      </c>
      <c r="B2632">
        <v>28</v>
      </c>
      <c r="D2632">
        <v>63.9</v>
      </c>
      <c r="F2632">
        <v>95.7</v>
      </c>
      <c r="G2632">
        <v>133.1</v>
      </c>
      <c r="H2632">
        <v>54</v>
      </c>
    </row>
    <row r="2633" spans="1:10" x14ac:dyDescent="0.3">
      <c r="A2633" t="s">
        <v>567</v>
      </c>
      <c r="B2633">
        <v>28</v>
      </c>
      <c r="D2633">
        <v>119.2</v>
      </c>
      <c r="F2633">
        <v>6.4</v>
      </c>
      <c r="G2633">
        <v>8.4</v>
      </c>
      <c r="H2633">
        <v>104</v>
      </c>
    </row>
    <row r="2634" spans="1:10" x14ac:dyDescent="0.3">
      <c r="A2634" t="s">
        <v>254</v>
      </c>
      <c r="B2634">
        <v>31</v>
      </c>
      <c r="C2634">
        <v>111</v>
      </c>
      <c r="D2634">
        <v>112</v>
      </c>
      <c r="E2634">
        <v>211</v>
      </c>
      <c r="F2634">
        <v>212</v>
      </c>
      <c r="G2634">
        <v>121</v>
      </c>
      <c r="H2634">
        <v>122</v>
      </c>
      <c r="I2634">
        <v>221</v>
      </c>
      <c r="J2634">
        <v>222</v>
      </c>
    </row>
    <row r="2635" spans="1:10" x14ac:dyDescent="0.3">
      <c r="A2635" t="s">
        <v>255</v>
      </c>
      <c r="B2635">
        <v>31</v>
      </c>
      <c r="D2635">
        <v>20</v>
      </c>
      <c r="F2635">
        <v>6</v>
      </c>
      <c r="G2635">
        <v>6</v>
      </c>
      <c r="H2635">
        <v>20</v>
      </c>
    </row>
    <row r="2636" spans="1:10" x14ac:dyDescent="0.3">
      <c r="A2636" t="s">
        <v>256</v>
      </c>
      <c r="B2636">
        <v>31</v>
      </c>
      <c r="D2636">
        <v>98.1</v>
      </c>
      <c r="F2636">
        <v>29</v>
      </c>
      <c r="G2636">
        <v>22.3</v>
      </c>
      <c r="H2636">
        <v>68.7</v>
      </c>
    </row>
    <row r="2637" spans="1:10" x14ac:dyDescent="0.3">
      <c r="A2637" t="s">
        <v>257</v>
      </c>
      <c r="B2637">
        <v>31</v>
      </c>
      <c r="D2637">
        <v>6</v>
      </c>
      <c r="F2637">
        <v>2.5</v>
      </c>
      <c r="G2637">
        <v>2.5</v>
      </c>
      <c r="H2637">
        <v>6</v>
      </c>
    </row>
    <row r="2638" spans="1:10" x14ac:dyDescent="0.3">
      <c r="A2638" t="s">
        <v>258</v>
      </c>
      <c r="B2638">
        <v>31</v>
      </c>
      <c r="D2638">
        <v>0</v>
      </c>
      <c r="F2638">
        <v>0</v>
      </c>
      <c r="G2638">
        <v>0</v>
      </c>
      <c r="H2638">
        <v>0</v>
      </c>
    </row>
    <row r="2639" spans="1:10" x14ac:dyDescent="0.3">
      <c r="A2639" t="s">
        <v>259</v>
      </c>
      <c r="B2639">
        <v>31</v>
      </c>
      <c r="D2639">
        <v>0</v>
      </c>
      <c r="F2639">
        <v>0</v>
      </c>
      <c r="G2639">
        <v>0</v>
      </c>
      <c r="H2639">
        <v>0</v>
      </c>
    </row>
    <row r="2640" spans="1:10" x14ac:dyDescent="0.3">
      <c r="A2640" t="s">
        <v>260</v>
      </c>
      <c r="B2640">
        <v>31</v>
      </c>
      <c r="D2640">
        <v>3</v>
      </c>
      <c r="F2640">
        <v>3</v>
      </c>
      <c r="G2640">
        <v>3</v>
      </c>
      <c r="H2640">
        <v>3</v>
      </c>
    </row>
    <row r="2641" spans="1:8" x14ac:dyDescent="0.3">
      <c r="A2641" t="s">
        <v>261</v>
      </c>
      <c r="B2641">
        <v>31</v>
      </c>
      <c r="D2641">
        <v>4.4000000000000004</v>
      </c>
      <c r="F2641">
        <v>3</v>
      </c>
      <c r="G2641">
        <v>3</v>
      </c>
      <c r="H2641">
        <v>4.4000000000000004</v>
      </c>
    </row>
    <row r="2642" spans="1:8" x14ac:dyDescent="0.3">
      <c r="A2642" t="s">
        <v>262</v>
      </c>
      <c r="B2642">
        <v>31</v>
      </c>
      <c r="D2642">
        <v>1.5</v>
      </c>
      <c r="F2642">
        <v>4</v>
      </c>
      <c r="G2642">
        <v>3.7</v>
      </c>
      <c r="H2642">
        <v>1.9</v>
      </c>
    </row>
    <row r="2643" spans="1:8" x14ac:dyDescent="0.3">
      <c r="A2643" t="s">
        <v>263</v>
      </c>
      <c r="B2643">
        <v>31</v>
      </c>
      <c r="D2643">
        <v>3</v>
      </c>
      <c r="F2643">
        <v>0</v>
      </c>
      <c r="G2643">
        <v>0</v>
      </c>
      <c r="H2643">
        <v>3</v>
      </c>
    </row>
    <row r="2644" spans="1:8" x14ac:dyDescent="0.3">
      <c r="A2644" t="s">
        <v>264</v>
      </c>
      <c r="B2644">
        <v>31</v>
      </c>
      <c r="H2644">
        <v>7</v>
      </c>
    </row>
    <row r="2645" spans="1:8" x14ac:dyDescent="0.3">
      <c r="A2645" t="s">
        <v>265</v>
      </c>
      <c r="B2645">
        <v>31</v>
      </c>
      <c r="H2645">
        <v>25</v>
      </c>
    </row>
    <row r="2646" spans="1:8" x14ac:dyDescent="0.3">
      <c r="A2646" t="s">
        <v>266</v>
      </c>
      <c r="B2646">
        <v>31</v>
      </c>
      <c r="H2646">
        <v>0</v>
      </c>
    </row>
    <row r="2647" spans="1:8" x14ac:dyDescent="0.3">
      <c r="A2647" t="s">
        <v>267</v>
      </c>
      <c r="B2647">
        <v>31</v>
      </c>
      <c r="D2647">
        <v>25.9</v>
      </c>
      <c r="F2647">
        <v>25</v>
      </c>
      <c r="G2647">
        <v>12.7</v>
      </c>
      <c r="H2647">
        <v>43.3</v>
      </c>
    </row>
    <row r="2648" spans="1:8" x14ac:dyDescent="0.3">
      <c r="A2648" t="s">
        <v>268</v>
      </c>
      <c r="B2648">
        <v>31</v>
      </c>
      <c r="D2648">
        <v>1</v>
      </c>
      <c r="F2648">
        <v>1</v>
      </c>
      <c r="G2648">
        <v>0</v>
      </c>
      <c r="H2648">
        <v>1</v>
      </c>
    </row>
    <row r="2649" spans="1:8" x14ac:dyDescent="0.3">
      <c r="A2649" t="s">
        <v>269</v>
      </c>
      <c r="B2649">
        <v>31</v>
      </c>
      <c r="D2649">
        <v>1</v>
      </c>
      <c r="F2649">
        <v>1</v>
      </c>
      <c r="G2649">
        <v>1</v>
      </c>
      <c r="H2649">
        <v>1</v>
      </c>
    </row>
    <row r="2650" spans="1:8" x14ac:dyDescent="0.3">
      <c r="A2650" t="s">
        <v>270</v>
      </c>
      <c r="B2650">
        <v>31</v>
      </c>
      <c r="D2650">
        <v>83</v>
      </c>
      <c r="F2650">
        <v>47</v>
      </c>
      <c r="G2650">
        <v>83</v>
      </c>
      <c r="H2650">
        <v>112</v>
      </c>
    </row>
    <row r="2651" spans="1:8" x14ac:dyDescent="0.3">
      <c r="A2651" t="s">
        <v>271</v>
      </c>
      <c r="B2651">
        <v>31</v>
      </c>
      <c r="D2651">
        <v>47</v>
      </c>
      <c r="F2651">
        <v>83</v>
      </c>
      <c r="G2651">
        <v>112</v>
      </c>
      <c r="H2651">
        <v>47</v>
      </c>
    </row>
    <row r="2652" spans="1:8" x14ac:dyDescent="0.3">
      <c r="A2652" t="s">
        <v>272</v>
      </c>
      <c r="B2652">
        <v>31</v>
      </c>
      <c r="D2652">
        <v>41.1</v>
      </c>
      <c r="F2652">
        <v>76</v>
      </c>
      <c r="G2652">
        <v>105.3</v>
      </c>
      <c r="H2652">
        <v>40.700000000000003</v>
      </c>
    </row>
    <row r="2653" spans="1:8" x14ac:dyDescent="0.3">
      <c r="A2653" t="s">
        <v>273</v>
      </c>
      <c r="B2653">
        <v>31</v>
      </c>
      <c r="D2653">
        <v>41.1</v>
      </c>
      <c r="F2653">
        <v>76</v>
      </c>
      <c r="G2653">
        <v>105.3</v>
      </c>
      <c r="H2653">
        <v>15.7</v>
      </c>
    </row>
    <row r="2654" spans="1:8" x14ac:dyDescent="0.3">
      <c r="A2654" t="s">
        <v>274</v>
      </c>
      <c r="B2654">
        <v>31</v>
      </c>
      <c r="D2654">
        <v>111</v>
      </c>
      <c r="F2654">
        <v>75</v>
      </c>
      <c r="G2654">
        <v>111</v>
      </c>
      <c r="H2654">
        <v>0</v>
      </c>
    </row>
    <row r="2655" spans="1:8" x14ac:dyDescent="0.3">
      <c r="A2655" t="s">
        <v>275</v>
      </c>
      <c r="B2655">
        <v>31</v>
      </c>
      <c r="D2655">
        <v>69.099999999999994</v>
      </c>
      <c r="F2655">
        <v>104</v>
      </c>
      <c r="G2655">
        <v>133.30000000000001</v>
      </c>
      <c r="H2655">
        <v>68.7</v>
      </c>
    </row>
    <row r="2656" spans="1:8" x14ac:dyDescent="0.3">
      <c r="A2656" t="s">
        <v>276</v>
      </c>
      <c r="B2656">
        <v>31</v>
      </c>
      <c r="D2656">
        <v>69.099999999999994</v>
      </c>
      <c r="F2656">
        <v>104</v>
      </c>
      <c r="G2656">
        <v>133.30000000000001</v>
      </c>
      <c r="H2656">
        <v>43.7</v>
      </c>
    </row>
    <row r="2657" spans="1:10" x14ac:dyDescent="0.3">
      <c r="A2657" t="s">
        <v>567</v>
      </c>
      <c r="B2657">
        <v>31</v>
      </c>
      <c r="D2657">
        <v>119.4</v>
      </c>
      <c r="F2657">
        <v>7.7</v>
      </c>
      <c r="G2657">
        <v>10.1</v>
      </c>
      <c r="H2657">
        <v>102.2</v>
      </c>
    </row>
    <row r="2658" spans="1:10" x14ac:dyDescent="0.3">
      <c r="A2658" t="s">
        <v>254</v>
      </c>
      <c r="B2658">
        <v>33</v>
      </c>
      <c r="C2658">
        <v>111</v>
      </c>
      <c r="D2658">
        <v>112</v>
      </c>
      <c r="E2658">
        <v>211</v>
      </c>
      <c r="F2658">
        <v>212</v>
      </c>
      <c r="G2658">
        <v>121</v>
      </c>
      <c r="H2658">
        <v>122</v>
      </c>
      <c r="I2658">
        <v>221</v>
      </c>
      <c r="J2658">
        <v>222</v>
      </c>
    </row>
    <row r="2659" spans="1:10" x14ac:dyDescent="0.3">
      <c r="A2659" t="s">
        <v>255</v>
      </c>
      <c r="B2659">
        <v>33</v>
      </c>
      <c r="D2659">
        <v>25</v>
      </c>
      <c r="F2659">
        <v>6</v>
      </c>
      <c r="G2659">
        <v>6</v>
      </c>
      <c r="H2659">
        <v>25</v>
      </c>
    </row>
    <row r="2660" spans="1:10" x14ac:dyDescent="0.3">
      <c r="A2660" t="s">
        <v>256</v>
      </c>
      <c r="B2660">
        <v>33</v>
      </c>
      <c r="D2660">
        <v>95.3</v>
      </c>
      <c r="F2660">
        <v>32</v>
      </c>
      <c r="G2660">
        <v>22.2</v>
      </c>
      <c r="H2660">
        <v>66.900000000000006</v>
      </c>
    </row>
    <row r="2661" spans="1:10" x14ac:dyDescent="0.3">
      <c r="A2661" t="s">
        <v>257</v>
      </c>
      <c r="B2661">
        <v>33</v>
      </c>
      <c r="D2661">
        <v>2.5</v>
      </c>
      <c r="F2661">
        <v>2.5</v>
      </c>
      <c r="G2661">
        <v>2.5</v>
      </c>
      <c r="H2661">
        <v>2.5</v>
      </c>
    </row>
    <row r="2662" spans="1:10" x14ac:dyDescent="0.3">
      <c r="A2662" t="s">
        <v>258</v>
      </c>
      <c r="B2662">
        <v>33</v>
      </c>
      <c r="D2662">
        <v>0</v>
      </c>
      <c r="F2662">
        <v>0</v>
      </c>
      <c r="G2662">
        <v>0</v>
      </c>
      <c r="H2662">
        <v>0</v>
      </c>
    </row>
    <row r="2663" spans="1:10" x14ac:dyDescent="0.3">
      <c r="A2663" t="s">
        <v>259</v>
      </c>
      <c r="B2663">
        <v>33</v>
      </c>
      <c r="D2663">
        <v>0</v>
      </c>
      <c r="F2663">
        <v>0</v>
      </c>
      <c r="G2663">
        <v>0</v>
      </c>
      <c r="H2663">
        <v>0</v>
      </c>
    </row>
    <row r="2664" spans="1:10" x14ac:dyDescent="0.3">
      <c r="A2664" t="s">
        <v>260</v>
      </c>
      <c r="B2664">
        <v>33</v>
      </c>
      <c r="D2664">
        <v>3</v>
      </c>
      <c r="F2664">
        <v>3</v>
      </c>
      <c r="G2664">
        <v>3</v>
      </c>
      <c r="H2664">
        <v>3</v>
      </c>
    </row>
    <row r="2665" spans="1:10" x14ac:dyDescent="0.3">
      <c r="A2665" t="s">
        <v>261</v>
      </c>
      <c r="B2665">
        <v>33</v>
      </c>
      <c r="D2665">
        <v>4.4000000000000004</v>
      </c>
      <c r="F2665">
        <v>3</v>
      </c>
      <c r="G2665">
        <v>3</v>
      </c>
      <c r="H2665">
        <v>4.4000000000000004</v>
      </c>
    </row>
    <row r="2666" spans="1:10" x14ac:dyDescent="0.3">
      <c r="A2666" t="s">
        <v>262</v>
      </c>
      <c r="B2666">
        <v>33</v>
      </c>
      <c r="D2666">
        <v>1.3</v>
      </c>
      <c r="F2666">
        <v>4</v>
      </c>
      <c r="G2666">
        <v>2.8</v>
      </c>
      <c r="H2666">
        <v>1.7</v>
      </c>
    </row>
    <row r="2667" spans="1:10" x14ac:dyDescent="0.3">
      <c r="A2667" t="s">
        <v>263</v>
      </c>
      <c r="B2667">
        <v>33</v>
      </c>
      <c r="D2667">
        <v>3</v>
      </c>
      <c r="F2667">
        <v>0</v>
      </c>
      <c r="G2667">
        <v>0</v>
      </c>
      <c r="H2667">
        <v>3</v>
      </c>
    </row>
    <row r="2668" spans="1:10" x14ac:dyDescent="0.3">
      <c r="A2668" t="s">
        <v>264</v>
      </c>
      <c r="B2668">
        <v>33</v>
      </c>
      <c r="H2668">
        <v>7</v>
      </c>
    </row>
    <row r="2669" spans="1:10" x14ac:dyDescent="0.3">
      <c r="A2669" t="s">
        <v>265</v>
      </c>
      <c r="B2669">
        <v>33</v>
      </c>
      <c r="H2669">
        <v>21</v>
      </c>
    </row>
    <row r="2670" spans="1:10" x14ac:dyDescent="0.3">
      <c r="A2670" t="s">
        <v>266</v>
      </c>
      <c r="B2670">
        <v>33</v>
      </c>
      <c r="H2670">
        <v>0</v>
      </c>
    </row>
    <row r="2671" spans="1:10" x14ac:dyDescent="0.3">
      <c r="A2671" t="s">
        <v>267</v>
      </c>
      <c r="B2671">
        <v>33</v>
      </c>
      <c r="D2671">
        <v>30.7</v>
      </c>
      <c r="F2671">
        <v>22.5</v>
      </c>
      <c r="G2671">
        <v>11.8</v>
      </c>
      <c r="H2671">
        <v>38.1</v>
      </c>
    </row>
    <row r="2672" spans="1:10" x14ac:dyDescent="0.3">
      <c r="A2672" t="s">
        <v>268</v>
      </c>
      <c r="B2672">
        <v>33</v>
      </c>
      <c r="D2672">
        <v>1</v>
      </c>
      <c r="F2672">
        <v>1</v>
      </c>
      <c r="G2672">
        <v>0</v>
      </c>
      <c r="H2672">
        <v>1</v>
      </c>
    </row>
    <row r="2673" spans="1:10" x14ac:dyDescent="0.3">
      <c r="A2673" t="s">
        <v>269</v>
      </c>
      <c r="B2673">
        <v>33</v>
      </c>
      <c r="D2673">
        <v>1</v>
      </c>
      <c r="F2673">
        <v>1</v>
      </c>
      <c r="G2673">
        <v>1</v>
      </c>
      <c r="H2673">
        <v>1</v>
      </c>
    </row>
    <row r="2674" spans="1:10" x14ac:dyDescent="0.3">
      <c r="A2674" t="s">
        <v>270</v>
      </c>
      <c r="B2674">
        <v>33</v>
      </c>
      <c r="D2674">
        <v>32</v>
      </c>
      <c r="F2674">
        <v>133</v>
      </c>
      <c r="G2674">
        <v>32</v>
      </c>
      <c r="H2674">
        <v>60</v>
      </c>
    </row>
    <row r="2675" spans="1:10" x14ac:dyDescent="0.3">
      <c r="A2675" t="s">
        <v>271</v>
      </c>
      <c r="B2675">
        <v>33</v>
      </c>
      <c r="D2675">
        <v>133</v>
      </c>
      <c r="F2675">
        <v>32</v>
      </c>
      <c r="G2675">
        <v>60</v>
      </c>
      <c r="H2675">
        <v>133</v>
      </c>
    </row>
    <row r="2676" spans="1:10" x14ac:dyDescent="0.3">
      <c r="A2676" t="s">
        <v>272</v>
      </c>
      <c r="B2676">
        <v>33</v>
      </c>
      <c r="D2676">
        <v>127.3</v>
      </c>
      <c r="F2676">
        <v>25</v>
      </c>
      <c r="G2676">
        <v>54.2</v>
      </c>
      <c r="H2676">
        <v>126.9</v>
      </c>
    </row>
    <row r="2677" spans="1:10" x14ac:dyDescent="0.3">
      <c r="A2677" t="s">
        <v>273</v>
      </c>
      <c r="B2677">
        <v>33</v>
      </c>
      <c r="D2677">
        <v>127.3</v>
      </c>
      <c r="F2677">
        <v>25</v>
      </c>
      <c r="G2677">
        <v>54.2</v>
      </c>
      <c r="H2677">
        <v>105.9</v>
      </c>
    </row>
    <row r="2678" spans="1:10" x14ac:dyDescent="0.3">
      <c r="A2678" t="s">
        <v>274</v>
      </c>
      <c r="B2678">
        <v>33</v>
      </c>
      <c r="D2678">
        <v>112</v>
      </c>
      <c r="F2678">
        <v>73</v>
      </c>
      <c r="G2678">
        <v>112</v>
      </c>
      <c r="H2678">
        <v>0</v>
      </c>
    </row>
    <row r="2679" spans="1:10" x14ac:dyDescent="0.3">
      <c r="A2679" t="s">
        <v>275</v>
      </c>
      <c r="B2679">
        <v>33</v>
      </c>
      <c r="D2679">
        <v>67.3</v>
      </c>
      <c r="F2679">
        <v>105</v>
      </c>
      <c r="G2679">
        <v>134.19999999999999</v>
      </c>
      <c r="H2679">
        <v>66.900000000000006</v>
      </c>
    </row>
    <row r="2680" spans="1:10" x14ac:dyDescent="0.3">
      <c r="A2680" t="s">
        <v>276</v>
      </c>
      <c r="B2680">
        <v>33</v>
      </c>
      <c r="D2680">
        <v>67.3</v>
      </c>
      <c r="F2680">
        <v>105</v>
      </c>
      <c r="G2680">
        <v>134.19999999999999</v>
      </c>
      <c r="H2680">
        <v>45.9</v>
      </c>
    </row>
    <row r="2681" spans="1:10" x14ac:dyDescent="0.3">
      <c r="A2681" t="s">
        <v>567</v>
      </c>
      <c r="B2681">
        <v>33</v>
      </c>
      <c r="D2681">
        <v>117.5</v>
      </c>
      <c r="F2681">
        <v>9.8000000000000007</v>
      </c>
      <c r="G2681">
        <v>6.5</v>
      </c>
      <c r="H2681">
        <v>104.8</v>
      </c>
    </row>
    <row r="2682" spans="1:10" x14ac:dyDescent="0.3">
      <c r="A2682" t="s">
        <v>254</v>
      </c>
      <c r="B2682">
        <v>34</v>
      </c>
      <c r="C2682">
        <v>111</v>
      </c>
      <c r="D2682">
        <v>112</v>
      </c>
      <c r="E2682">
        <v>211</v>
      </c>
      <c r="F2682">
        <v>212</v>
      </c>
      <c r="G2682">
        <v>121</v>
      </c>
      <c r="H2682">
        <v>122</v>
      </c>
      <c r="I2682">
        <v>221</v>
      </c>
      <c r="J2682">
        <v>222</v>
      </c>
    </row>
    <row r="2683" spans="1:10" x14ac:dyDescent="0.3">
      <c r="A2683" t="s">
        <v>255</v>
      </c>
      <c r="B2683">
        <v>34</v>
      </c>
      <c r="C2683">
        <v>6</v>
      </c>
      <c r="D2683">
        <v>25</v>
      </c>
      <c r="E2683">
        <v>6</v>
      </c>
      <c r="F2683">
        <v>8</v>
      </c>
      <c r="G2683">
        <v>6</v>
      </c>
      <c r="H2683">
        <v>25</v>
      </c>
      <c r="I2683">
        <v>6</v>
      </c>
      <c r="J2683">
        <v>8</v>
      </c>
    </row>
    <row r="2684" spans="1:10" x14ac:dyDescent="0.3">
      <c r="A2684" t="s">
        <v>256</v>
      </c>
      <c r="B2684">
        <v>34</v>
      </c>
      <c r="C2684">
        <v>12.3</v>
      </c>
      <c r="D2684">
        <v>39.6</v>
      </c>
      <c r="E2684">
        <v>13.3</v>
      </c>
      <c r="F2684">
        <v>46</v>
      </c>
      <c r="G2684">
        <v>10.3</v>
      </c>
      <c r="H2684">
        <v>41.9</v>
      </c>
      <c r="I2684">
        <v>12.7</v>
      </c>
      <c r="J2684">
        <v>46.4</v>
      </c>
    </row>
    <row r="2685" spans="1:10" x14ac:dyDescent="0.3">
      <c r="A2685" t="s">
        <v>257</v>
      </c>
      <c r="B2685">
        <v>34</v>
      </c>
      <c r="C2685">
        <v>2</v>
      </c>
      <c r="D2685">
        <v>2</v>
      </c>
      <c r="E2685">
        <v>2</v>
      </c>
      <c r="F2685">
        <v>2</v>
      </c>
      <c r="G2685">
        <v>2</v>
      </c>
      <c r="H2685">
        <v>2</v>
      </c>
      <c r="I2685">
        <v>2.5</v>
      </c>
      <c r="J2685">
        <v>2</v>
      </c>
    </row>
    <row r="2686" spans="1:10" x14ac:dyDescent="0.3">
      <c r="A2686" t="s">
        <v>258</v>
      </c>
      <c r="B2686">
        <v>34</v>
      </c>
      <c r="C2686">
        <v>0</v>
      </c>
      <c r="D2686">
        <v>0</v>
      </c>
      <c r="E2686">
        <v>0</v>
      </c>
      <c r="F2686">
        <v>0</v>
      </c>
      <c r="G2686">
        <v>0</v>
      </c>
      <c r="H2686">
        <v>0</v>
      </c>
      <c r="I2686">
        <v>0</v>
      </c>
      <c r="J2686">
        <v>0</v>
      </c>
    </row>
    <row r="2687" spans="1:10" x14ac:dyDescent="0.3">
      <c r="A2687" t="s">
        <v>259</v>
      </c>
      <c r="B2687">
        <v>34</v>
      </c>
      <c r="C2687">
        <v>0</v>
      </c>
      <c r="D2687">
        <v>0</v>
      </c>
      <c r="E2687">
        <v>0</v>
      </c>
      <c r="F2687">
        <v>0</v>
      </c>
      <c r="G2687">
        <v>0</v>
      </c>
      <c r="H2687">
        <v>0</v>
      </c>
      <c r="I2687">
        <v>0</v>
      </c>
      <c r="J2687">
        <v>0</v>
      </c>
    </row>
    <row r="2688" spans="1:10" x14ac:dyDescent="0.3">
      <c r="A2688" t="s">
        <v>260</v>
      </c>
      <c r="B2688">
        <v>34</v>
      </c>
      <c r="C2688">
        <v>3</v>
      </c>
      <c r="D2688">
        <v>3</v>
      </c>
      <c r="E2688">
        <v>3</v>
      </c>
      <c r="F2688">
        <v>3</v>
      </c>
      <c r="G2688">
        <v>3</v>
      </c>
      <c r="H2688">
        <v>3</v>
      </c>
      <c r="I2688">
        <v>3</v>
      </c>
      <c r="J2688">
        <v>3</v>
      </c>
    </row>
    <row r="2689" spans="1:10" x14ac:dyDescent="0.3">
      <c r="A2689" t="s">
        <v>261</v>
      </c>
      <c r="B2689">
        <v>34</v>
      </c>
      <c r="C2689">
        <v>3</v>
      </c>
      <c r="D2689">
        <v>4.4000000000000004</v>
      </c>
      <c r="E2689">
        <v>3</v>
      </c>
      <c r="F2689">
        <v>3.6</v>
      </c>
      <c r="G2689">
        <v>3</v>
      </c>
      <c r="H2689">
        <v>4.4000000000000004</v>
      </c>
      <c r="I2689">
        <v>3</v>
      </c>
      <c r="J2689">
        <v>3.6</v>
      </c>
    </row>
    <row r="2690" spans="1:10" x14ac:dyDescent="0.3">
      <c r="A2690" t="s">
        <v>262</v>
      </c>
      <c r="B2690">
        <v>34</v>
      </c>
      <c r="C2690">
        <v>4.7</v>
      </c>
      <c r="D2690">
        <v>2.2999999999999998</v>
      </c>
      <c r="E2690">
        <v>4.7</v>
      </c>
      <c r="F2690">
        <v>3.1</v>
      </c>
      <c r="G2690">
        <v>4.7</v>
      </c>
      <c r="H2690">
        <v>2</v>
      </c>
      <c r="I2690">
        <v>4.7</v>
      </c>
      <c r="J2690">
        <v>3.3</v>
      </c>
    </row>
    <row r="2691" spans="1:10" x14ac:dyDescent="0.3">
      <c r="A2691" t="s">
        <v>263</v>
      </c>
      <c r="B2691">
        <v>34</v>
      </c>
      <c r="C2691">
        <v>0</v>
      </c>
      <c r="D2691">
        <v>3</v>
      </c>
      <c r="E2691">
        <v>0</v>
      </c>
      <c r="F2691">
        <v>0</v>
      </c>
      <c r="G2691">
        <v>0</v>
      </c>
      <c r="H2691">
        <v>3</v>
      </c>
      <c r="I2691">
        <v>0</v>
      </c>
      <c r="J2691">
        <v>0</v>
      </c>
    </row>
    <row r="2692" spans="1:10" x14ac:dyDescent="0.3">
      <c r="A2692" t="s">
        <v>264</v>
      </c>
      <c r="B2692">
        <v>34</v>
      </c>
      <c r="D2692">
        <v>7</v>
      </c>
      <c r="F2692">
        <v>7</v>
      </c>
      <c r="H2692">
        <v>7</v>
      </c>
      <c r="J2692">
        <v>7</v>
      </c>
    </row>
    <row r="2693" spans="1:10" x14ac:dyDescent="0.3">
      <c r="A2693" t="s">
        <v>265</v>
      </c>
      <c r="B2693">
        <v>34</v>
      </c>
      <c r="D2693">
        <v>26</v>
      </c>
      <c r="F2693">
        <v>35</v>
      </c>
      <c r="H2693">
        <v>26</v>
      </c>
      <c r="J2693">
        <v>35</v>
      </c>
    </row>
    <row r="2694" spans="1:10" x14ac:dyDescent="0.3">
      <c r="A2694" t="s">
        <v>266</v>
      </c>
      <c r="B2694">
        <v>34</v>
      </c>
      <c r="D2694">
        <v>0</v>
      </c>
      <c r="F2694">
        <v>0</v>
      </c>
      <c r="H2694">
        <v>0</v>
      </c>
      <c r="J2694">
        <v>0</v>
      </c>
    </row>
    <row r="2695" spans="1:10" x14ac:dyDescent="0.3">
      <c r="A2695" t="s">
        <v>267</v>
      </c>
      <c r="B2695">
        <v>34</v>
      </c>
      <c r="C2695">
        <v>13.7</v>
      </c>
      <c r="D2695">
        <v>44.7</v>
      </c>
      <c r="E2695">
        <v>13.7</v>
      </c>
      <c r="F2695">
        <v>52.7</v>
      </c>
      <c r="G2695">
        <v>13.7</v>
      </c>
      <c r="H2695">
        <v>43.4</v>
      </c>
      <c r="I2695">
        <v>13.7</v>
      </c>
      <c r="J2695">
        <v>52.9</v>
      </c>
    </row>
    <row r="2696" spans="1:10" x14ac:dyDescent="0.3">
      <c r="A2696" t="s">
        <v>268</v>
      </c>
      <c r="B2696">
        <v>34</v>
      </c>
      <c r="C2696">
        <v>0</v>
      </c>
      <c r="D2696">
        <v>1</v>
      </c>
      <c r="E2696">
        <v>0</v>
      </c>
      <c r="F2696">
        <v>1</v>
      </c>
      <c r="G2696">
        <v>0</v>
      </c>
      <c r="H2696">
        <v>1</v>
      </c>
      <c r="I2696">
        <v>0</v>
      </c>
      <c r="J2696">
        <v>1</v>
      </c>
    </row>
    <row r="2697" spans="1:10" x14ac:dyDescent="0.3">
      <c r="A2697" t="s">
        <v>269</v>
      </c>
      <c r="B2697">
        <v>34</v>
      </c>
      <c r="C2697">
        <v>1</v>
      </c>
      <c r="D2697">
        <v>1</v>
      </c>
      <c r="E2697">
        <v>1</v>
      </c>
      <c r="F2697">
        <v>1</v>
      </c>
      <c r="G2697">
        <v>1</v>
      </c>
      <c r="H2697">
        <v>1</v>
      </c>
      <c r="I2697">
        <v>1</v>
      </c>
      <c r="J2697">
        <v>1</v>
      </c>
    </row>
    <row r="2698" spans="1:10" x14ac:dyDescent="0.3">
      <c r="A2698" t="s">
        <v>270</v>
      </c>
      <c r="B2698">
        <v>34</v>
      </c>
      <c r="C2698">
        <v>25</v>
      </c>
      <c r="D2698">
        <v>45</v>
      </c>
      <c r="E2698">
        <v>91.3</v>
      </c>
      <c r="F2698">
        <v>112.3</v>
      </c>
      <c r="G2698">
        <v>25</v>
      </c>
      <c r="H2698">
        <v>43</v>
      </c>
      <c r="I2698">
        <v>91.3</v>
      </c>
      <c r="J2698">
        <v>111.7</v>
      </c>
    </row>
    <row r="2699" spans="1:10" x14ac:dyDescent="0.3">
      <c r="A2699" t="s">
        <v>271</v>
      </c>
      <c r="B2699">
        <v>34</v>
      </c>
      <c r="C2699">
        <v>45</v>
      </c>
      <c r="D2699">
        <v>91.3</v>
      </c>
      <c r="E2699">
        <v>112.3</v>
      </c>
      <c r="F2699">
        <v>25</v>
      </c>
      <c r="G2699">
        <v>43</v>
      </c>
      <c r="H2699">
        <v>91.3</v>
      </c>
      <c r="I2699">
        <v>111.7</v>
      </c>
      <c r="J2699">
        <v>25</v>
      </c>
    </row>
    <row r="2700" spans="1:10" x14ac:dyDescent="0.3">
      <c r="A2700" t="s">
        <v>272</v>
      </c>
      <c r="B2700">
        <v>34</v>
      </c>
      <c r="C2700">
        <v>37.299999999999997</v>
      </c>
      <c r="D2700">
        <v>84.6</v>
      </c>
      <c r="E2700">
        <v>104.6</v>
      </c>
      <c r="F2700">
        <v>18.3</v>
      </c>
      <c r="G2700">
        <v>35.299999999999997</v>
      </c>
      <c r="H2700">
        <v>84.9</v>
      </c>
      <c r="I2700">
        <v>104</v>
      </c>
      <c r="J2700">
        <v>18.100000000000001</v>
      </c>
    </row>
    <row r="2701" spans="1:10" x14ac:dyDescent="0.3">
      <c r="A2701" t="s">
        <v>273</v>
      </c>
      <c r="B2701">
        <v>34</v>
      </c>
      <c r="C2701">
        <v>37.299999999999997</v>
      </c>
      <c r="D2701">
        <v>58.6</v>
      </c>
      <c r="E2701">
        <v>104.6</v>
      </c>
      <c r="F2701">
        <v>18.3</v>
      </c>
      <c r="G2701">
        <v>35.299999999999997</v>
      </c>
      <c r="H2701">
        <v>58.9</v>
      </c>
      <c r="I2701">
        <v>104</v>
      </c>
      <c r="J2701">
        <v>18.100000000000001</v>
      </c>
    </row>
    <row r="2702" spans="1:10" x14ac:dyDescent="0.3">
      <c r="A2702" t="s">
        <v>274</v>
      </c>
      <c r="B2702">
        <v>34</v>
      </c>
      <c r="C2702">
        <v>120</v>
      </c>
      <c r="D2702">
        <v>0</v>
      </c>
      <c r="E2702">
        <v>46.3</v>
      </c>
      <c r="F2702">
        <v>67.3</v>
      </c>
      <c r="G2702">
        <v>120</v>
      </c>
      <c r="H2702">
        <v>138</v>
      </c>
      <c r="I2702">
        <v>46.3</v>
      </c>
      <c r="J2702">
        <v>66.7</v>
      </c>
    </row>
    <row r="2703" spans="1:10" x14ac:dyDescent="0.3">
      <c r="A2703" t="s">
        <v>275</v>
      </c>
      <c r="B2703">
        <v>34</v>
      </c>
      <c r="C2703">
        <v>132.30000000000001</v>
      </c>
      <c r="D2703">
        <v>39.6</v>
      </c>
      <c r="E2703">
        <v>59.6</v>
      </c>
      <c r="F2703">
        <v>113.3</v>
      </c>
      <c r="G2703">
        <v>130.30000000000001</v>
      </c>
      <c r="H2703">
        <v>39.9</v>
      </c>
      <c r="I2703">
        <v>59</v>
      </c>
      <c r="J2703">
        <v>113.1</v>
      </c>
    </row>
    <row r="2704" spans="1:10" x14ac:dyDescent="0.3">
      <c r="A2704" t="s">
        <v>276</v>
      </c>
      <c r="B2704">
        <v>34</v>
      </c>
      <c r="C2704">
        <v>132.30000000000001</v>
      </c>
      <c r="D2704">
        <v>13.6</v>
      </c>
      <c r="E2704">
        <v>59.6</v>
      </c>
      <c r="F2704">
        <v>113.3</v>
      </c>
      <c r="G2704">
        <v>130.30000000000001</v>
      </c>
      <c r="H2704">
        <v>13.9</v>
      </c>
      <c r="I2704">
        <v>59</v>
      </c>
      <c r="J2704">
        <v>113.1</v>
      </c>
    </row>
    <row r="2705" spans="1:10" x14ac:dyDescent="0.3">
      <c r="A2705" t="s">
        <v>567</v>
      </c>
      <c r="B2705">
        <v>34</v>
      </c>
      <c r="C2705">
        <v>12.4</v>
      </c>
      <c r="D2705">
        <v>66.5</v>
      </c>
      <c r="E2705">
        <v>11.4</v>
      </c>
      <c r="F2705">
        <v>20.9</v>
      </c>
      <c r="G2705">
        <v>9.9</v>
      </c>
      <c r="H2705">
        <v>69.3</v>
      </c>
      <c r="I2705">
        <v>11.4</v>
      </c>
      <c r="J2705">
        <v>20.7</v>
      </c>
    </row>
    <row r="2706" spans="1:10" x14ac:dyDescent="0.3">
      <c r="A2706" t="s">
        <v>254</v>
      </c>
      <c r="B2706">
        <v>36</v>
      </c>
      <c r="C2706">
        <v>111</v>
      </c>
      <c r="D2706">
        <v>112</v>
      </c>
      <c r="E2706">
        <v>211</v>
      </c>
      <c r="F2706">
        <v>212</v>
      </c>
      <c r="G2706">
        <v>121</v>
      </c>
      <c r="H2706">
        <v>122</v>
      </c>
      <c r="I2706">
        <v>221</v>
      </c>
      <c r="J2706">
        <v>222</v>
      </c>
    </row>
    <row r="2707" spans="1:10" x14ac:dyDescent="0.3">
      <c r="A2707" t="s">
        <v>255</v>
      </c>
      <c r="B2707">
        <v>36</v>
      </c>
      <c r="C2707">
        <v>6</v>
      </c>
      <c r="D2707">
        <v>25</v>
      </c>
      <c r="E2707">
        <v>6</v>
      </c>
      <c r="F2707">
        <v>10</v>
      </c>
      <c r="G2707">
        <v>6</v>
      </c>
      <c r="H2707">
        <v>25</v>
      </c>
      <c r="I2707">
        <v>6</v>
      </c>
      <c r="J2707">
        <v>10</v>
      </c>
    </row>
    <row r="2708" spans="1:10" x14ac:dyDescent="0.3">
      <c r="A2708" t="s">
        <v>256</v>
      </c>
      <c r="B2708">
        <v>36</v>
      </c>
      <c r="C2708">
        <v>22.5</v>
      </c>
      <c r="D2708">
        <v>47.3</v>
      </c>
      <c r="E2708">
        <v>16.7</v>
      </c>
      <c r="F2708">
        <v>25.7</v>
      </c>
      <c r="G2708">
        <v>11.7</v>
      </c>
      <c r="H2708">
        <v>55.3</v>
      </c>
      <c r="I2708">
        <v>17.3</v>
      </c>
      <c r="J2708">
        <v>24.8</v>
      </c>
    </row>
    <row r="2709" spans="1:10" x14ac:dyDescent="0.3">
      <c r="A2709" t="s">
        <v>257</v>
      </c>
      <c r="B2709">
        <v>36</v>
      </c>
      <c r="C2709">
        <v>2.5</v>
      </c>
      <c r="D2709">
        <v>6</v>
      </c>
      <c r="E2709">
        <v>2.5</v>
      </c>
      <c r="F2709">
        <v>2.5</v>
      </c>
      <c r="G2709">
        <v>2.5</v>
      </c>
      <c r="H2709">
        <v>6</v>
      </c>
      <c r="I2709">
        <v>2.5</v>
      </c>
      <c r="J2709">
        <v>2.5</v>
      </c>
    </row>
    <row r="2710" spans="1:10" x14ac:dyDescent="0.3">
      <c r="A2710" t="s">
        <v>258</v>
      </c>
      <c r="B2710">
        <v>36</v>
      </c>
      <c r="C2710">
        <v>0</v>
      </c>
      <c r="D2710">
        <v>0</v>
      </c>
      <c r="E2710">
        <v>0</v>
      </c>
      <c r="F2710">
        <v>0</v>
      </c>
      <c r="G2710">
        <v>0</v>
      </c>
      <c r="H2710">
        <v>0</v>
      </c>
      <c r="I2710">
        <v>0</v>
      </c>
      <c r="J2710">
        <v>0</v>
      </c>
    </row>
    <row r="2711" spans="1:10" x14ac:dyDescent="0.3">
      <c r="A2711" t="s">
        <v>259</v>
      </c>
      <c r="B2711">
        <v>36</v>
      </c>
      <c r="C2711">
        <v>0</v>
      </c>
      <c r="D2711">
        <v>0</v>
      </c>
      <c r="E2711">
        <v>0</v>
      </c>
      <c r="F2711">
        <v>0</v>
      </c>
      <c r="G2711">
        <v>0</v>
      </c>
      <c r="H2711">
        <v>0</v>
      </c>
      <c r="I2711">
        <v>0</v>
      </c>
      <c r="J2711">
        <v>0</v>
      </c>
    </row>
    <row r="2712" spans="1:10" x14ac:dyDescent="0.3">
      <c r="A2712" t="s">
        <v>260</v>
      </c>
      <c r="B2712">
        <v>36</v>
      </c>
      <c r="C2712">
        <v>3</v>
      </c>
      <c r="D2712">
        <v>3</v>
      </c>
      <c r="E2712">
        <v>3</v>
      </c>
      <c r="F2712">
        <v>3</v>
      </c>
      <c r="G2712">
        <v>3</v>
      </c>
      <c r="H2712">
        <v>3</v>
      </c>
      <c r="I2712">
        <v>3</v>
      </c>
      <c r="J2712">
        <v>3</v>
      </c>
    </row>
    <row r="2713" spans="1:10" x14ac:dyDescent="0.3">
      <c r="A2713" t="s">
        <v>261</v>
      </c>
      <c r="B2713">
        <v>36</v>
      </c>
      <c r="C2713">
        <v>3</v>
      </c>
      <c r="D2713">
        <v>4.4000000000000004</v>
      </c>
      <c r="E2713">
        <v>3</v>
      </c>
      <c r="F2713">
        <v>4.0999999999999996</v>
      </c>
      <c r="G2713">
        <v>3</v>
      </c>
      <c r="H2713">
        <v>5.0999999999999996</v>
      </c>
      <c r="I2713">
        <v>3</v>
      </c>
      <c r="J2713">
        <v>4.0999999999999996</v>
      </c>
    </row>
    <row r="2714" spans="1:10" x14ac:dyDescent="0.3">
      <c r="A2714" t="s">
        <v>262</v>
      </c>
      <c r="B2714">
        <v>36</v>
      </c>
      <c r="C2714">
        <v>4.5</v>
      </c>
      <c r="D2714">
        <v>2.2999999999999998</v>
      </c>
      <c r="E2714">
        <v>3.3</v>
      </c>
      <c r="F2714">
        <v>3.2</v>
      </c>
      <c r="G2714">
        <v>4.3</v>
      </c>
      <c r="H2714">
        <v>4.5999999999999996</v>
      </c>
      <c r="I2714">
        <v>3.7</v>
      </c>
      <c r="J2714">
        <v>3.1</v>
      </c>
    </row>
    <row r="2715" spans="1:10" x14ac:dyDescent="0.3">
      <c r="A2715" t="s">
        <v>263</v>
      </c>
      <c r="B2715">
        <v>36</v>
      </c>
      <c r="C2715">
        <v>0</v>
      </c>
      <c r="D2715">
        <v>3</v>
      </c>
      <c r="E2715">
        <v>0</v>
      </c>
      <c r="F2715">
        <v>0</v>
      </c>
      <c r="G2715">
        <v>0</v>
      </c>
      <c r="H2715">
        <v>3</v>
      </c>
      <c r="I2715">
        <v>0</v>
      </c>
      <c r="J2715">
        <v>0</v>
      </c>
    </row>
    <row r="2716" spans="1:10" x14ac:dyDescent="0.3">
      <c r="A2716" t="s">
        <v>264</v>
      </c>
      <c r="B2716">
        <v>36</v>
      </c>
    </row>
    <row r="2717" spans="1:10" x14ac:dyDescent="0.3">
      <c r="A2717" t="s">
        <v>265</v>
      </c>
      <c r="B2717">
        <v>36</v>
      </c>
    </row>
    <row r="2718" spans="1:10" x14ac:dyDescent="0.3">
      <c r="A2718" t="s">
        <v>266</v>
      </c>
      <c r="B2718">
        <v>36</v>
      </c>
    </row>
    <row r="2719" spans="1:10" x14ac:dyDescent="0.3">
      <c r="A2719" t="s">
        <v>267</v>
      </c>
      <c r="B2719">
        <v>36</v>
      </c>
      <c r="C2719">
        <v>13.5</v>
      </c>
      <c r="D2719">
        <v>31.7</v>
      </c>
      <c r="E2719">
        <v>12.3</v>
      </c>
      <c r="F2719">
        <v>25.2</v>
      </c>
      <c r="G2719">
        <v>13.3</v>
      </c>
      <c r="H2719">
        <v>34.700000000000003</v>
      </c>
      <c r="I2719">
        <v>12.7</v>
      </c>
      <c r="J2719">
        <v>25.2</v>
      </c>
    </row>
    <row r="2720" spans="1:10" x14ac:dyDescent="0.3">
      <c r="A2720" t="s">
        <v>268</v>
      </c>
      <c r="B2720">
        <v>36</v>
      </c>
      <c r="C2720">
        <v>0</v>
      </c>
      <c r="D2720">
        <v>1</v>
      </c>
      <c r="E2720">
        <v>0</v>
      </c>
      <c r="F2720">
        <v>1</v>
      </c>
      <c r="G2720">
        <v>0</v>
      </c>
      <c r="H2720">
        <v>1</v>
      </c>
      <c r="I2720">
        <v>0</v>
      </c>
      <c r="J2720">
        <v>1</v>
      </c>
    </row>
    <row r="2721" spans="1:10" x14ac:dyDescent="0.3">
      <c r="A2721" t="s">
        <v>269</v>
      </c>
      <c r="B2721">
        <v>36</v>
      </c>
      <c r="C2721">
        <v>1</v>
      </c>
      <c r="D2721">
        <v>1</v>
      </c>
      <c r="E2721">
        <v>1</v>
      </c>
      <c r="F2721">
        <v>1</v>
      </c>
      <c r="G2721">
        <v>1</v>
      </c>
      <c r="H2721">
        <v>1</v>
      </c>
      <c r="I2721">
        <v>1</v>
      </c>
      <c r="J2721">
        <v>1</v>
      </c>
    </row>
    <row r="2722" spans="1:10" x14ac:dyDescent="0.3">
      <c r="A2722" t="s">
        <v>270</v>
      </c>
      <c r="B2722">
        <v>36</v>
      </c>
      <c r="C2722">
        <v>78</v>
      </c>
      <c r="D2722">
        <v>108</v>
      </c>
      <c r="E2722">
        <v>22</v>
      </c>
      <c r="F2722">
        <v>45</v>
      </c>
      <c r="G2722">
        <v>78</v>
      </c>
      <c r="H2722">
        <v>97</v>
      </c>
      <c r="I2722">
        <v>22</v>
      </c>
      <c r="J2722">
        <v>46</v>
      </c>
    </row>
    <row r="2723" spans="1:10" x14ac:dyDescent="0.3">
      <c r="A2723" t="s">
        <v>271</v>
      </c>
      <c r="B2723">
        <v>36</v>
      </c>
      <c r="C2723">
        <v>108</v>
      </c>
      <c r="D2723">
        <v>22</v>
      </c>
      <c r="E2723">
        <v>45</v>
      </c>
      <c r="F2723">
        <v>78</v>
      </c>
      <c r="G2723">
        <v>97</v>
      </c>
      <c r="H2723">
        <v>22</v>
      </c>
      <c r="I2723">
        <v>46</v>
      </c>
      <c r="J2723">
        <v>78</v>
      </c>
    </row>
    <row r="2724" spans="1:10" x14ac:dyDescent="0.3">
      <c r="A2724" t="s">
        <v>272</v>
      </c>
      <c r="B2724">
        <v>36</v>
      </c>
      <c r="C2724">
        <v>100.5</v>
      </c>
      <c r="D2724">
        <v>15.3</v>
      </c>
      <c r="E2724">
        <v>38.700000000000003</v>
      </c>
      <c r="F2724">
        <v>70.7</v>
      </c>
      <c r="G2724">
        <v>89.7</v>
      </c>
      <c r="H2724">
        <v>12.3</v>
      </c>
      <c r="I2724">
        <v>39.299999999999997</v>
      </c>
      <c r="J2724">
        <v>70.8</v>
      </c>
    </row>
    <row r="2725" spans="1:10" x14ac:dyDescent="0.3">
      <c r="A2725" t="s">
        <v>273</v>
      </c>
      <c r="B2725">
        <v>36</v>
      </c>
      <c r="C2725">
        <v>100.5</v>
      </c>
      <c r="D2725">
        <v>15.3</v>
      </c>
      <c r="E2725">
        <v>38.700000000000003</v>
      </c>
      <c r="F2725">
        <v>70.7</v>
      </c>
      <c r="G2725">
        <v>89.7</v>
      </c>
      <c r="H2725">
        <v>12.3</v>
      </c>
      <c r="I2725">
        <v>39.299999999999997</v>
      </c>
      <c r="J2725">
        <v>70.8</v>
      </c>
    </row>
    <row r="2726" spans="1:10" x14ac:dyDescent="0.3">
      <c r="A2726" t="s">
        <v>274</v>
      </c>
      <c r="B2726">
        <v>36</v>
      </c>
      <c r="C2726">
        <v>110</v>
      </c>
      <c r="D2726">
        <v>0</v>
      </c>
      <c r="E2726">
        <v>54</v>
      </c>
      <c r="F2726">
        <v>77</v>
      </c>
      <c r="G2726">
        <v>110</v>
      </c>
      <c r="H2726">
        <v>129</v>
      </c>
      <c r="I2726">
        <v>54</v>
      </c>
      <c r="J2726">
        <v>78</v>
      </c>
    </row>
    <row r="2727" spans="1:10" x14ac:dyDescent="0.3">
      <c r="A2727" t="s">
        <v>275</v>
      </c>
      <c r="B2727">
        <v>36</v>
      </c>
      <c r="C2727">
        <v>132.5</v>
      </c>
      <c r="D2727">
        <v>47.3</v>
      </c>
      <c r="E2727">
        <v>70.7</v>
      </c>
      <c r="F2727">
        <v>102.7</v>
      </c>
      <c r="G2727">
        <v>121.7</v>
      </c>
      <c r="H2727">
        <v>44.3</v>
      </c>
      <c r="I2727">
        <v>71.3</v>
      </c>
      <c r="J2727">
        <v>102.8</v>
      </c>
    </row>
    <row r="2728" spans="1:10" x14ac:dyDescent="0.3">
      <c r="A2728" t="s">
        <v>276</v>
      </c>
      <c r="B2728">
        <v>36</v>
      </c>
      <c r="C2728">
        <v>132.5</v>
      </c>
      <c r="D2728">
        <v>47.3</v>
      </c>
      <c r="E2728">
        <v>70.7</v>
      </c>
      <c r="F2728">
        <v>102.7</v>
      </c>
      <c r="G2728">
        <v>121.7</v>
      </c>
      <c r="H2728">
        <v>44.3</v>
      </c>
      <c r="I2728">
        <v>71.3</v>
      </c>
      <c r="J2728">
        <v>102.8</v>
      </c>
    </row>
    <row r="2729" spans="1:10" x14ac:dyDescent="0.3">
      <c r="A2729" t="s">
        <v>567</v>
      </c>
      <c r="B2729">
        <v>36</v>
      </c>
      <c r="C2729">
        <v>12.3</v>
      </c>
      <c r="D2729">
        <v>81.3</v>
      </c>
      <c r="E2729">
        <v>7.8</v>
      </c>
      <c r="F2729">
        <v>10.8</v>
      </c>
      <c r="G2729">
        <v>5.8</v>
      </c>
      <c r="H2729">
        <v>85</v>
      </c>
      <c r="I2729">
        <v>8</v>
      </c>
      <c r="J2729">
        <v>10.3</v>
      </c>
    </row>
    <row r="2730" spans="1:10" x14ac:dyDescent="0.3">
      <c r="A2730" t="s">
        <v>254</v>
      </c>
      <c r="B2730">
        <v>39</v>
      </c>
      <c r="C2730">
        <v>112</v>
      </c>
      <c r="D2730">
        <v>111</v>
      </c>
      <c r="E2730">
        <v>212</v>
      </c>
      <c r="F2730">
        <v>211</v>
      </c>
      <c r="G2730">
        <v>121</v>
      </c>
      <c r="H2730">
        <v>122</v>
      </c>
      <c r="I2730">
        <v>221</v>
      </c>
      <c r="J2730">
        <v>222</v>
      </c>
    </row>
    <row r="2731" spans="1:10" x14ac:dyDescent="0.3">
      <c r="A2731" t="s">
        <v>255</v>
      </c>
      <c r="B2731">
        <v>39</v>
      </c>
      <c r="C2731">
        <v>12</v>
      </c>
      <c r="D2731">
        <v>6</v>
      </c>
      <c r="E2731">
        <v>6</v>
      </c>
      <c r="F2731">
        <v>12</v>
      </c>
    </row>
    <row r="2732" spans="1:10" x14ac:dyDescent="0.3">
      <c r="A2732" t="s">
        <v>256</v>
      </c>
      <c r="B2732">
        <v>39</v>
      </c>
      <c r="C2732">
        <v>39.700000000000003</v>
      </c>
      <c r="D2732">
        <v>19.399999999999999</v>
      </c>
      <c r="E2732">
        <v>32.1</v>
      </c>
      <c r="F2732">
        <v>12.1</v>
      </c>
    </row>
    <row r="2733" spans="1:10" x14ac:dyDescent="0.3">
      <c r="A2733" t="s">
        <v>257</v>
      </c>
      <c r="B2733">
        <v>39</v>
      </c>
      <c r="C2733">
        <v>4.5</v>
      </c>
      <c r="D2733">
        <v>2.5</v>
      </c>
      <c r="E2733">
        <v>3</v>
      </c>
      <c r="F2733">
        <v>2.5</v>
      </c>
    </row>
    <row r="2734" spans="1:10" x14ac:dyDescent="0.3">
      <c r="A2734" t="s">
        <v>258</v>
      </c>
      <c r="B2734">
        <v>39</v>
      </c>
      <c r="C2734">
        <v>0</v>
      </c>
      <c r="D2734">
        <v>0</v>
      </c>
      <c r="E2734">
        <v>0</v>
      </c>
      <c r="F2734">
        <v>0</v>
      </c>
    </row>
    <row r="2735" spans="1:10" x14ac:dyDescent="0.3">
      <c r="A2735" t="s">
        <v>259</v>
      </c>
      <c r="B2735">
        <v>39</v>
      </c>
      <c r="C2735">
        <v>0</v>
      </c>
      <c r="D2735">
        <v>0</v>
      </c>
      <c r="E2735">
        <v>0</v>
      </c>
      <c r="F2735">
        <v>0</v>
      </c>
    </row>
    <row r="2736" spans="1:10" x14ac:dyDescent="0.3">
      <c r="A2736" t="s">
        <v>260</v>
      </c>
      <c r="B2736">
        <v>39</v>
      </c>
      <c r="C2736">
        <v>3</v>
      </c>
      <c r="D2736">
        <v>3</v>
      </c>
      <c r="E2736">
        <v>3</v>
      </c>
      <c r="F2736">
        <v>3</v>
      </c>
    </row>
    <row r="2737" spans="1:6" x14ac:dyDescent="0.3">
      <c r="A2737" t="s">
        <v>261</v>
      </c>
      <c r="B2737">
        <v>39</v>
      </c>
      <c r="C2737">
        <v>5.0999999999999996</v>
      </c>
      <c r="D2737">
        <v>5</v>
      </c>
      <c r="E2737">
        <v>5.0999999999999996</v>
      </c>
      <c r="F2737">
        <v>5.4</v>
      </c>
    </row>
    <row r="2738" spans="1:6" x14ac:dyDescent="0.3">
      <c r="A2738" t="s">
        <v>262</v>
      </c>
      <c r="B2738">
        <v>39</v>
      </c>
      <c r="C2738">
        <v>2.2000000000000002</v>
      </c>
      <c r="D2738">
        <v>4.5999999999999996</v>
      </c>
      <c r="E2738">
        <v>4.8</v>
      </c>
      <c r="F2738">
        <v>4.5</v>
      </c>
    </row>
    <row r="2739" spans="1:6" x14ac:dyDescent="0.3">
      <c r="A2739" t="s">
        <v>263</v>
      </c>
      <c r="B2739">
        <v>39</v>
      </c>
      <c r="C2739">
        <v>0</v>
      </c>
      <c r="D2739">
        <v>3</v>
      </c>
      <c r="E2739">
        <v>0</v>
      </c>
      <c r="F2739">
        <v>0</v>
      </c>
    </row>
    <row r="2740" spans="1:6" x14ac:dyDescent="0.3">
      <c r="A2740" t="s">
        <v>264</v>
      </c>
      <c r="B2740">
        <v>39</v>
      </c>
    </row>
    <row r="2741" spans="1:6" x14ac:dyDescent="0.3">
      <c r="A2741" t="s">
        <v>265</v>
      </c>
      <c r="B2741">
        <v>39</v>
      </c>
    </row>
    <row r="2742" spans="1:6" x14ac:dyDescent="0.3">
      <c r="A2742" t="s">
        <v>266</v>
      </c>
      <c r="B2742">
        <v>39</v>
      </c>
    </row>
    <row r="2743" spans="1:6" x14ac:dyDescent="0.3">
      <c r="A2743" t="s">
        <v>267</v>
      </c>
      <c r="B2743">
        <v>39</v>
      </c>
      <c r="C2743">
        <v>19.3</v>
      </c>
      <c r="D2743">
        <v>15.6</v>
      </c>
      <c r="E2743">
        <v>15.9</v>
      </c>
      <c r="F2743">
        <v>21.9</v>
      </c>
    </row>
    <row r="2744" spans="1:6" x14ac:dyDescent="0.3">
      <c r="A2744" t="s">
        <v>268</v>
      </c>
      <c r="B2744">
        <v>39</v>
      </c>
      <c r="C2744">
        <v>1</v>
      </c>
      <c r="D2744">
        <v>1</v>
      </c>
      <c r="E2744">
        <v>1</v>
      </c>
      <c r="F2744">
        <v>1</v>
      </c>
    </row>
    <row r="2745" spans="1:6" x14ac:dyDescent="0.3">
      <c r="A2745" t="s">
        <v>269</v>
      </c>
      <c r="B2745">
        <v>39</v>
      </c>
      <c r="C2745">
        <v>1</v>
      </c>
      <c r="D2745">
        <v>1</v>
      </c>
      <c r="E2745">
        <v>1</v>
      </c>
      <c r="F2745">
        <v>1</v>
      </c>
    </row>
    <row r="2746" spans="1:6" x14ac:dyDescent="0.3">
      <c r="A2746" t="s">
        <v>270</v>
      </c>
      <c r="B2746">
        <v>39</v>
      </c>
      <c r="C2746">
        <v>30</v>
      </c>
      <c r="D2746">
        <v>1</v>
      </c>
      <c r="E2746">
        <v>99</v>
      </c>
      <c r="F2746">
        <v>77</v>
      </c>
    </row>
    <row r="2747" spans="1:6" x14ac:dyDescent="0.3">
      <c r="A2747" t="s">
        <v>271</v>
      </c>
      <c r="B2747">
        <v>39</v>
      </c>
      <c r="C2747">
        <v>77</v>
      </c>
      <c r="D2747">
        <v>30</v>
      </c>
      <c r="E2747">
        <v>1</v>
      </c>
      <c r="F2747">
        <v>99</v>
      </c>
    </row>
    <row r="2748" spans="1:6" x14ac:dyDescent="0.3">
      <c r="A2748" t="s">
        <v>272</v>
      </c>
      <c r="B2748">
        <v>39</v>
      </c>
      <c r="C2748">
        <v>69.7</v>
      </c>
      <c r="D2748">
        <v>20.399999999999999</v>
      </c>
      <c r="E2748">
        <v>131.1</v>
      </c>
      <c r="F2748">
        <v>89.1</v>
      </c>
    </row>
    <row r="2749" spans="1:6" x14ac:dyDescent="0.3">
      <c r="A2749" t="s">
        <v>273</v>
      </c>
      <c r="B2749">
        <v>39</v>
      </c>
      <c r="C2749">
        <v>69.7</v>
      </c>
      <c r="D2749">
        <v>20.399999999999999</v>
      </c>
      <c r="E2749">
        <v>131.1</v>
      </c>
      <c r="F2749">
        <v>89.1</v>
      </c>
    </row>
    <row r="2750" spans="1:6" x14ac:dyDescent="0.3">
      <c r="A2750" t="s">
        <v>274</v>
      </c>
      <c r="B2750">
        <v>39</v>
      </c>
      <c r="C2750">
        <v>29</v>
      </c>
      <c r="D2750">
        <v>0</v>
      </c>
      <c r="E2750">
        <v>98</v>
      </c>
      <c r="F2750">
        <v>76</v>
      </c>
    </row>
    <row r="2751" spans="1:6" x14ac:dyDescent="0.3">
      <c r="A2751" t="s">
        <v>275</v>
      </c>
      <c r="B2751">
        <v>39</v>
      </c>
      <c r="C2751">
        <v>68.7</v>
      </c>
      <c r="D2751">
        <v>19.399999999999999</v>
      </c>
      <c r="E2751">
        <v>130.1</v>
      </c>
      <c r="F2751">
        <v>88.1</v>
      </c>
    </row>
    <row r="2752" spans="1:6" x14ac:dyDescent="0.3">
      <c r="A2752" t="s">
        <v>276</v>
      </c>
      <c r="B2752">
        <v>39</v>
      </c>
      <c r="C2752">
        <v>68.7</v>
      </c>
      <c r="D2752">
        <v>19.399999999999999</v>
      </c>
      <c r="E2752">
        <v>130.1</v>
      </c>
      <c r="F2752">
        <v>88.1</v>
      </c>
    </row>
    <row r="2753" spans="1:10" x14ac:dyDescent="0.3">
      <c r="A2753" t="s">
        <v>567</v>
      </c>
      <c r="B2753">
        <v>39</v>
      </c>
      <c r="C2753">
        <v>39.700000000000003</v>
      </c>
      <c r="D2753">
        <v>19.399999999999999</v>
      </c>
      <c r="E2753">
        <v>32.1</v>
      </c>
      <c r="F2753">
        <v>12.1</v>
      </c>
    </row>
    <row r="2754" spans="1:10" x14ac:dyDescent="0.3">
      <c r="A2754" t="s">
        <v>254</v>
      </c>
      <c r="B2754">
        <v>44</v>
      </c>
      <c r="C2754">
        <v>111</v>
      </c>
      <c r="D2754">
        <v>112</v>
      </c>
      <c r="E2754">
        <v>211</v>
      </c>
      <c r="F2754">
        <v>212</v>
      </c>
      <c r="G2754">
        <v>121</v>
      </c>
      <c r="H2754">
        <v>122</v>
      </c>
      <c r="I2754">
        <v>221</v>
      </c>
      <c r="J2754">
        <v>222</v>
      </c>
    </row>
    <row r="2755" spans="1:10" x14ac:dyDescent="0.3">
      <c r="A2755" t="s">
        <v>255</v>
      </c>
      <c r="B2755">
        <v>44</v>
      </c>
      <c r="C2755">
        <v>6</v>
      </c>
      <c r="D2755">
        <v>15</v>
      </c>
      <c r="E2755">
        <v>12</v>
      </c>
      <c r="F2755">
        <v>8</v>
      </c>
      <c r="G2755">
        <v>12</v>
      </c>
      <c r="H2755">
        <v>15</v>
      </c>
      <c r="I2755">
        <v>6</v>
      </c>
      <c r="J2755">
        <v>8</v>
      </c>
    </row>
    <row r="2756" spans="1:10" x14ac:dyDescent="0.3">
      <c r="A2756" t="s">
        <v>256</v>
      </c>
      <c r="B2756">
        <v>44</v>
      </c>
      <c r="C2756">
        <v>6.9</v>
      </c>
      <c r="D2756">
        <v>48.6</v>
      </c>
      <c r="E2756">
        <v>32</v>
      </c>
      <c r="F2756">
        <v>50</v>
      </c>
      <c r="G2756">
        <v>12</v>
      </c>
      <c r="H2756">
        <v>43.7</v>
      </c>
      <c r="I2756">
        <v>6</v>
      </c>
      <c r="J2756">
        <v>75.8</v>
      </c>
    </row>
    <row r="2757" spans="1:10" x14ac:dyDescent="0.3">
      <c r="A2757" t="s">
        <v>257</v>
      </c>
      <c r="B2757">
        <v>44</v>
      </c>
      <c r="C2757">
        <v>2.5</v>
      </c>
      <c r="D2757">
        <v>6.5</v>
      </c>
      <c r="E2757">
        <v>3</v>
      </c>
      <c r="F2757">
        <v>2.5</v>
      </c>
      <c r="G2757">
        <v>2.5</v>
      </c>
      <c r="H2757">
        <v>6.5</v>
      </c>
      <c r="I2757">
        <v>2.5</v>
      </c>
      <c r="J2757">
        <v>2.5</v>
      </c>
    </row>
    <row r="2758" spans="1:10" x14ac:dyDescent="0.3">
      <c r="A2758" t="s">
        <v>258</v>
      </c>
      <c r="B2758">
        <v>44</v>
      </c>
      <c r="C2758">
        <v>0</v>
      </c>
      <c r="D2758">
        <v>0</v>
      </c>
      <c r="E2758">
        <v>0</v>
      </c>
      <c r="F2758">
        <v>0</v>
      </c>
      <c r="G2758">
        <v>0</v>
      </c>
      <c r="H2758">
        <v>0</v>
      </c>
      <c r="I2758">
        <v>0</v>
      </c>
      <c r="J2758">
        <v>0</v>
      </c>
    </row>
    <row r="2759" spans="1:10" x14ac:dyDescent="0.3">
      <c r="A2759" t="s">
        <v>259</v>
      </c>
      <c r="B2759">
        <v>44</v>
      </c>
      <c r="C2759">
        <v>0</v>
      </c>
      <c r="D2759">
        <v>0</v>
      </c>
      <c r="E2759">
        <v>0</v>
      </c>
      <c r="F2759">
        <v>0</v>
      </c>
      <c r="G2759">
        <v>0</v>
      </c>
      <c r="H2759">
        <v>0</v>
      </c>
      <c r="I2759">
        <v>0</v>
      </c>
      <c r="J2759">
        <v>0</v>
      </c>
    </row>
    <row r="2760" spans="1:10" x14ac:dyDescent="0.3">
      <c r="A2760" t="s">
        <v>260</v>
      </c>
      <c r="B2760">
        <v>44</v>
      </c>
      <c r="C2760">
        <v>3</v>
      </c>
      <c r="D2760">
        <v>3</v>
      </c>
      <c r="E2760">
        <v>3</v>
      </c>
      <c r="F2760">
        <v>3</v>
      </c>
      <c r="G2760">
        <v>3</v>
      </c>
      <c r="H2760">
        <v>3</v>
      </c>
      <c r="I2760">
        <v>3</v>
      </c>
      <c r="J2760">
        <v>3</v>
      </c>
    </row>
    <row r="2761" spans="1:10" x14ac:dyDescent="0.3">
      <c r="A2761" t="s">
        <v>261</v>
      </c>
      <c r="B2761">
        <v>44</v>
      </c>
      <c r="C2761">
        <v>3</v>
      </c>
      <c r="D2761">
        <v>5.8</v>
      </c>
      <c r="E2761">
        <v>3</v>
      </c>
      <c r="F2761">
        <v>3.3</v>
      </c>
      <c r="G2761">
        <v>3</v>
      </c>
      <c r="H2761">
        <v>5.8</v>
      </c>
      <c r="I2761">
        <v>3</v>
      </c>
      <c r="J2761">
        <v>4.4000000000000004</v>
      </c>
    </row>
    <row r="2762" spans="1:10" x14ac:dyDescent="0.3">
      <c r="A2762" t="s">
        <v>262</v>
      </c>
      <c r="B2762">
        <v>44</v>
      </c>
      <c r="C2762">
        <v>4.7</v>
      </c>
      <c r="D2762">
        <v>2</v>
      </c>
      <c r="E2762">
        <v>6</v>
      </c>
      <c r="F2762">
        <v>4.7</v>
      </c>
      <c r="G2762">
        <v>4.7</v>
      </c>
      <c r="H2762">
        <v>1.8</v>
      </c>
      <c r="I2762">
        <v>5.0999999999999996</v>
      </c>
      <c r="J2762">
        <v>4.7</v>
      </c>
    </row>
    <row r="2763" spans="1:10" x14ac:dyDescent="0.3">
      <c r="A2763" t="s">
        <v>263</v>
      </c>
      <c r="B2763">
        <v>44</v>
      </c>
      <c r="C2763">
        <v>0</v>
      </c>
      <c r="D2763">
        <v>3</v>
      </c>
      <c r="E2763">
        <v>0</v>
      </c>
      <c r="F2763">
        <v>0</v>
      </c>
      <c r="G2763">
        <v>0</v>
      </c>
      <c r="H2763">
        <v>3</v>
      </c>
      <c r="I2763">
        <v>0</v>
      </c>
      <c r="J2763">
        <v>0</v>
      </c>
    </row>
    <row r="2764" spans="1:10" x14ac:dyDescent="0.3">
      <c r="A2764" t="s">
        <v>264</v>
      </c>
      <c r="B2764">
        <v>44</v>
      </c>
      <c r="D2764">
        <v>7</v>
      </c>
      <c r="F2764">
        <v>7</v>
      </c>
      <c r="H2764">
        <v>7</v>
      </c>
      <c r="J2764">
        <v>7</v>
      </c>
    </row>
    <row r="2765" spans="1:10" x14ac:dyDescent="0.3">
      <c r="A2765" t="s">
        <v>265</v>
      </c>
      <c r="B2765">
        <v>44</v>
      </c>
      <c r="D2765">
        <v>35</v>
      </c>
      <c r="F2765">
        <v>43</v>
      </c>
      <c r="H2765">
        <v>25</v>
      </c>
      <c r="J2765">
        <v>42</v>
      </c>
    </row>
    <row r="2766" spans="1:10" x14ac:dyDescent="0.3">
      <c r="A2766" t="s">
        <v>266</v>
      </c>
      <c r="B2766">
        <v>44</v>
      </c>
      <c r="D2766">
        <v>0</v>
      </c>
      <c r="F2766">
        <v>0</v>
      </c>
      <c r="H2766">
        <v>0</v>
      </c>
      <c r="J2766">
        <v>0</v>
      </c>
    </row>
    <row r="2767" spans="1:10" x14ac:dyDescent="0.3">
      <c r="A2767" t="s">
        <v>267</v>
      </c>
      <c r="B2767">
        <v>44</v>
      </c>
      <c r="C2767">
        <v>13.7</v>
      </c>
      <c r="D2767">
        <v>54.8</v>
      </c>
      <c r="E2767">
        <v>21</v>
      </c>
      <c r="F2767">
        <v>58</v>
      </c>
      <c r="G2767">
        <v>19.7</v>
      </c>
      <c r="H2767">
        <v>44.6</v>
      </c>
      <c r="I2767">
        <v>14.1</v>
      </c>
      <c r="J2767">
        <v>62.1</v>
      </c>
    </row>
    <row r="2768" spans="1:10" x14ac:dyDescent="0.3">
      <c r="A2768" t="s">
        <v>268</v>
      </c>
      <c r="B2768">
        <v>44</v>
      </c>
      <c r="C2768">
        <v>0</v>
      </c>
      <c r="D2768">
        <v>1</v>
      </c>
      <c r="E2768">
        <v>0</v>
      </c>
      <c r="F2768">
        <v>1</v>
      </c>
      <c r="G2768">
        <v>0</v>
      </c>
      <c r="H2768">
        <v>1</v>
      </c>
      <c r="I2768">
        <v>0</v>
      </c>
      <c r="J2768">
        <v>1</v>
      </c>
    </row>
    <row r="2769" spans="1:10" x14ac:dyDescent="0.3">
      <c r="A2769" t="s">
        <v>269</v>
      </c>
      <c r="B2769">
        <v>44</v>
      </c>
      <c r="C2769">
        <v>1</v>
      </c>
      <c r="D2769">
        <v>1</v>
      </c>
      <c r="E2769">
        <v>1</v>
      </c>
      <c r="F2769">
        <v>1</v>
      </c>
      <c r="G2769">
        <v>1</v>
      </c>
      <c r="H2769">
        <v>1</v>
      </c>
      <c r="I2769">
        <v>1</v>
      </c>
      <c r="J2769">
        <v>1</v>
      </c>
    </row>
    <row r="2770" spans="1:10" x14ac:dyDescent="0.3">
      <c r="A2770" t="s">
        <v>270</v>
      </c>
      <c r="B2770">
        <v>44</v>
      </c>
      <c r="C2770">
        <v>0</v>
      </c>
      <c r="D2770">
        <v>14.6</v>
      </c>
      <c r="E2770">
        <v>71</v>
      </c>
      <c r="F2770">
        <v>112</v>
      </c>
      <c r="G2770">
        <v>0</v>
      </c>
      <c r="H2770">
        <v>19.7</v>
      </c>
      <c r="I2770">
        <v>71</v>
      </c>
      <c r="J2770">
        <v>85.1</v>
      </c>
    </row>
    <row r="2771" spans="1:10" x14ac:dyDescent="0.3">
      <c r="A2771" t="s">
        <v>271</v>
      </c>
      <c r="B2771">
        <v>44</v>
      </c>
      <c r="C2771">
        <v>14.6</v>
      </c>
      <c r="D2771">
        <v>71</v>
      </c>
      <c r="E2771">
        <v>112</v>
      </c>
      <c r="F2771">
        <v>0</v>
      </c>
      <c r="G2771">
        <v>19.7</v>
      </c>
      <c r="H2771">
        <v>71</v>
      </c>
      <c r="I2771">
        <v>85.1</v>
      </c>
      <c r="J2771">
        <v>0</v>
      </c>
    </row>
    <row r="2772" spans="1:10" x14ac:dyDescent="0.3">
      <c r="A2772" t="s">
        <v>272</v>
      </c>
      <c r="B2772">
        <v>44</v>
      </c>
      <c r="C2772">
        <v>6.9</v>
      </c>
      <c r="D2772">
        <v>63.2</v>
      </c>
      <c r="E2772">
        <v>103</v>
      </c>
      <c r="F2772">
        <v>162</v>
      </c>
      <c r="G2772">
        <v>12</v>
      </c>
      <c r="H2772">
        <v>63.4</v>
      </c>
      <c r="I2772">
        <v>77</v>
      </c>
      <c r="J2772">
        <v>160.9</v>
      </c>
    </row>
    <row r="2773" spans="1:10" x14ac:dyDescent="0.3">
      <c r="A2773" t="s">
        <v>273</v>
      </c>
      <c r="B2773">
        <v>44</v>
      </c>
      <c r="C2773">
        <v>6.9</v>
      </c>
      <c r="D2773">
        <v>28.2</v>
      </c>
      <c r="E2773">
        <v>103</v>
      </c>
      <c r="F2773">
        <v>162</v>
      </c>
      <c r="G2773">
        <v>12</v>
      </c>
      <c r="H2773">
        <v>38.4</v>
      </c>
      <c r="I2773">
        <v>77</v>
      </c>
      <c r="J2773">
        <v>160.9</v>
      </c>
    </row>
    <row r="2774" spans="1:10" x14ac:dyDescent="0.3">
      <c r="A2774" t="s">
        <v>274</v>
      </c>
      <c r="B2774">
        <v>44</v>
      </c>
      <c r="C2774">
        <v>150.30000000000001</v>
      </c>
      <c r="D2774">
        <v>164.9</v>
      </c>
      <c r="E2774">
        <v>51.3</v>
      </c>
      <c r="F2774">
        <v>92.3</v>
      </c>
      <c r="G2774">
        <v>150.30000000000001</v>
      </c>
      <c r="H2774">
        <v>0</v>
      </c>
      <c r="I2774">
        <v>51.3</v>
      </c>
      <c r="J2774">
        <v>65.400000000000006</v>
      </c>
    </row>
    <row r="2775" spans="1:10" x14ac:dyDescent="0.3">
      <c r="A2775" t="s">
        <v>275</v>
      </c>
      <c r="B2775">
        <v>44</v>
      </c>
      <c r="C2775">
        <v>157.19999999999999</v>
      </c>
      <c r="D2775">
        <v>43.5</v>
      </c>
      <c r="E2775">
        <v>83.3</v>
      </c>
      <c r="F2775">
        <v>142.30000000000001</v>
      </c>
      <c r="G2775">
        <v>162.30000000000001</v>
      </c>
      <c r="H2775">
        <v>43.7</v>
      </c>
      <c r="I2775">
        <v>57.3</v>
      </c>
      <c r="J2775">
        <v>141.19999999999999</v>
      </c>
    </row>
    <row r="2776" spans="1:10" x14ac:dyDescent="0.3">
      <c r="A2776" t="s">
        <v>276</v>
      </c>
      <c r="B2776">
        <v>44</v>
      </c>
      <c r="C2776">
        <v>157.19999999999999</v>
      </c>
      <c r="D2776">
        <v>8.5</v>
      </c>
      <c r="E2776">
        <v>83.3</v>
      </c>
      <c r="F2776">
        <v>142.30000000000001</v>
      </c>
      <c r="G2776">
        <v>162.30000000000001</v>
      </c>
      <c r="H2776">
        <v>18.7</v>
      </c>
      <c r="I2776">
        <v>57.3</v>
      </c>
      <c r="J2776">
        <v>141.19999999999999</v>
      </c>
    </row>
    <row r="2777" spans="1:10" x14ac:dyDescent="0.3">
      <c r="A2777" t="s">
        <v>567</v>
      </c>
      <c r="B2777">
        <v>44</v>
      </c>
      <c r="C2777">
        <v>6.9</v>
      </c>
      <c r="D2777">
        <v>55.1</v>
      </c>
      <c r="E2777">
        <v>32.1</v>
      </c>
      <c r="F2777">
        <v>7.7</v>
      </c>
      <c r="G2777">
        <v>2.2999999999999998</v>
      </c>
      <c r="H2777">
        <v>59.9</v>
      </c>
      <c r="I2777">
        <v>1.1000000000000001</v>
      </c>
      <c r="J2777">
        <v>38.5</v>
      </c>
    </row>
    <row r="2778" spans="1:10" x14ac:dyDescent="0.3">
      <c r="A2778" t="s">
        <v>254</v>
      </c>
      <c r="B2778">
        <v>46</v>
      </c>
      <c r="C2778">
        <v>111</v>
      </c>
      <c r="D2778">
        <v>112</v>
      </c>
      <c r="E2778">
        <v>211</v>
      </c>
      <c r="F2778">
        <v>212</v>
      </c>
      <c r="G2778">
        <v>121</v>
      </c>
      <c r="H2778">
        <v>122</v>
      </c>
      <c r="I2778">
        <v>221</v>
      </c>
      <c r="J2778">
        <v>222</v>
      </c>
    </row>
    <row r="2779" spans="1:10" x14ac:dyDescent="0.3">
      <c r="A2779" t="s">
        <v>255</v>
      </c>
      <c r="B2779">
        <v>46</v>
      </c>
      <c r="D2779">
        <v>8</v>
      </c>
      <c r="F2779">
        <v>5</v>
      </c>
      <c r="G2779">
        <v>5</v>
      </c>
      <c r="H2779">
        <v>8</v>
      </c>
    </row>
    <row r="2780" spans="1:10" x14ac:dyDescent="0.3">
      <c r="A2780" t="s">
        <v>256</v>
      </c>
      <c r="B2780">
        <v>46</v>
      </c>
      <c r="D2780">
        <v>103.9</v>
      </c>
      <c r="F2780">
        <v>22.4</v>
      </c>
      <c r="G2780">
        <v>18.100000000000001</v>
      </c>
      <c r="H2780">
        <v>78.900000000000006</v>
      </c>
    </row>
    <row r="2781" spans="1:10" x14ac:dyDescent="0.3">
      <c r="A2781" t="s">
        <v>257</v>
      </c>
      <c r="B2781">
        <v>46</v>
      </c>
      <c r="D2781">
        <v>2.5</v>
      </c>
      <c r="F2781">
        <v>2.5</v>
      </c>
      <c r="G2781">
        <v>2.5</v>
      </c>
      <c r="H2781">
        <v>2.5</v>
      </c>
    </row>
    <row r="2782" spans="1:10" x14ac:dyDescent="0.3">
      <c r="A2782" t="s">
        <v>258</v>
      </c>
      <c r="B2782">
        <v>46</v>
      </c>
      <c r="D2782">
        <v>0</v>
      </c>
      <c r="F2782">
        <v>0</v>
      </c>
      <c r="G2782">
        <v>0</v>
      </c>
      <c r="H2782">
        <v>0</v>
      </c>
    </row>
    <row r="2783" spans="1:10" x14ac:dyDescent="0.3">
      <c r="A2783" t="s">
        <v>259</v>
      </c>
      <c r="B2783">
        <v>46</v>
      </c>
      <c r="D2783">
        <v>0</v>
      </c>
      <c r="F2783">
        <v>0</v>
      </c>
      <c r="G2783">
        <v>0</v>
      </c>
      <c r="H2783">
        <v>0</v>
      </c>
    </row>
    <row r="2784" spans="1:10" x14ac:dyDescent="0.3">
      <c r="A2784" t="s">
        <v>260</v>
      </c>
      <c r="B2784">
        <v>46</v>
      </c>
      <c r="D2784">
        <v>3</v>
      </c>
      <c r="F2784">
        <v>3</v>
      </c>
      <c r="G2784">
        <v>3</v>
      </c>
      <c r="H2784">
        <v>3</v>
      </c>
    </row>
    <row r="2785" spans="1:8" x14ac:dyDescent="0.3">
      <c r="A2785" t="s">
        <v>261</v>
      </c>
      <c r="B2785">
        <v>46</v>
      </c>
      <c r="D2785">
        <v>4.4000000000000004</v>
      </c>
      <c r="F2785">
        <v>3</v>
      </c>
      <c r="G2785">
        <v>3</v>
      </c>
      <c r="H2785">
        <v>4.4000000000000004</v>
      </c>
    </row>
    <row r="2786" spans="1:8" x14ac:dyDescent="0.3">
      <c r="A2786" t="s">
        <v>262</v>
      </c>
      <c r="B2786">
        <v>46</v>
      </c>
      <c r="D2786">
        <v>1.7</v>
      </c>
      <c r="F2786">
        <v>4.5999999999999996</v>
      </c>
      <c r="G2786">
        <v>3.9</v>
      </c>
      <c r="H2786">
        <v>1.7</v>
      </c>
    </row>
    <row r="2787" spans="1:8" x14ac:dyDescent="0.3">
      <c r="A2787" t="s">
        <v>263</v>
      </c>
      <c r="B2787">
        <v>46</v>
      </c>
      <c r="D2787">
        <v>3</v>
      </c>
      <c r="F2787">
        <v>0</v>
      </c>
      <c r="G2787">
        <v>0</v>
      </c>
      <c r="H2787">
        <v>3</v>
      </c>
    </row>
    <row r="2788" spans="1:8" x14ac:dyDescent="0.3">
      <c r="A2788" t="s">
        <v>264</v>
      </c>
      <c r="B2788">
        <v>46</v>
      </c>
      <c r="H2788">
        <v>7</v>
      </c>
    </row>
    <row r="2789" spans="1:8" x14ac:dyDescent="0.3">
      <c r="A2789" t="s">
        <v>265</v>
      </c>
      <c r="B2789">
        <v>46</v>
      </c>
      <c r="H2789">
        <v>22</v>
      </c>
    </row>
    <row r="2790" spans="1:8" x14ac:dyDescent="0.3">
      <c r="A2790" t="s">
        <v>266</v>
      </c>
      <c r="B2790">
        <v>46</v>
      </c>
      <c r="H2790">
        <v>0</v>
      </c>
    </row>
    <row r="2791" spans="1:8" x14ac:dyDescent="0.3">
      <c r="A2791" t="s">
        <v>267</v>
      </c>
      <c r="B2791">
        <v>46</v>
      </c>
      <c r="D2791">
        <v>22.5</v>
      </c>
      <c r="F2791">
        <v>22.5</v>
      </c>
      <c r="G2791">
        <v>11.9</v>
      </c>
      <c r="H2791">
        <v>40.1</v>
      </c>
    </row>
    <row r="2792" spans="1:8" x14ac:dyDescent="0.3">
      <c r="A2792" t="s">
        <v>268</v>
      </c>
      <c r="B2792">
        <v>46</v>
      </c>
      <c r="D2792">
        <v>1</v>
      </c>
      <c r="F2792">
        <v>1</v>
      </c>
      <c r="G2792">
        <v>0</v>
      </c>
      <c r="H2792">
        <v>1</v>
      </c>
    </row>
    <row r="2793" spans="1:8" x14ac:dyDescent="0.3">
      <c r="A2793" t="s">
        <v>269</v>
      </c>
      <c r="B2793">
        <v>46</v>
      </c>
      <c r="D2793">
        <v>1</v>
      </c>
      <c r="F2793">
        <v>1</v>
      </c>
      <c r="G2793">
        <v>1</v>
      </c>
      <c r="H2793">
        <v>1</v>
      </c>
    </row>
    <row r="2794" spans="1:8" x14ac:dyDescent="0.3">
      <c r="A2794" t="s">
        <v>270</v>
      </c>
      <c r="B2794">
        <v>46</v>
      </c>
      <c r="D2794">
        <v>19</v>
      </c>
      <c r="F2794">
        <v>129</v>
      </c>
      <c r="G2794">
        <v>19</v>
      </c>
      <c r="H2794">
        <v>44</v>
      </c>
    </row>
    <row r="2795" spans="1:8" x14ac:dyDescent="0.3">
      <c r="A2795" t="s">
        <v>271</v>
      </c>
      <c r="B2795">
        <v>46</v>
      </c>
      <c r="D2795">
        <v>129</v>
      </c>
      <c r="F2795">
        <v>19</v>
      </c>
      <c r="G2795">
        <v>44</v>
      </c>
      <c r="H2795">
        <v>129</v>
      </c>
    </row>
    <row r="2796" spans="1:8" x14ac:dyDescent="0.3">
      <c r="A2796" t="s">
        <v>272</v>
      </c>
      <c r="B2796">
        <v>46</v>
      </c>
      <c r="D2796">
        <v>122.9</v>
      </c>
      <c r="F2796">
        <v>11.4</v>
      </c>
      <c r="G2796">
        <v>37.1</v>
      </c>
      <c r="H2796">
        <v>122.9</v>
      </c>
    </row>
    <row r="2797" spans="1:8" x14ac:dyDescent="0.3">
      <c r="A2797" t="s">
        <v>273</v>
      </c>
      <c r="B2797">
        <v>46</v>
      </c>
      <c r="D2797">
        <v>122.9</v>
      </c>
      <c r="F2797">
        <v>11.4</v>
      </c>
      <c r="G2797">
        <v>37.1</v>
      </c>
      <c r="H2797">
        <v>100.9</v>
      </c>
    </row>
    <row r="2798" spans="1:8" x14ac:dyDescent="0.3">
      <c r="A2798" t="s">
        <v>274</v>
      </c>
      <c r="B2798">
        <v>46</v>
      </c>
      <c r="D2798">
        <v>115</v>
      </c>
      <c r="F2798">
        <v>85</v>
      </c>
      <c r="G2798">
        <v>115</v>
      </c>
      <c r="H2798">
        <v>0</v>
      </c>
    </row>
    <row r="2799" spans="1:8" x14ac:dyDescent="0.3">
      <c r="A2799" t="s">
        <v>275</v>
      </c>
      <c r="B2799">
        <v>46</v>
      </c>
      <c r="D2799">
        <v>78.900000000000006</v>
      </c>
      <c r="F2799">
        <v>107.4</v>
      </c>
      <c r="G2799">
        <v>133.1</v>
      </c>
      <c r="H2799">
        <v>78.900000000000006</v>
      </c>
    </row>
    <row r="2800" spans="1:8" x14ac:dyDescent="0.3">
      <c r="A2800" t="s">
        <v>276</v>
      </c>
      <c r="B2800">
        <v>46</v>
      </c>
      <c r="D2800">
        <v>78.900000000000006</v>
      </c>
      <c r="F2800">
        <v>107.4</v>
      </c>
      <c r="G2800">
        <v>133.1</v>
      </c>
      <c r="H2800">
        <v>56.9</v>
      </c>
    </row>
    <row r="2801" spans="1:10" x14ac:dyDescent="0.3">
      <c r="A2801" t="s">
        <v>567</v>
      </c>
      <c r="B2801">
        <v>46</v>
      </c>
      <c r="D2801">
        <v>125.2</v>
      </c>
      <c r="F2801">
        <v>1.1000000000000001</v>
      </c>
      <c r="G2801">
        <v>1.3</v>
      </c>
      <c r="H2801">
        <v>117</v>
      </c>
    </row>
    <row r="2802" spans="1:10" x14ac:dyDescent="0.3">
      <c r="A2802" t="s">
        <v>254</v>
      </c>
      <c r="B2802">
        <v>49</v>
      </c>
      <c r="C2802">
        <v>111</v>
      </c>
      <c r="D2802">
        <v>112</v>
      </c>
      <c r="E2802">
        <v>211</v>
      </c>
      <c r="F2802">
        <v>212</v>
      </c>
      <c r="G2802">
        <v>121</v>
      </c>
      <c r="H2802">
        <v>122</v>
      </c>
      <c r="I2802">
        <v>221</v>
      </c>
      <c r="J2802">
        <v>222</v>
      </c>
    </row>
    <row r="2803" spans="1:10" x14ac:dyDescent="0.3">
      <c r="A2803" t="s">
        <v>255</v>
      </c>
      <c r="B2803">
        <v>49</v>
      </c>
      <c r="D2803">
        <v>25</v>
      </c>
      <c r="F2803">
        <v>6</v>
      </c>
      <c r="G2803">
        <v>22</v>
      </c>
      <c r="H2803">
        <v>25</v>
      </c>
    </row>
    <row r="2804" spans="1:10" x14ac:dyDescent="0.3">
      <c r="A2804" t="s">
        <v>256</v>
      </c>
      <c r="B2804">
        <v>49</v>
      </c>
      <c r="D2804">
        <v>100</v>
      </c>
      <c r="F2804">
        <v>27.3</v>
      </c>
      <c r="G2804">
        <v>26.8</v>
      </c>
      <c r="H2804">
        <v>67.2</v>
      </c>
    </row>
    <row r="2805" spans="1:10" x14ac:dyDescent="0.3">
      <c r="A2805" t="s">
        <v>257</v>
      </c>
      <c r="B2805">
        <v>49</v>
      </c>
      <c r="D2805">
        <v>3</v>
      </c>
      <c r="F2805">
        <v>3.5</v>
      </c>
      <c r="G2805">
        <v>2.5</v>
      </c>
      <c r="H2805">
        <v>3</v>
      </c>
    </row>
    <row r="2806" spans="1:10" x14ac:dyDescent="0.3">
      <c r="A2806" t="s">
        <v>258</v>
      </c>
      <c r="B2806">
        <v>49</v>
      </c>
      <c r="D2806">
        <v>0</v>
      </c>
      <c r="F2806">
        <v>0</v>
      </c>
      <c r="G2806">
        <v>0</v>
      </c>
      <c r="H2806">
        <v>0</v>
      </c>
    </row>
    <row r="2807" spans="1:10" x14ac:dyDescent="0.3">
      <c r="A2807" t="s">
        <v>259</v>
      </c>
      <c r="B2807">
        <v>49</v>
      </c>
      <c r="D2807">
        <v>0</v>
      </c>
      <c r="F2807">
        <v>0</v>
      </c>
      <c r="G2807">
        <v>0</v>
      </c>
      <c r="H2807">
        <v>0</v>
      </c>
    </row>
    <row r="2808" spans="1:10" x14ac:dyDescent="0.3">
      <c r="A2808" t="s">
        <v>260</v>
      </c>
      <c r="B2808">
        <v>49</v>
      </c>
      <c r="D2808">
        <v>3</v>
      </c>
      <c r="F2808">
        <v>3</v>
      </c>
      <c r="G2808">
        <v>3</v>
      </c>
      <c r="H2808">
        <v>3</v>
      </c>
    </row>
    <row r="2809" spans="1:10" x14ac:dyDescent="0.3">
      <c r="A2809" t="s">
        <v>261</v>
      </c>
      <c r="B2809">
        <v>49</v>
      </c>
      <c r="D2809">
        <v>4.4000000000000004</v>
      </c>
      <c r="F2809">
        <v>3</v>
      </c>
      <c r="G2809">
        <v>3</v>
      </c>
      <c r="H2809">
        <v>4.4000000000000004</v>
      </c>
    </row>
    <row r="2810" spans="1:10" x14ac:dyDescent="0.3">
      <c r="A2810" t="s">
        <v>262</v>
      </c>
      <c r="B2810">
        <v>49</v>
      </c>
      <c r="D2810">
        <v>1.6</v>
      </c>
      <c r="F2810">
        <v>3.7</v>
      </c>
      <c r="G2810">
        <v>3.2</v>
      </c>
      <c r="H2810">
        <v>1.4</v>
      </c>
    </row>
    <row r="2811" spans="1:10" x14ac:dyDescent="0.3">
      <c r="A2811" t="s">
        <v>263</v>
      </c>
      <c r="B2811">
        <v>49</v>
      </c>
      <c r="D2811">
        <v>3</v>
      </c>
      <c r="F2811">
        <v>0</v>
      </c>
      <c r="G2811">
        <v>0</v>
      </c>
      <c r="H2811">
        <v>3</v>
      </c>
    </row>
    <row r="2812" spans="1:10" x14ac:dyDescent="0.3">
      <c r="A2812" t="s">
        <v>264</v>
      </c>
      <c r="B2812">
        <v>49</v>
      </c>
    </row>
    <row r="2813" spans="1:10" x14ac:dyDescent="0.3">
      <c r="A2813" t="s">
        <v>265</v>
      </c>
      <c r="B2813">
        <v>49</v>
      </c>
    </row>
    <row r="2814" spans="1:10" x14ac:dyDescent="0.3">
      <c r="A2814" t="s">
        <v>266</v>
      </c>
      <c r="B2814">
        <v>49</v>
      </c>
    </row>
    <row r="2815" spans="1:10" x14ac:dyDescent="0.3">
      <c r="A2815" t="s">
        <v>267</v>
      </c>
      <c r="B2815">
        <v>49</v>
      </c>
      <c r="D2815">
        <v>32.299999999999997</v>
      </c>
      <c r="F2815">
        <v>26.6</v>
      </c>
      <c r="G2815">
        <v>28.2</v>
      </c>
      <c r="H2815">
        <v>33.6</v>
      </c>
    </row>
    <row r="2816" spans="1:10" x14ac:dyDescent="0.3">
      <c r="A2816" t="s">
        <v>268</v>
      </c>
      <c r="B2816">
        <v>49</v>
      </c>
      <c r="D2816">
        <v>1</v>
      </c>
      <c r="F2816">
        <v>1</v>
      </c>
      <c r="G2816">
        <v>0</v>
      </c>
      <c r="H2816">
        <v>1</v>
      </c>
    </row>
    <row r="2817" spans="1:8" x14ac:dyDescent="0.3">
      <c r="A2817" t="s">
        <v>269</v>
      </c>
      <c r="B2817">
        <v>49</v>
      </c>
      <c r="D2817">
        <v>1</v>
      </c>
      <c r="F2817">
        <v>1</v>
      </c>
      <c r="G2817">
        <v>1</v>
      </c>
      <c r="H2817">
        <v>1</v>
      </c>
    </row>
    <row r="2818" spans="1:8" x14ac:dyDescent="0.3">
      <c r="A2818" t="s">
        <v>270</v>
      </c>
      <c r="B2818">
        <v>49</v>
      </c>
      <c r="D2818">
        <v>19</v>
      </c>
      <c r="F2818">
        <v>125</v>
      </c>
      <c r="G2818">
        <v>19</v>
      </c>
      <c r="H2818">
        <v>52</v>
      </c>
    </row>
    <row r="2819" spans="1:8" x14ac:dyDescent="0.3">
      <c r="A2819" t="s">
        <v>271</v>
      </c>
      <c r="B2819">
        <v>49</v>
      </c>
      <c r="D2819">
        <v>125</v>
      </c>
      <c r="F2819">
        <v>19</v>
      </c>
      <c r="G2819">
        <v>52</v>
      </c>
      <c r="H2819">
        <v>125</v>
      </c>
    </row>
    <row r="2820" spans="1:8" x14ac:dyDescent="0.3">
      <c r="A2820" t="s">
        <v>272</v>
      </c>
      <c r="B2820">
        <v>49</v>
      </c>
      <c r="D2820">
        <v>119</v>
      </c>
      <c r="F2820">
        <v>12.3</v>
      </c>
      <c r="G2820">
        <v>45.8</v>
      </c>
      <c r="H2820">
        <v>119.2</v>
      </c>
    </row>
    <row r="2821" spans="1:8" x14ac:dyDescent="0.3">
      <c r="A2821" t="s">
        <v>273</v>
      </c>
      <c r="B2821">
        <v>49</v>
      </c>
      <c r="D2821">
        <v>119</v>
      </c>
      <c r="F2821">
        <v>12.3</v>
      </c>
      <c r="G2821">
        <v>45.8</v>
      </c>
      <c r="H2821">
        <v>119.2</v>
      </c>
    </row>
    <row r="2822" spans="1:8" x14ac:dyDescent="0.3">
      <c r="A2822" t="s">
        <v>274</v>
      </c>
      <c r="B2822">
        <v>49</v>
      </c>
      <c r="D2822">
        <v>107</v>
      </c>
      <c r="F2822">
        <v>73</v>
      </c>
      <c r="G2822">
        <v>107</v>
      </c>
      <c r="H2822">
        <v>0</v>
      </c>
    </row>
    <row r="2823" spans="1:8" x14ac:dyDescent="0.3">
      <c r="A2823" t="s">
        <v>275</v>
      </c>
      <c r="B2823">
        <v>49</v>
      </c>
      <c r="D2823">
        <v>67</v>
      </c>
      <c r="F2823">
        <v>100.3</v>
      </c>
      <c r="G2823">
        <v>133.80000000000001</v>
      </c>
      <c r="H2823">
        <v>67.2</v>
      </c>
    </row>
    <row r="2824" spans="1:8" x14ac:dyDescent="0.3">
      <c r="A2824" t="s">
        <v>276</v>
      </c>
      <c r="B2824">
        <v>49</v>
      </c>
      <c r="D2824">
        <v>67</v>
      </c>
      <c r="F2824">
        <v>100.3</v>
      </c>
      <c r="G2824">
        <v>133.80000000000001</v>
      </c>
      <c r="H2824">
        <v>67.2</v>
      </c>
    </row>
    <row r="2825" spans="1:8" x14ac:dyDescent="0.3">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22"/>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83</v>
      </c>
      <c r="E1" t="s">
        <v>609</v>
      </c>
      <c r="F1" t="s">
        <v>610</v>
      </c>
      <c r="G1" t="s">
        <v>611</v>
      </c>
      <c r="H1" t="s">
        <v>338</v>
      </c>
      <c r="I1" t="s">
        <v>612</v>
      </c>
      <c r="J1" t="s">
        <v>613</v>
      </c>
      <c r="K1" t="s">
        <v>614</v>
      </c>
      <c r="L1" t="s">
        <v>615</v>
      </c>
    </row>
    <row r="2" spans="1:12" x14ac:dyDescent="0.3">
      <c r="A2" t="s">
        <v>564</v>
      </c>
      <c r="B2">
        <f>IFERROR(MATCH(A2,UTDF8!A:A,0),0)</f>
        <v>1147</v>
      </c>
      <c r="E2" t="s">
        <v>571</v>
      </c>
      <c r="F2" t="s">
        <v>572</v>
      </c>
      <c r="G2" t="s">
        <v>571</v>
      </c>
      <c r="H2" t="s">
        <v>572</v>
      </c>
      <c r="I2" t="s">
        <v>571</v>
      </c>
      <c r="J2" t="s">
        <v>572</v>
      </c>
      <c r="K2" t="s">
        <v>571</v>
      </c>
      <c r="L2" t="s">
        <v>572</v>
      </c>
    </row>
    <row r="3" spans="1:12" x14ac:dyDescent="0.3">
      <c r="A3" t="s">
        <v>565</v>
      </c>
      <c r="B3">
        <f>IFERROR(MATCH(A3,UTDF8!A:A,0),0)</f>
        <v>2172</v>
      </c>
      <c r="D3" t="s">
        <v>1</v>
      </c>
      <c r="E3" t="s">
        <v>570</v>
      </c>
      <c r="G3" t="s">
        <v>36</v>
      </c>
      <c r="I3" t="s">
        <v>573</v>
      </c>
      <c r="K3" t="s">
        <v>574</v>
      </c>
    </row>
    <row r="4" spans="1:12" x14ac:dyDescent="0.3">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3">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3">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3">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3">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3">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3">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3">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3">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3">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3">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3">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3">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3">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3">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3">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3">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3">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3">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063"/>
  <sheetViews>
    <sheetView workbookViewId="0"/>
  </sheetViews>
  <sheetFormatPr defaultRowHeight="14.4" x14ac:dyDescent="0.3"/>
  <sheetData>
    <row r="1" spans="1:10" x14ac:dyDescent="0.3">
      <c r="A1" t="s">
        <v>562</v>
      </c>
    </row>
    <row r="2" spans="1:10" x14ac:dyDescent="0.3">
      <c r="A2" t="s">
        <v>672</v>
      </c>
    </row>
    <row r="3" spans="1:10" x14ac:dyDescent="0.3">
      <c r="A3" t="s">
        <v>0</v>
      </c>
      <c r="B3" t="s">
        <v>1</v>
      </c>
      <c r="C3" t="s">
        <v>399</v>
      </c>
      <c r="D3" t="s">
        <v>400</v>
      </c>
      <c r="E3" t="s">
        <v>397</v>
      </c>
      <c r="F3" t="s">
        <v>398</v>
      </c>
      <c r="G3" t="s">
        <v>673</v>
      </c>
      <c r="H3" t="s">
        <v>674</v>
      </c>
      <c r="I3" t="s">
        <v>675</v>
      </c>
      <c r="J3" t="s">
        <v>676</v>
      </c>
    </row>
    <row r="4" spans="1:10" x14ac:dyDescent="0.3">
      <c r="A4" t="s">
        <v>677</v>
      </c>
      <c r="B4">
        <v>1</v>
      </c>
      <c r="C4">
        <v>5</v>
      </c>
      <c r="D4">
        <v>3</v>
      </c>
      <c r="E4">
        <v>9</v>
      </c>
      <c r="F4">
        <v>2</v>
      </c>
    </row>
    <row r="5" spans="1:10" x14ac:dyDescent="0.3">
      <c r="A5" t="s">
        <v>36</v>
      </c>
      <c r="B5">
        <v>1</v>
      </c>
      <c r="C5">
        <v>4</v>
      </c>
      <c r="D5">
        <v>4</v>
      </c>
      <c r="E5">
        <v>4</v>
      </c>
      <c r="F5">
        <v>4</v>
      </c>
    </row>
    <row r="6" spans="1:10" x14ac:dyDescent="0.3">
      <c r="A6" t="s">
        <v>503</v>
      </c>
      <c r="B6">
        <v>1</v>
      </c>
      <c r="C6" t="s">
        <v>740</v>
      </c>
      <c r="D6" t="s">
        <v>740</v>
      </c>
      <c r="E6" t="s">
        <v>741</v>
      </c>
      <c r="F6" t="s">
        <v>741</v>
      </c>
    </row>
    <row r="7" spans="1:10" x14ac:dyDescent="0.3">
      <c r="A7" t="s">
        <v>678</v>
      </c>
      <c r="B7">
        <v>1</v>
      </c>
      <c r="C7">
        <v>526</v>
      </c>
      <c r="D7">
        <v>579</v>
      </c>
      <c r="E7">
        <v>2966</v>
      </c>
      <c r="F7">
        <v>739</v>
      </c>
    </row>
    <row r="8" spans="1:10" x14ac:dyDescent="0.3">
      <c r="A8" t="s">
        <v>42</v>
      </c>
      <c r="B8">
        <v>1</v>
      </c>
      <c r="C8">
        <v>40</v>
      </c>
      <c r="D8">
        <v>40</v>
      </c>
      <c r="E8">
        <v>45</v>
      </c>
      <c r="F8">
        <v>45</v>
      </c>
    </row>
    <row r="9" spans="1:10" x14ac:dyDescent="0.3">
      <c r="A9" t="s">
        <v>679</v>
      </c>
      <c r="B9">
        <v>1</v>
      </c>
      <c r="C9">
        <v>9</v>
      </c>
      <c r="D9">
        <v>9.9</v>
      </c>
      <c r="E9">
        <v>44.9</v>
      </c>
      <c r="F9">
        <v>11.2</v>
      </c>
    </row>
    <row r="10" spans="1:10" x14ac:dyDescent="0.3">
      <c r="A10" t="s">
        <v>41</v>
      </c>
      <c r="B10">
        <v>1</v>
      </c>
      <c r="C10">
        <v>0</v>
      </c>
      <c r="D10">
        <v>0</v>
      </c>
      <c r="E10">
        <v>0</v>
      </c>
      <c r="F10">
        <v>0</v>
      </c>
    </row>
    <row r="11" spans="1:10" x14ac:dyDescent="0.3">
      <c r="A11" t="s">
        <v>680</v>
      </c>
      <c r="B11">
        <v>1</v>
      </c>
      <c r="C11">
        <v>12</v>
      </c>
      <c r="D11">
        <v>12</v>
      </c>
      <c r="E11">
        <v>12</v>
      </c>
      <c r="F11">
        <v>12</v>
      </c>
    </row>
    <row r="12" spans="1:10" x14ac:dyDescent="0.3">
      <c r="A12" t="s">
        <v>563</v>
      </c>
      <c r="B12">
        <v>1</v>
      </c>
      <c r="C12">
        <v>0</v>
      </c>
      <c r="D12">
        <v>0</v>
      </c>
      <c r="E12">
        <v>0</v>
      </c>
      <c r="F12">
        <v>0</v>
      </c>
    </row>
    <row r="13" spans="1:10" x14ac:dyDescent="0.3">
      <c r="A13" t="s">
        <v>681</v>
      </c>
      <c r="B13">
        <v>1</v>
      </c>
      <c r="C13">
        <v>0</v>
      </c>
      <c r="D13">
        <v>0</v>
      </c>
      <c r="E13">
        <v>0</v>
      </c>
      <c r="F13">
        <v>0</v>
      </c>
    </row>
    <row r="14" spans="1:10" x14ac:dyDescent="0.3">
      <c r="A14" t="s">
        <v>682</v>
      </c>
      <c r="B14">
        <v>1</v>
      </c>
      <c r="C14">
        <v>16</v>
      </c>
      <c r="D14">
        <v>16</v>
      </c>
      <c r="E14">
        <v>16</v>
      </c>
      <c r="F14">
        <v>16</v>
      </c>
    </row>
    <row r="15" spans="1:10" x14ac:dyDescent="0.3">
      <c r="A15" t="s">
        <v>683</v>
      </c>
      <c r="B15">
        <v>1</v>
      </c>
      <c r="C15">
        <v>583</v>
      </c>
      <c r="D15">
        <v>583</v>
      </c>
      <c r="E15">
        <v>583</v>
      </c>
      <c r="F15">
        <v>583</v>
      </c>
    </row>
    <row r="16" spans="1:10" x14ac:dyDescent="0.3">
      <c r="A16" t="s">
        <v>684</v>
      </c>
      <c r="B16">
        <v>1</v>
      </c>
      <c r="C16">
        <v>1761</v>
      </c>
      <c r="D16">
        <v>1761</v>
      </c>
      <c r="E16">
        <v>1980</v>
      </c>
      <c r="F16">
        <v>1980</v>
      </c>
    </row>
    <row r="17" spans="1:6" x14ac:dyDescent="0.3">
      <c r="A17" t="s">
        <v>685</v>
      </c>
      <c r="B17">
        <v>1</v>
      </c>
      <c r="C17">
        <v>1174</v>
      </c>
      <c r="D17">
        <v>1174</v>
      </c>
      <c r="E17">
        <v>1320</v>
      </c>
      <c r="F17">
        <v>1320</v>
      </c>
    </row>
    <row r="18" spans="1:6" x14ac:dyDescent="0.3">
      <c r="A18" t="s">
        <v>686</v>
      </c>
      <c r="B18">
        <v>1</v>
      </c>
      <c r="C18">
        <v>2348</v>
      </c>
      <c r="D18">
        <v>2348</v>
      </c>
      <c r="E18">
        <v>2640</v>
      </c>
      <c r="F18">
        <v>2640</v>
      </c>
    </row>
    <row r="19" spans="1:6" x14ac:dyDescent="0.3">
      <c r="A19" t="s">
        <v>687</v>
      </c>
      <c r="B19">
        <v>1</v>
      </c>
      <c r="C19">
        <v>-346781</v>
      </c>
    </row>
    <row r="20" spans="1:6" x14ac:dyDescent="0.3">
      <c r="A20" t="s">
        <v>688</v>
      </c>
      <c r="B20">
        <v>1</v>
      </c>
      <c r="C20">
        <v>9567</v>
      </c>
    </row>
    <row r="21" spans="1:6" x14ac:dyDescent="0.3">
      <c r="A21" t="s">
        <v>689</v>
      </c>
      <c r="B21">
        <v>1</v>
      </c>
      <c r="C21">
        <v>0</v>
      </c>
    </row>
    <row r="22" spans="1:6" x14ac:dyDescent="0.3">
      <c r="A22" t="s">
        <v>690</v>
      </c>
      <c r="B22">
        <v>1</v>
      </c>
      <c r="C22" t="b">
        <v>0</v>
      </c>
      <c r="D22" t="b">
        <v>0</v>
      </c>
      <c r="E22" t="b">
        <v>0</v>
      </c>
      <c r="F22" t="b">
        <v>0</v>
      </c>
    </row>
    <row r="23" spans="1:6" x14ac:dyDescent="0.3">
      <c r="A23" t="s">
        <v>691</v>
      </c>
      <c r="B23">
        <v>1</v>
      </c>
      <c r="C23" t="b">
        <v>0</v>
      </c>
      <c r="D23" t="b">
        <v>0</v>
      </c>
      <c r="E23" t="b">
        <v>0</v>
      </c>
      <c r="F23" t="b">
        <v>0</v>
      </c>
    </row>
    <row r="24" spans="1:6" x14ac:dyDescent="0.3">
      <c r="A24" t="s">
        <v>677</v>
      </c>
      <c r="B24">
        <v>2</v>
      </c>
      <c r="E24">
        <v>1</v>
      </c>
    </row>
    <row r="25" spans="1:6" x14ac:dyDescent="0.3">
      <c r="A25" t="s">
        <v>36</v>
      </c>
      <c r="B25">
        <v>2</v>
      </c>
      <c r="E25">
        <v>3</v>
      </c>
    </row>
    <row r="26" spans="1:6" x14ac:dyDescent="0.3">
      <c r="A26" t="s">
        <v>503</v>
      </c>
      <c r="B26">
        <v>2</v>
      </c>
      <c r="E26" t="s">
        <v>741</v>
      </c>
    </row>
    <row r="27" spans="1:6" x14ac:dyDescent="0.3">
      <c r="A27" t="s">
        <v>678</v>
      </c>
      <c r="B27">
        <v>2</v>
      </c>
      <c r="E27">
        <v>739</v>
      </c>
    </row>
    <row r="28" spans="1:6" x14ac:dyDescent="0.3">
      <c r="A28" t="s">
        <v>42</v>
      </c>
      <c r="B28">
        <v>2</v>
      </c>
      <c r="E28">
        <v>30</v>
      </c>
    </row>
    <row r="29" spans="1:6" x14ac:dyDescent="0.3">
      <c r="A29" t="s">
        <v>679</v>
      </c>
      <c r="B29">
        <v>2</v>
      </c>
      <c r="E29">
        <v>16.8</v>
      </c>
    </row>
    <row r="30" spans="1:6" x14ac:dyDescent="0.3">
      <c r="A30" t="s">
        <v>41</v>
      </c>
      <c r="B30">
        <v>2</v>
      </c>
      <c r="E30">
        <v>0</v>
      </c>
    </row>
    <row r="31" spans="1:6" x14ac:dyDescent="0.3">
      <c r="A31" t="s">
        <v>680</v>
      </c>
      <c r="B31">
        <v>2</v>
      </c>
      <c r="E31">
        <v>12</v>
      </c>
    </row>
    <row r="32" spans="1:6" x14ac:dyDescent="0.3">
      <c r="A32" t="s">
        <v>563</v>
      </c>
      <c r="B32">
        <v>2</v>
      </c>
      <c r="E32">
        <v>0</v>
      </c>
    </row>
    <row r="33" spans="1:5" x14ac:dyDescent="0.3">
      <c r="A33" t="s">
        <v>681</v>
      </c>
      <c r="B33">
        <v>2</v>
      </c>
      <c r="E33">
        <v>0</v>
      </c>
    </row>
    <row r="34" spans="1:5" x14ac:dyDescent="0.3">
      <c r="A34" t="s">
        <v>682</v>
      </c>
      <c r="B34">
        <v>2</v>
      </c>
      <c r="E34">
        <v>16</v>
      </c>
    </row>
    <row r="35" spans="1:5" x14ac:dyDescent="0.3">
      <c r="A35" t="s">
        <v>683</v>
      </c>
      <c r="B35">
        <v>2</v>
      </c>
      <c r="E35">
        <v>200</v>
      </c>
    </row>
    <row r="36" spans="1:5" x14ac:dyDescent="0.3">
      <c r="A36" t="s">
        <v>684</v>
      </c>
      <c r="B36">
        <v>2</v>
      </c>
      <c r="E36">
        <v>1320</v>
      </c>
    </row>
    <row r="37" spans="1:5" x14ac:dyDescent="0.3">
      <c r="A37" t="s">
        <v>685</v>
      </c>
      <c r="B37">
        <v>2</v>
      </c>
      <c r="E37">
        <v>880</v>
      </c>
    </row>
    <row r="38" spans="1:5" x14ac:dyDescent="0.3">
      <c r="A38" t="s">
        <v>686</v>
      </c>
      <c r="B38">
        <v>2</v>
      </c>
      <c r="E38">
        <v>1760</v>
      </c>
    </row>
    <row r="39" spans="1:5" x14ac:dyDescent="0.3">
      <c r="A39" t="s">
        <v>687</v>
      </c>
      <c r="B39">
        <v>2</v>
      </c>
    </row>
    <row r="40" spans="1:5" x14ac:dyDescent="0.3">
      <c r="A40" t="s">
        <v>688</v>
      </c>
      <c r="B40">
        <v>2</v>
      </c>
    </row>
    <row r="41" spans="1:5" x14ac:dyDescent="0.3">
      <c r="A41" t="s">
        <v>689</v>
      </c>
      <c r="B41">
        <v>2</v>
      </c>
    </row>
    <row r="42" spans="1:5" x14ac:dyDescent="0.3">
      <c r="A42" t="s">
        <v>690</v>
      </c>
      <c r="B42">
        <v>2</v>
      </c>
      <c r="E42" t="b">
        <v>0</v>
      </c>
    </row>
    <row r="43" spans="1:5" x14ac:dyDescent="0.3">
      <c r="A43" t="s">
        <v>691</v>
      </c>
      <c r="B43">
        <v>2</v>
      </c>
      <c r="E43" t="b">
        <v>0</v>
      </c>
    </row>
    <row r="44" spans="1:5" x14ac:dyDescent="0.3">
      <c r="A44" t="s">
        <v>677</v>
      </c>
      <c r="B44">
        <v>3</v>
      </c>
      <c r="C44">
        <v>1</v>
      </c>
    </row>
    <row r="45" spans="1:5" x14ac:dyDescent="0.3">
      <c r="A45" t="s">
        <v>36</v>
      </c>
      <c r="B45">
        <v>3</v>
      </c>
      <c r="C45">
        <v>2</v>
      </c>
    </row>
    <row r="46" spans="1:5" x14ac:dyDescent="0.3">
      <c r="A46" t="s">
        <v>503</v>
      </c>
      <c r="B46">
        <v>3</v>
      </c>
      <c r="C46" t="s">
        <v>740</v>
      </c>
    </row>
    <row r="47" spans="1:5" x14ac:dyDescent="0.3">
      <c r="A47" t="s">
        <v>678</v>
      </c>
      <c r="B47">
        <v>3</v>
      </c>
      <c r="C47">
        <v>579</v>
      </c>
    </row>
    <row r="48" spans="1:5" x14ac:dyDescent="0.3">
      <c r="A48" t="s">
        <v>42</v>
      </c>
      <c r="B48">
        <v>3</v>
      </c>
      <c r="C48">
        <v>30</v>
      </c>
    </row>
    <row r="49" spans="1:3" x14ac:dyDescent="0.3">
      <c r="A49" t="s">
        <v>679</v>
      </c>
      <c r="B49">
        <v>3</v>
      </c>
      <c r="C49">
        <v>13.2</v>
      </c>
    </row>
    <row r="50" spans="1:3" x14ac:dyDescent="0.3">
      <c r="A50" t="s">
        <v>41</v>
      </c>
      <c r="B50">
        <v>3</v>
      </c>
      <c r="C50">
        <v>0</v>
      </c>
    </row>
    <row r="51" spans="1:3" x14ac:dyDescent="0.3">
      <c r="A51" t="s">
        <v>680</v>
      </c>
      <c r="B51">
        <v>3</v>
      </c>
      <c r="C51">
        <v>12</v>
      </c>
    </row>
    <row r="52" spans="1:3" x14ac:dyDescent="0.3">
      <c r="A52" t="s">
        <v>563</v>
      </c>
      <c r="B52">
        <v>3</v>
      </c>
      <c r="C52">
        <v>0</v>
      </c>
    </row>
    <row r="53" spans="1:3" x14ac:dyDescent="0.3">
      <c r="A53" t="s">
        <v>681</v>
      </c>
      <c r="B53">
        <v>3</v>
      </c>
      <c r="C53">
        <v>0</v>
      </c>
    </row>
    <row r="54" spans="1:3" x14ac:dyDescent="0.3">
      <c r="A54" t="s">
        <v>682</v>
      </c>
      <c r="B54">
        <v>3</v>
      </c>
      <c r="C54">
        <v>16</v>
      </c>
    </row>
    <row r="55" spans="1:3" x14ac:dyDescent="0.3">
      <c r="A55" t="s">
        <v>683</v>
      </c>
      <c r="B55">
        <v>3</v>
      </c>
      <c r="C55">
        <v>200</v>
      </c>
    </row>
    <row r="56" spans="1:3" x14ac:dyDescent="0.3">
      <c r="A56" t="s">
        <v>684</v>
      </c>
      <c r="B56">
        <v>3</v>
      </c>
      <c r="C56">
        <v>1320</v>
      </c>
    </row>
    <row r="57" spans="1:3" x14ac:dyDescent="0.3">
      <c r="A57" t="s">
        <v>685</v>
      </c>
      <c r="B57">
        <v>3</v>
      </c>
      <c r="C57">
        <v>880</v>
      </c>
    </row>
    <row r="58" spans="1:3" x14ac:dyDescent="0.3">
      <c r="A58" t="s">
        <v>686</v>
      </c>
      <c r="B58">
        <v>3</v>
      </c>
      <c r="C58">
        <v>1760</v>
      </c>
    </row>
    <row r="59" spans="1:3" x14ac:dyDescent="0.3">
      <c r="A59" t="s">
        <v>687</v>
      </c>
      <c r="B59">
        <v>3</v>
      </c>
    </row>
    <row r="60" spans="1:3" x14ac:dyDescent="0.3">
      <c r="A60" t="s">
        <v>688</v>
      </c>
      <c r="B60">
        <v>3</v>
      </c>
    </row>
    <row r="61" spans="1:3" x14ac:dyDescent="0.3">
      <c r="A61" t="s">
        <v>689</v>
      </c>
      <c r="B61">
        <v>3</v>
      </c>
    </row>
    <row r="62" spans="1:3" x14ac:dyDescent="0.3">
      <c r="A62" t="s">
        <v>690</v>
      </c>
      <c r="B62">
        <v>3</v>
      </c>
      <c r="C62" t="b">
        <v>0</v>
      </c>
    </row>
    <row r="63" spans="1:3" x14ac:dyDescent="0.3">
      <c r="A63" t="s">
        <v>691</v>
      </c>
      <c r="B63">
        <v>3</v>
      </c>
      <c r="C63" t="b">
        <v>0</v>
      </c>
    </row>
    <row r="64" spans="1:3" x14ac:dyDescent="0.3">
      <c r="A64" t="s">
        <v>677</v>
      </c>
      <c r="B64">
        <v>4</v>
      </c>
      <c r="C64">
        <v>9</v>
      </c>
    </row>
    <row r="65" spans="1:3" x14ac:dyDescent="0.3">
      <c r="A65" t="s">
        <v>36</v>
      </c>
      <c r="B65">
        <v>4</v>
      </c>
      <c r="C65">
        <v>1</v>
      </c>
    </row>
    <row r="66" spans="1:3" x14ac:dyDescent="0.3">
      <c r="A66" t="s">
        <v>503</v>
      </c>
      <c r="B66">
        <v>4</v>
      </c>
      <c r="C66" t="s">
        <v>742</v>
      </c>
    </row>
    <row r="67" spans="1:3" x14ac:dyDescent="0.3">
      <c r="A67" t="s">
        <v>678</v>
      </c>
      <c r="B67">
        <v>4</v>
      </c>
      <c r="C67">
        <v>365</v>
      </c>
    </row>
    <row r="68" spans="1:3" x14ac:dyDescent="0.3">
      <c r="A68" t="s">
        <v>42</v>
      </c>
      <c r="B68">
        <v>4</v>
      </c>
      <c r="C68">
        <v>25</v>
      </c>
    </row>
    <row r="69" spans="1:3" x14ac:dyDescent="0.3">
      <c r="A69" t="s">
        <v>679</v>
      </c>
      <c r="B69">
        <v>4</v>
      </c>
      <c r="C69">
        <v>10</v>
      </c>
    </row>
    <row r="70" spans="1:3" x14ac:dyDescent="0.3">
      <c r="A70" t="s">
        <v>41</v>
      </c>
      <c r="B70">
        <v>4</v>
      </c>
      <c r="C70">
        <v>0</v>
      </c>
    </row>
    <row r="71" spans="1:3" x14ac:dyDescent="0.3">
      <c r="A71" t="s">
        <v>680</v>
      </c>
      <c r="B71">
        <v>4</v>
      </c>
      <c r="C71">
        <v>12</v>
      </c>
    </row>
    <row r="72" spans="1:3" x14ac:dyDescent="0.3">
      <c r="A72" t="s">
        <v>563</v>
      </c>
      <c r="B72">
        <v>4</v>
      </c>
      <c r="C72">
        <v>0</v>
      </c>
    </row>
    <row r="73" spans="1:3" x14ac:dyDescent="0.3">
      <c r="A73" t="s">
        <v>681</v>
      </c>
      <c r="B73">
        <v>4</v>
      </c>
      <c r="C73">
        <v>1</v>
      </c>
    </row>
    <row r="74" spans="1:3" x14ac:dyDescent="0.3">
      <c r="A74" t="s">
        <v>682</v>
      </c>
      <c r="B74">
        <v>4</v>
      </c>
      <c r="C74">
        <v>16</v>
      </c>
    </row>
    <row r="75" spans="1:3" x14ac:dyDescent="0.3">
      <c r="A75" t="s">
        <v>683</v>
      </c>
      <c r="B75">
        <v>4</v>
      </c>
      <c r="C75">
        <v>200</v>
      </c>
    </row>
    <row r="76" spans="1:3" x14ac:dyDescent="0.3">
      <c r="A76" t="s">
        <v>684</v>
      </c>
      <c r="B76">
        <v>4</v>
      </c>
      <c r="C76">
        <v>1101</v>
      </c>
    </row>
    <row r="77" spans="1:3" x14ac:dyDescent="0.3">
      <c r="A77" t="s">
        <v>685</v>
      </c>
      <c r="B77">
        <v>4</v>
      </c>
      <c r="C77">
        <v>734</v>
      </c>
    </row>
    <row r="78" spans="1:3" x14ac:dyDescent="0.3">
      <c r="A78" t="s">
        <v>686</v>
      </c>
      <c r="B78">
        <v>4</v>
      </c>
      <c r="C78">
        <v>1468</v>
      </c>
    </row>
    <row r="79" spans="1:3" x14ac:dyDescent="0.3">
      <c r="A79" t="s">
        <v>687</v>
      </c>
      <c r="B79">
        <v>4</v>
      </c>
    </row>
    <row r="80" spans="1:3" x14ac:dyDescent="0.3">
      <c r="A80" t="s">
        <v>688</v>
      </c>
      <c r="B80">
        <v>4</v>
      </c>
    </row>
    <row r="81" spans="1:4" x14ac:dyDescent="0.3">
      <c r="A81" t="s">
        <v>689</v>
      </c>
      <c r="B81">
        <v>4</v>
      </c>
    </row>
    <row r="82" spans="1:4" x14ac:dyDescent="0.3">
      <c r="A82" t="s">
        <v>690</v>
      </c>
      <c r="B82">
        <v>4</v>
      </c>
      <c r="C82" t="b">
        <v>0</v>
      </c>
    </row>
    <row r="83" spans="1:4" x14ac:dyDescent="0.3">
      <c r="A83" t="s">
        <v>691</v>
      </c>
      <c r="B83">
        <v>4</v>
      </c>
      <c r="C83" t="b">
        <v>0</v>
      </c>
    </row>
    <row r="84" spans="1:4" x14ac:dyDescent="0.3">
      <c r="A84" t="s">
        <v>677</v>
      </c>
      <c r="B84">
        <v>5</v>
      </c>
      <c r="D84">
        <v>1</v>
      </c>
    </row>
    <row r="85" spans="1:4" x14ac:dyDescent="0.3">
      <c r="A85" t="s">
        <v>36</v>
      </c>
      <c r="B85">
        <v>5</v>
      </c>
      <c r="D85">
        <v>2</v>
      </c>
    </row>
    <row r="86" spans="1:4" x14ac:dyDescent="0.3">
      <c r="A86" t="s">
        <v>503</v>
      </c>
      <c r="B86">
        <v>5</v>
      </c>
      <c r="D86" t="s">
        <v>740</v>
      </c>
    </row>
    <row r="87" spans="1:4" x14ac:dyDescent="0.3">
      <c r="A87" t="s">
        <v>678</v>
      </c>
      <c r="B87">
        <v>5</v>
      </c>
      <c r="D87">
        <v>526</v>
      </c>
    </row>
    <row r="88" spans="1:4" x14ac:dyDescent="0.3">
      <c r="A88" t="s">
        <v>42</v>
      </c>
      <c r="B88">
        <v>5</v>
      </c>
      <c r="D88">
        <v>30</v>
      </c>
    </row>
    <row r="89" spans="1:4" x14ac:dyDescent="0.3">
      <c r="A89" t="s">
        <v>679</v>
      </c>
      <c r="B89">
        <v>5</v>
      </c>
      <c r="D89">
        <v>12</v>
      </c>
    </row>
    <row r="90" spans="1:4" x14ac:dyDescent="0.3">
      <c r="A90" t="s">
        <v>41</v>
      </c>
      <c r="B90">
        <v>5</v>
      </c>
      <c r="D90">
        <v>0</v>
      </c>
    </row>
    <row r="91" spans="1:4" x14ac:dyDescent="0.3">
      <c r="A91" t="s">
        <v>680</v>
      </c>
      <c r="B91">
        <v>5</v>
      </c>
      <c r="D91">
        <v>12</v>
      </c>
    </row>
    <row r="92" spans="1:4" x14ac:dyDescent="0.3">
      <c r="A92" t="s">
        <v>563</v>
      </c>
      <c r="B92">
        <v>5</v>
      </c>
      <c r="D92">
        <v>0</v>
      </c>
    </row>
    <row r="93" spans="1:4" x14ac:dyDescent="0.3">
      <c r="A93" t="s">
        <v>681</v>
      </c>
      <c r="B93">
        <v>5</v>
      </c>
      <c r="D93">
        <v>0</v>
      </c>
    </row>
    <row r="94" spans="1:4" x14ac:dyDescent="0.3">
      <c r="A94" t="s">
        <v>682</v>
      </c>
      <c r="B94">
        <v>5</v>
      </c>
      <c r="D94">
        <v>16</v>
      </c>
    </row>
    <row r="95" spans="1:4" x14ac:dyDescent="0.3">
      <c r="A95" t="s">
        <v>683</v>
      </c>
      <c r="B95">
        <v>5</v>
      </c>
      <c r="D95">
        <v>200</v>
      </c>
    </row>
    <row r="96" spans="1:4" x14ac:dyDescent="0.3">
      <c r="A96" t="s">
        <v>684</v>
      </c>
      <c r="B96">
        <v>5</v>
      </c>
      <c r="D96">
        <v>1320</v>
      </c>
    </row>
    <row r="97" spans="1:4" x14ac:dyDescent="0.3">
      <c r="A97" t="s">
        <v>685</v>
      </c>
      <c r="B97">
        <v>5</v>
      </c>
      <c r="D97">
        <v>880</v>
      </c>
    </row>
    <row r="98" spans="1:4" x14ac:dyDescent="0.3">
      <c r="A98" t="s">
        <v>686</v>
      </c>
      <c r="B98">
        <v>5</v>
      </c>
      <c r="D98">
        <v>1760</v>
      </c>
    </row>
    <row r="99" spans="1:4" x14ac:dyDescent="0.3">
      <c r="A99" t="s">
        <v>687</v>
      </c>
      <c r="B99">
        <v>5</v>
      </c>
      <c r="D99">
        <v>-346828</v>
      </c>
    </row>
    <row r="100" spans="1:4" x14ac:dyDescent="0.3">
      <c r="A100" t="s">
        <v>688</v>
      </c>
      <c r="B100">
        <v>5</v>
      </c>
      <c r="D100">
        <v>9398</v>
      </c>
    </row>
    <row r="101" spans="1:4" x14ac:dyDescent="0.3">
      <c r="A101" t="s">
        <v>689</v>
      </c>
      <c r="B101">
        <v>5</v>
      </c>
      <c r="D101">
        <v>0</v>
      </c>
    </row>
    <row r="102" spans="1:4" x14ac:dyDescent="0.3">
      <c r="A102" t="s">
        <v>690</v>
      </c>
      <c r="B102">
        <v>5</v>
      </c>
      <c r="D102" t="b">
        <v>0</v>
      </c>
    </row>
    <row r="103" spans="1:4" x14ac:dyDescent="0.3">
      <c r="A103" t="s">
        <v>691</v>
      </c>
      <c r="B103">
        <v>5</v>
      </c>
      <c r="D103" t="b">
        <v>0</v>
      </c>
    </row>
    <row r="104" spans="1:4" x14ac:dyDescent="0.3">
      <c r="A104" t="s">
        <v>677</v>
      </c>
      <c r="B104">
        <v>6</v>
      </c>
      <c r="D104">
        <v>9</v>
      </c>
    </row>
    <row r="105" spans="1:4" x14ac:dyDescent="0.3">
      <c r="A105" t="s">
        <v>36</v>
      </c>
      <c r="B105">
        <v>6</v>
      </c>
      <c r="D105">
        <v>1</v>
      </c>
    </row>
    <row r="106" spans="1:4" x14ac:dyDescent="0.3">
      <c r="A106" t="s">
        <v>503</v>
      </c>
      <c r="B106">
        <v>6</v>
      </c>
      <c r="D106" t="s">
        <v>742</v>
      </c>
    </row>
    <row r="107" spans="1:4" x14ac:dyDescent="0.3">
      <c r="A107" t="s">
        <v>678</v>
      </c>
      <c r="B107">
        <v>6</v>
      </c>
      <c r="D107">
        <v>575</v>
      </c>
    </row>
    <row r="108" spans="1:4" x14ac:dyDescent="0.3">
      <c r="A108" t="s">
        <v>42</v>
      </c>
      <c r="B108">
        <v>6</v>
      </c>
      <c r="D108">
        <v>30</v>
      </c>
    </row>
    <row r="109" spans="1:4" x14ac:dyDescent="0.3">
      <c r="A109" t="s">
        <v>679</v>
      </c>
      <c r="B109">
        <v>6</v>
      </c>
      <c r="D109">
        <v>13.1</v>
      </c>
    </row>
    <row r="110" spans="1:4" x14ac:dyDescent="0.3">
      <c r="A110" t="s">
        <v>41</v>
      </c>
      <c r="B110">
        <v>6</v>
      </c>
      <c r="D110">
        <v>0</v>
      </c>
    </row>
    <row r="111" spans="1:4" x14ac:dyDescent="0.3">
      <c r="A111" t="s">
        <v>680</v>
      </c>
      <c r="B111">
        <v>6</v>
      </c>
      <c r="D111">
        <v>12</v>
      </c>
    </row>
    <row r="112" spans="1:4" x14ac:dyDescent="0.3">
      <c r="A112" t="s">
        <v>563</v>
      </c>
      <c r="B112">
        <v>6</v>
      </c>
      <c r="D112">
        <v>0</v>
      </c>
    </row>
    <row r="113" spans="1:6" x14ac:dyDescent="0.3">
      <c r="A113" t="s">
        <v>681</v>
      </c>
      <c r="B113">
        <v>6</v>
      </c>
      <c r="D113">
        <v>0</v>
      </c>
    </row>
    <row r="114" spans="1:6" x14ac:dyDescent="0.3">
      <c r="A114" t="s">
        <v>682</v>
      </c>
      <c r="B114">
        <v>6</v>
      </c>
      <c r="D114">
        <v>16</v>
      </c>
    </row>
    <row r="115" spans="1:6" x14ac:dyDescent="0.3">
      <c r="A115" t="s">
        <v>683</v>
      </c>
      <c r="B115">
        <v>6</v>
      </c>
      <c r="D115">
        <v>200</v>
      </c>
    </row>
    <row r="116" spans="1:6" x14ac:dyDescent="0.3">
      <c r="A116" t="s">
        <v>684</v>
      </c>
      <c r="B116">
        <v>6</v>
      </c>
      <c r="D116">
        <v>1320</v>
      </c>
    </row>
    <row r="117" spans="1:6" x14ac:dyDescent="0.3">
      <c r="A117" t="s">
        <v>685</v>
      </c>
      <c r="B117">
        <v>6</v>
      </c>
      <c r="D117">
        <v>880</v>
      </c>
    </row>
    <row r="118" spans="1:6" x14ac:dyDescent="0.3">
      <c r="A118" t="s">
        <v>686</v>
      </c>
      <c r="B118">
        <v>6</v>
      </c>
      <c r="D118">
        <v>1760</v>
      </c>
    </row>
    <row r="119" spans="1:6" x14ac:dyDescent="0.3">
      <c r="A119" t="s">
        <v>687</v>
      </c>
      <c r="B119">
        <v>6</v>
      </c>
    </row>
    <row r="120" spans="1:6" x14ac:dyDescent="0.3">
      <c r="A120" t="s">
        <v>688</v>
      </c>
      <c r="B120">
        <v>6</v>
      </c>
    </row>
    <row r="121" spans="1:6" x14ac:dyDescent="0.3">
      <c r="A121" t="s">
        <v>689</v>
      </c>
      <c r="B121">
        <v>6</v>
      </c>
    </row>
    <row r="122" spans="1:6" x14ac:dyDescent="0.3">
      <c r="A122" t="s">
        <v>690</v>
      </c>
      <c r="B122">
        <v>6</v>
      </c>
      <c r="D122" t="b">
        <v>0</v>
      </c>
    </row>
    <row r="123" spans="1:6" x14ac:dyDescent="0.3">
      <c r="A123" t="s">
        <v>691</v>
      </c>
      <c r="B123">
        <v>6</v>
      </c>
      <c r="D123" t="b">
        <v>0</v>
      </c>
    </row>
    <row r="124" spans="1:6" x14ac:dyDescent="0.3">
      <c r="A124" t="s">
        <v>677</v>
      </c>
      <c r="B124">
        <v>7</v>
      </c>
      <c r="C124">
        <v>10</v>
      </c>
      <c r="D124">
        <v>8</v>
      </c>
      <c r="E124">
        <v>11</v>
      </c>
      <c r="F124">
        <v>9</v>
      </c>
    </row>
    <row r="125" spans="1:6" x14ac:dyDescent="0.3">
      <c r="A125" t="s">
        <v>36</v>
      </c>
      <c r="B125">
        <v>7</v>
      </c>
      <c r="C125">
        <v>4</v>
      </c>
      <c r="D125">
        <v>3</v>
      </c>
      <c r="E125">
        <v>4</v>
      </c>
      <c r="F125">
        <v>4</v>
      </c>
    </row>
    <row r="126" spans="1:6" x14ac:dyDescent="0.3">
      <c r="A126" t="s">
        <v>503</v>
      </c>
      <c r="B126">
        <v>7</v>
      </c>
      <c r="C126" t="s">
        <v>743</v>
      </c>
      <c r="D126" t="s">
        <v>744</v>
      </c>
      <c r="E126" t="s">
        <v>741</v>
      </c>
      <c r="F126" t="s">
        <v>741</v>
      </c>
    </row>
    <row r="127" spans="1:6" x14ac:dyDescent="0.3">
      <c r="A127" t="s">
        <v>678</v>
      </c>
      <c r="B127">
        <v>7</v>
      </c>
      <c r="C127">
        <v>512</v>
      </c>
      <c r="D127">
        <v>667</v>
      </c>
      <c r="E127">
        <v>2820</v>
      </c>
      <c r="F127">
        <v>2784</v>
      </c>
    </row>
    <row r="128" spans="1:6" x14ac:dyDescent="0.3">
      <c r="A128" t="s">
        <v>42</v>
      </c>
      <c r="B128">
        <v>7</v>
      </c>
      <c r="C128">
        <v>30</v>
      </c>
      <c r="D128">
        <v>30</v>
      </c>
      <c r="E128">
        <v>45</v>
      </c>
      <c r="F128">
        <v>45</v>
      </c>
    </row>
    <row r="129" spans="1:6" x14ac:dyDescent="0.3">
      <c r="A129" t="s">
        <v>679</v>
      </c>
      <c r="B129">
        <v>7</v>
      </c>
      <c r="C129">
        <v>11.6</v>
      </c>
      <c r="D129">
        <v>15.2</v>
      </c>
      <c r="E129">
        <v>42.7</v>
      </c>
      <c r="F129">
        <v>42.2</v>
      </c>
    </row>
    <row r="130" spans="1:6" x14ac:dyDescent="0.3">
      <c r="A130" t="s">
        <v>41</v>
      </c>
      <c r="B130">
        <v>7</v>
      </c>
      <c r="C130">
        <v>0</v>
      </c>
      <c r="D130">
        <v>0</v>
      </c>
      <c r="E130">
        <v>0</v>
      </c>
      <c r="F130">
        <v>0</v>
      </c>
    </row>
    <row r="131" spans="1:6" x14ac:dyDescent="0.3">
      <c r="A131" t="s">
        <v>680</v>
      </c>
      <c r="B131">
        <v>7</v>
      </c>
      <c r="C131">
        <v>12</v>
      </c>
      <c r="D131">
        <v>12</v>
      </c>
      <c r="E131">
        <v>12</v>
      </c>
      <c r="F131">
        <v>12</v>
      </c>
    </row>
    <row r="132" spans="1:6" x14ac:dyDescent="0.3">
      <c r="A132" t="s">
        <v>563</v>
      </c>
      <c r="B132">
        <v>7</v>
      </c>
      <c r="C132">
        <v>0</v>
      </c>
      <c r="D132">
        <v>0</v>
      </c>
      <c r="E132">
        <v>0</v>
      </c>
      <c r="F132">
        <v>0</v>
      </c>
    </row>
    <row r="133" spans="1:6" x14ac:dyDescent="0.3">
      <c r="A133" t="s">
        <v>681</v>
      </c>
      <c r="B133">
        <v>7</v>
      </c>
      <c r="C133">
        <v>0</v>
      </c>
      <c r="D133">
        <v>0</v>
      </c>
      <c r="E133">
        <v>0</v>
      </c>
      <c r="F133">
        <v>0</v>
      </c>
    </row>
    <row r="134" spans="1:6" x14ac:dyDescent="0.3">
      <c r="A134" t="s">
        <v>682</v>
      </c>
      <c r="B134">
        <v>7</v>
      </c>
      <c r="C134">
        <v>16</v>
      </c>
      <c r="D134">
        <v>16</v>
      </c>
      <c r="E134">
        <v>16</v>
      </c>
      <c r="F134">
        <v>16</v>
      </c>
    </row>
    <row r="135" spans="1:6" x14ac:dyDescent="0.3">
      <c r="A135" t="s">
        <v>683</v>
      </c>
      <c r="B135">
        <v>7</v>
      </c>
      <c r="C135">
        <v>583</v>
      </c>
      <c r="D135">
        <v>583</v>
      </c>
      <c r="E135">
        <v>583</v>
      </c>
      <c r="F135">
        <v>583</v>
      </c>
    </row>
    <row r="136" spans="1:6" x14ac:dyDescent="0.3">
      <c r="A136" t="s">
        <v>684</v>
      </c>
      <c r="B136">
        <v>7</v>
      </c>
      <c r="C136">
        <v>1320</v>
      </c>
      <c r="D136">
        <v>1320</v>
      </c>
      <c r="E136">
        <v>1980</v>
      </c>
      <c r="F136">
        <v>1980</v>
      </c>
    </row>
    <row r="137" spans="1:6" x14ac:dyDescent="0.3">
      <c r="A137" t="s">
        <v>685</v>
      </c>
      <c r="B137">
        <v>7</v>
      </c>
      <c r="C137">
        <v>880</v>
      </c>
      <c r="D137">
        <v>880</v>
      </c>
      <c r="E137">
        <v>1320</v>
      </c>
      <c r="F137">
        <v>1320</v>
      </c>
    </row>
    <row r="138" spans="1:6" x14ac:dyDescent="0.3">
      <c r="A138" t="s">
        <v>686</v>
      </c>
      <c r="B138">
        <v>7</v>
      </c>
      <c r="C138">
        <v>1760</v>
      </c>
      <c r="D138">
        <v>1760</v>
      </c>
      <c r="E138">
        <v>2640</v>
      </c>
      <c r="F138">
        <v>2640</v>
      </c>
    </row>
    <row r="139" spans="1:6" x14ac:dyDescent="0.3">
      <c r="A139" t="s">
        <v>687</v>
      </c>
      <c r="B139">
        <v>7</v>
      </c>
    </row>
    <row r="140" spans="1:6" x14ac:dyDescent="0.3">
      <c r="A140" t="s">
        <v>688</v>
      </c>
      <c r="B140">
        <v>7</v>
      </c>
    </row>
    <row r="141" spans="1:6" x14ac:dyDescent="0.3">
      <c r="A141" t="s">
        <v>689</v>
      </c>
      <c r="B141">
        <v>7</v>
      </c>
    </row>
    <row r="142" spans="1:6" x14ac:dyDescent="0.3">
      <c r="A142" t="s">
        <v>690</v>
      </c>
      <c r="B142">
        <v>7</v>
      </c>
      <c r="C142" t="b">
        <v>0</v>
      </c>
      <c r="D142" t="b">
        <v>0</v>
      </c>
      <c r="E142" t="b">
        <v>0</v>
      </c>
      <c r="F142" t="b">
        <v>0</v>
      </c>
    </row>
    <row r="143" spans="1:6" x14ac:dyDescent="0.3">
      <c r="A143" t="s">
        <v>691</v>
      </c>
      <c r="B143">
        <v>7</v>
      </c>
      <c r="C143" t="b">
        <v>0</v>
      </c>
      <c r="D143" t="b">
        <v>0</v>
      </c>
      <c r="E143" t="b">
        <v>0</v>
      </c>
      <c r="F143" t="b">
        <v>0</v>
      </c>
    </row>
    <row r="144" spans="1:6" x14ac:dyDescent="0.3">
      <c r="A144" t="s">
        <v>677</v>
      </c>
      <c r="B144">
        <v>8</v>
      </c>
      <c r="C144">
        <v>7</v>
      </c>
    </row>
    <row r="145" spans="1:3" x14ac:dyDescent="0.3">
      <c r="A145" t="s">
        <v>36</v>
      </c>
      <c r="B145">
        <v>8</v>
      </c>
      <c r="C145">
        <v>2</v>
      </c>
    </row>
    <row r="146" spans="1:3" x14ac:dyDescent="0.3">
      <c r="A146" t="s">
        <v>503</v>
      </c>
      <c r="B146">
        <v>8</v>
      </c>
      <c r="C146" t="s">
        <v>744</v>
      </c>
    </row>
    <row r="147" spans="1:3" x14ac:dyDescent="0.3">
      <c r="A147" t="s">
        <v>678</v>
      </c>
      <c r="B147">
        <v>8</v>
      </c>
      <c r="C147">
        <v>667</v>
      </c>
    </row>
    <row r="148" spans="1:3" x14ac:dyDescent="0.3">
      <c r="A148" t="s">
        <v>42</v>
      </c>
      <c r="B148">
        <v>8</v>
      </c>
      <c r="C148">
        <v>30</v>
      </c>
    </row>
    <row r="149" spans="1:3" x14ac:dyDescent="0.3">
      <c r="A149" t="s">
        <v>679</v>
      </c>
      <c r="B149">
        <v>8</v>
      </c>
      <c r="C149">
        <v>15.2</v>
      </c>
    </row>
    <row r="150" spans="1:3" x14ac:dyDescent="0.3">
      <c r="A150" t="s">
        <v>41</v>
      </c>
      <c r="B150">
        <v>8</v>
      </c>
      <c r="C150">
        <v>0</v>
      </c>
    </row>
    <row r="151" spans="1:3" x14ac:dyDescent="0.3">
      <c r="A151" t="s">
        <v>680</v>
      </c>
      <c r="B151">
        <v>8</v>
      </c>
      <c r="C151">
        <v>12</v>
      </c>
    </row>
    <row r="152" spans="1:3" x14ac:dyDescent="0.3">
      <c r="A152" t="s">
        <v>563</v>
      </c>
      <c r="B152">
        <v>8</v>
      </c>
      <c r="C152">
        <v>0</v>
      </c>
    </row>
    <row r="153" spans="1:3" x14ac:dyDescent="0.3">
      <c r="A153" t="s">
        <v>681</v>
      </c>
      <c r="B153">
        <v>8</v>
      </c>
      <c r="C153">
        <v>0</v>
      </c>
    </row>
    <row r="154" spans="1:3" x14ac:dyDescent="0.3">
      <c r="A154" t="s">
        <v>682</v>
      </c>
      <c r="B154">
        <v>8</v>
      </c>
      <c r="C154">
        <v>16</v>
      </c>
    </row>
    <row r="155" spans="1:3" x14ac:dyDescent="0.3">
      <c r="A155" t="s">
        <v>683</v>
      </c>
      <c r="B155">
        <v>8</v>
      </c>
      <c r="C155">
        <v>200</v>
      </c>
    </row>
    <row r="156" spans="1:3" x14ac:dyDescent="0.3">
      <c r="A156" t="s">
        <v>684</v>
      </c>
      <c r="B156">
        <v>8</v>
      </c>
      <c r="C156">
        <v>1320</v>
      </c>
    </row>
    <row r="157" spans="1:3" x14ac:dyDescent="0.3">
      <c r="A157" t="s">
        <v>685</v>
      </c>
      <c r="B157">
        <v>8</v>
      </c>
      <c r="C157">
        <v>880</v>
      </c>
    </row>
    <row r="158" spans="1:3" x14ac:dyDescent="0.3">
      <c r="A158" t="s">
        <v>686</v>
      </c>
      <c r="B158">
        <v>8</v>
      </c>
      <c r="C158">
        <v>1760</v>
      </c>
    </row>
    <row r="159" spans="1:3" x14ac:dyDescent="0.3">
      <c r="A159" t="s">
        <v>687</v>
      </c>
      <c r="B159">
        <v>8</v>
      </c>
    </row>
    <row r="160" spans="1:3" x14ac:dyDescent="0.3">
      <c r="A160" t="s">
        <v>688</v>
      </c>
      <c r="B160">
        <v>8</v>
      </c>
    </row>
    <row r="161" spans="1:6" x14ac:dyDescent="0.3">
      <c r="A161" t="s">
        <v>689</v>
      </c>
      <c r="B161">
        <v>8</v>
      </c>
    </row>
    <row r="162" spans="1:6" x14ac:dyDescent="0.3">
      <c r="A162" t="s">
        <v>690</v>
      </c>
      <c r="B162">
        <v>8</v>
      </c>
      <c r="C162" t="b">
        <v>0</v>
      </c>
    </row>
    <row r="163" spans="1:6" x14ac:dyDescent="0.3">
      <c r="A163" t="s">
        <v>691</v>
      </c>
      <c r="B163">
        <v>8</v>
      </c>
      <c r="C163" t="b">
        <v>0</v>
      </c>
    </row>
    <row r="164" spans="1:6" x14ac:dyDescent="0.3">
      <c r="A164" t="s">
        <v>677</v>
      </c>
      <c r="B164">
        <v>9</v>
      </c>
      <c r="C164">
        <v>6</v>
      </c>
      <c r="D164">
        <v>4</v>
      </c>
      <c r="E164">
        <v>7</v>
      </c>
      <c r="F164">
        <v>1</v>
      </c>
    </row>
    <row r="165" spans="1:6" x14ac:dyDescent="0.3">
      <c r="A165" t="s">
        <v>36</v>
      </c>
      <c r="B165">
        <v>9</v>
      </c>
      <c r="C165">
        <v>3</v>
      </c>
      <c r="D165">
        <v>3</v>
      </c>
      <c r="E165">
        <v>4</v>
      </c>
      <c r="F165">
        <v>4</v>
      </c>
    </row>
    <row r="166" spans="1:6" x14ac:dyDescent="0.3">
      <c r="A166" t="s">
        <v>503</v>
      </c>
      <c r="B166">
        <v>9</v>
      </c>
      <c r="C166" t="s">
        <v>742</v>
      </c>
      <c r="D166" t="s">
        <v>742</v>
      </c>
      <c r="E166" t="s">
        <v>741</v>
      </c>
      <c r="F166" t="s">
        <v>741</v>
      </c>
    </row>
    <row r="167" spans="1:6" x14ac:dyDescent="0.3">
      <c r="A167" t="s">
        <v>678</v>
      </c>
      <c r="B167">
        <v>9</v>
      </c>
      <c r="C167">
        <v>575</v>
      </c>
      <c r="D167">
        <v>365</v>
      </c>
      <c r="E167">
        <v>2784</v>
      </c>
      <c r="F167">
        <v>2966</v>
      </c>
    </row>
    <row r="168" spans="1:6" x14ac:dyDescent="0.3">
      <c r="A168" t="s">
        <v>42</v>
      </c>
      <c r="B168">
        <v>9</v>
      </c>
      <c r="C168">
        <v>35</v>
      </c>
      <c r="D168">
        <v>30</v>
      </c>
      <c r="E168">
        <v>45</v>
      </c>
      <c r="F168">
        <v>45</v>
      </c>
    </row>
    <row r="169" spans="1:6" x14ac:dyDescent="0.3">
      <c r="A169" t="s">
        <v>679</v>
      </c>
      <c r="B169">
        <v>9</v>
      </c>
      <c r="C169">
        <v>11.2</v>
      </c>
      <c r="D169">
        <v>8.3000000000000007</v>
      </c>
      <c r="E169">
        <v>42.2</v>
      </c>
      <c r="F169">
        <v>44.9</v>
      </c>
    </row>
    <row r="170" spans="1:6" x14ac:dyDescent="0.3">
      <c r="A170" t="s">
        <v>41</v>
      </c>
      <c r="B170">
        <v>9</v>
      </c>
      <c r="C170">
        <v>0</v>
      </c>
      <c r="D170">
        <v>0</v>
      </c>
      <c r="E170">
        <v>0</v>
      </c>
      <c r="F170">
        <v>0</v>
      </c>
    </row>
    <row r="171" spans="1:6" x14ac:dyDescent="0.3">
      <c r="A171" t="s">
        <v>680</v>
      </c>
      <c r="B171">
        <v>9</v>
      </c>
      <c r="C171">
        <v>12</v>
      </c>
      <c r="D171">
        <v>12</v>
      </c>
      <c r="E171">
        <v>12</v>
      </c>
      <c r="F171">
        <v>12</v>
      </c>
    </row>
    <row r="172" spans="1:6" x14ac:dyDescent="0.3">
      <c r="A172" t="s">
        <v>563</v>
      </c>
      <c r="B172">
        <v>9</v>
      </c>
      <c r="C172">
        <v>0</v>
      </c>
      <c r="D172">
        <v>0</v>
      </c>
      <c r="E172">
        <v>0</v>
      </c>
      <c r="F172">
        <v>0</v>
      </c>
    </row>
    <row r="173" spans="1:6" x14ac:dyDescent="0.3">
      <c r="A173" t="s">
        <v>681</v>
      </c>
      <c r="B173">
        <v>9</v>
      </c>
      <c r="C173">
        <v>0</v>
      </c>
      <c r="D173">
        <v>1</v>
      </c>
      <c r="E173">
        <v>0</v>
      </c>
      <c r="F173">
        <v>0</v>
      </c>
    </row>
    <row r="174" spans="1:6" x14ac:dyDescent="0.3">
      <c r="A174" t="s">
        <v>682</v>
      </c>
      <c r="B174">
        <v>9</v>
      </c>
      <c r="C174">
        <v>16</v>
      </c>
      <c r="D174">
        <v>16</v>
      </c>
      <c r="E174">
        <v>16</v>
      </c>
      <c r="F174">
        <v>16</v>
      </c>
    </row>
    <row r="175" spans="1:6" x14ac:dyDescent="0.3">
      <c r="A175" t="s">
        <v>683</v>
      </c>
      <c r="B175">
        <v>9</v>
      </c>
      <c r="C175">
        <v>583</v>
      </c>
      <c r="D175">
        <v>583</v>
      </c>
      <c r="E175">
        <v>583</v>
      </c>
      <c r="F175">
        <v>583</v>
      </c>
    </row>
    <row r="176" spans="1:6" x14ac:dyDescent="0.3">
      <c r="A176" t="s">
        <v>684</v>
      </c>
      <c r="B176">
        <v>9</v>
      </c>
      <c r="C176">
        <v>1539</v>
      </c>
      <c r="D176">
        <v>1320</v>
      </c>
      <c r="E176">
        <v>1980</v>
      </c>
      <c r="F176">
        <v>1980</v>
      </c>
    </row>
    <row r="177" spans="1:6" x14ac:dyDescent="0.3">
      <c r="A177" t="s">
        <v>685</v>
      </c>
      <c r="B177">
        <v>9</v>
      </c>
      <c r="C177">
        <v>1026</v>
      </c>
      <c r="D177">
        <v>880</v>
      </c>
      <c r="E177">
        <v>1320</v>
      </c>
      <c r="F177">
        <v>1320</v>
      </c>
    </row>
    <row r="178" spans="1:6" x14ac:dyDescent="0.3">
      <c r="A178" t="s">
        <v>686</v>
      </c>
      <c r="B178">
        <v>9</v>
      </c>
      <c r="C178">
        <v>2052</v>
      </c>
      <c r="D178">
        <v>1760</v>
      </c>
      <c r="E178">
        <v>2640</v>
      </c>
      <c r="F178">
        <v>2640</v>
      </c>
    </row>
    <row r="179" spans="1:6" x14ac:dyDescent="0.3">
      <c r="A179" t="s">
        <v>687</v>
      </c>
      <c r="B179">
        <v>9</v>
      </c>
    </row>
    <row r="180" spans="1:6" x14ac:dyDescent="0.3">
      <c r="A180" t="s">
        <v>688</v>
      </c>
      <c r="B180">
        <v>9</v>
      </c>
    </row>
    <row r="181" spans="1:6" x14ac:dyDescent="0.3">
      <c r="A181" t="s">
        <v>689</v>
      </c>
      <c r="B181">
        <v>9</v>
      </c>
    </row>
    <row r="182" spans="1:6" x14ac:dyDescent="0.3">
      <c r="A182" t="s">
        <v>690</v>
      </c>
      <c r="B182">
        <v>9</v>
      </c>
      <c r="C182" t="b">
        <v>0</v>
      </c>
      <c r="D182" t="b">
        <v>0</v>
      </c>
      <c r="E182" t="b">
        <v>0</v>
      </c>
      <c r="F182" t="b">
        <v>0</v>
      </c>
    </row>
    <row r="183" spans="1:6" x14ac:dyDescent="0.3">
      <c r="A183" t="s">
        <v>691</v>
      </c>
      <c r="B183">
        <v>9</v>
      </c>
      <c r="C183" t="b">
        <v>0</v>
      </c>
      <c r="D183" t="b">
        <v>0</v>
      </c>
      <c r="E183" t="b">
        <v>0</v>
      </c>
      <c r="F183" t="b">
        <v>0</v>
      </c>
    </row>
    <row r="184" spans="1:6" x14ac:dyDescent="0.3">
      <c r="A184" t="s">
        <v>677</v>
      </c>
      <c r="B184">
        <v>10</v>
      </c>
      <c r="D184">
        <v>7</v>
      </c>
    </row>
    <row r="185" spans="1:6" x14ac:dyDescent="0.3">
      <c r="A185" t="s">
        <v>36</v>
      </c>
      <c r="B185">
        <v>10</v>
      </c>
      <c r="D185">
        <v>2</v>
      </c>
    </row>
    <row r="186" spans="1:6" x14ac:dyDescent="0.3">
      <c r="A186" t="s">
        <v>503</v>
      </c>
      <c r="B186">
        <v>10</v>
      </c>
      <c r="D186" t="s">
        <v>743</v>
      </c>
    </row>
    <row r="187" spans="1:6" x14ac:dyDescent="0.3">
      <c r="A187" t="s">
        <v>678</v>
      </c>
      <c r="B187">
        <v>10</v>
      </c>
      <c r="D187">
        <v>512</v>
      </c>
    </row>
    <row r="188" spans="1:6" x14ac:dyDescent="0.3">
      <c r="A188" t="s">
        <v>42</v>
      </c>
      <c r="B188">
        <v>10</v>
      </c>
      <c r="D188">
        <v>30</v>
      </c>
    </row>
    <row r="189" spans="1:6" x14ac:dyDescent="0.3">
      <c r="A189" t="s">
        <v>679</v>
      </c>
      <c r="B189">
        <v>10</v>
      </c>
      <c r="D189">
        <v>11.6</v>
      </c>
    </row>
    <row r="190" spans="1:6" x14ac:dyDescent="0.3">
      <c r="A190" t="s">
        <v>41</v>
      </c>
      <c r="B190">
        <v>10</v>
      </c>
      <c r="D190">
        <v>0</v>
      </c>
    </row>
    <row r="191" spans="1:6" x14ac:dyDescent="0.3">
      <c r="A191" t="s">
        <v>680</v>
      </c>
      <c r="B191">
        <v>10</v>
      </c>
      <c r="D191">
        <v>12</v>
      </c>
    </row>
    <row r="192" spans="1:6" x14ac:dyDescent="0.3">
      <c r="A192" t="s">
        <v>563</v>
      </c>
      <c r="B192">
        <v>10</v>
      </c>
      <c r="D192">
        <v>0</v>
      </c>
    </row>
    <row r="193" spans="1:6" x14ac:dyDescent="0.3">
      <c r="A193" t="s">
        <v>681</v>
      </c>
      <c r="B193">
        <v>10</v>
      </c>
      <c r="D193">
        <v>0</v>
      </c>
    </row>
    <row r="194" spans="1:6" x14ac:dyDescent="0.3">
      <c r="A194" t="s">
        <v>682</v>
      </c>
      <c r="B194">
        <v>10</v>
      </c>
      <c r="D194">
        <v>16</v>
      </c>
    </row>
    <row r="195" spans="1:6" x14ac:dyDescent="0.3">
      <c r="A195" t="s">
        <v>683</v>
      </c>
      <c r="B195">
        <v>10</v>
      </c>
      <c r="D195">
        <v>200</v>
      </c>
    </row>
    <row r="196" spans="1:6" x14ac:dyDescent="0.3">
      <c r="A196" t="s">
        <v>684</v>
      </c>
      <c r="B196">
        <v>10</v>
      </c>
      <c r="D196">
        <v>1320</v>
      </c>
    </row>
    <row r="197" spans="1:6" x14ac:dyDescent="0.3">
      <c r="A197" t="s">
        <v>685</v>
      </c>
      <c r="B197">
        <v>10</v>
      </c>
      <c r="D197">
        <v>880</v>
      </c>
    </row>
    <row r="198" spans="1:6" x14ac:dyDescent="0.3">
      <c r="A198" t="s">
        <v>686</v>
      </c>
      <c r="B198">
        <v>10</v>
      </c>
      <c r="D198">
        <v>1760</v>
      </c>
    </row>
    <row r="199" spans="1:6" x14ac:dyDescent="0.3">
      <c r="A199" t="s">
        <v>687</v>
      </c>
      <c r="B199">
        <v>10</v>
      </c>
    </row>
    <row r="200" spans="1:6" x14ac:dyDescent="0.3">
      <c r="A200" t="s">
        <v>688</v>
      </c>
      <c r="B200">
        <v>10</v>
      </c>
    </row>
    <row r="201" spans="1:6" x14ac:dyDescent="0.3">
      <c r="A201" t="s">
        <v>689</v>
      </c>
      <c r="B201">
        <v>10</v>
      </c>
    </row>
    <row r="202" spans="1:6" x14ac:dyDescent="0.3">
      <c r="A202" t="s">
        <v>690</v>
      </c>
      <c r="B202">
        <v>10</v>
      </c>
      <c r="D202" t="b">
        <v>0</v>
      </c>
    </row>
    <row r="203" spans="1:6" x14ac:dyDescent="0.3">
      <c r="A203" t="s">
        <v>691</v>
      </c>
      <c r="B203">
        <v>10</v>
      </c>
      <c r="D203" t="b">
        <v>0</v>
      </c>
    </row>
    <row r="204" spans="1:6" x14ac:dyDescent="0.3">
      <c r="A204" t="s">
        <v>677</v>
      </c>
      <c r="B204">
        <v>11</v>
      </c>
      <c r="C204">
        <v>14</v>
      </c>
      <c r="D204">
        <v>12</v>
      </c>
      <c r="E204">
        <v>25</v>
      </c>
      <c r="F204">
        <v>7</v>
      </c>
    </row>
    <row r="205" spans="1:6" x14ac:dyDescent="0.3">
      <c r="A205" t="s">
        <v>36</v>
      </c>
      <c r="B205">
        <v>11</v>
      </c>
      <c r="C205">
        <v>3</v>
      </c>
      <c r="D205">
        <v>2</v>
      </c>
      <c r="E205">
        <v>4</v>
      </c>
      <c r="F205">
        <v>4</v>
      </c>
    </row>
    <row r="206" spans="1:6" x14ac:dyDescent="0.3">
      <c r="A206" t="s">
        <v>503</v>
      </c>
      <c r="B206">
        <v>11</v>
      </c>
      <c r="C206" t="s">
        <v>745</v>
      </c>
      <c r="D206" t="s">
        <v>745</v>
      </c>
      <c r="E206" t="s">
        <v>741</v>
      </c>
      <c r="F206" t="s">
        <v>741</v>
      </c>
    </row>
    <row r="207" spans="1:6" x14ac:dyDescent="0.3">
      <c r="A207" t="s">
        <v>678</v>
      </c>
      <c r="B207">
        <v>11</v>
      </c>
      <c r="C207">
        <v>401</v>
      </c>
      <c r="D207">
        <v>533</v>
      </c>
      <c r="E207">
        <v>1028</v>
      </c>
      <c r="F207">
        <v>2820</v>
      </c>
    </row>
    <row r="208" spans="1:6" x14ac:dyDescent="0.3">
      <c r="A208" t="s">
        <v>42</v>
      </c>
      <c r="B208">
        <v>11</v>
      </c>
      <c r="C208">
        <v>35</v>
      </c>
      <c r="D208">
        <v>30</v>
      </c>
      <c r="E208">
        <v>45</v>
      </c>
      <c r="F208">
        <v>45</v>
      </c>
    </row>
    <row r="209" spans="1:6" x14ac:dyDescent="0.3">
      <c r="A209" t="s">
        <v>679</v>
      </c>
      <c r="B209">
        <v>11</v>
      </c>
      <c r="C209">
        <v>7.8</v>
      </c>
      <c r="D209">
        <v>12.1</v>
      </c>
      <c r="E209">
        <v>15.6</v>
      </c>
      <c r="F209">
        <v>42.7</v>
      </c>
    </row>
    <row r="210" spans="1:6" x14ac:dyDescent="0.3">
      <c r="A210" t="s">
        <v>41</v>
      </c>
      <c r="B210">
        <v>11</v>
      </c>
      <c r="C210">
        <v>0</v>
      </c>
      <c r="D210">
        <v>0</v>
      </c>
      <c r="E210">
        <v>0</v>
      </c>
      <c r="F210">
        <v>0</v>
      </c>
    </row>
    <row r="211" spans="1:6" x14ac:dyDescent="0.3">
      <c r="A211" t="s">
        <v>680</v>
      </c>
      <c r="B211">
        <v>11</v>
      </c>
      <c r="C211">
        <v>12</v>
      </c>
      <c r="D211">
        <v>12</v>
      </c>
      <c r="E211">
        <v>12</v>
      </c>
      <c r="F211">
        <v>12</v>
      </c>
    </row>
    <row r="212" spans="1:6" x14ac:dyDescent="0.3">
      <c r="A212" t="s">
        <v>563</v>
      </c>
      <c r="B212">
        <v>11</v>
      </c>
      <c r="C212">
        <v>0</v>
      </c>
      <c r="D212">
        <v>0</v>
      </c>
      <c r="E212">
        <v>0</v>
      </c>
      <c r="F212">
        <v>0</v>
      </c>
    </row>
    <row r="213" spans="1:6" x14ac:dyDescent="0.3">
      <c r="A213" t="s">
        <v>681</v>
      </c>
      <c r="B213">
        <v>11</v>
      </c>
      <c r="C213">
        <v>1</v>
      </c>
      <c r="D213">
        <v>0</v>
      </c>
      <c r="E213">
        <v>0</v>
      </c>
      <c r="F213">
        <v>0</v>
      </c>
    </row>
    <row r="214" spans="1:6" x14ac:dyDescent="0.3">
      <c r="A214" t="s">
        <v>682</v>
      </c>
      <c r="B214">
        <v>11</v>
      </c>
      <c r="C214">
        <v>16</v>
      </c>
      <c r="D214">
        <v>16</v>
      </c>
      <c r="E214">
        <v>16</v>
      </c>
      <c r="F214">
        <v>16</v>
      </c>
    </row>
    <row r="215" spans="1:6" x14ac:dyDescent="0.3">
      <c r="A215" t="s">
        <v>683</v>
      </c>
      <c r="B215">
        <v>11</v>
      </c>
      <c r="C215">
        <v>583</v>
      </c>
      <c r="D215">
        <v>583</v>
      </c>
      <c r="E215">
        <v>583</v>
      </c>
      <c r="F215">
        <v>583</v>
      </c>
    </row>
    <row r="216" spans="1:6" x14ac:dyDescent="0.3">
      <c r="A216" t="s">
        <v>684</v>
      </c>
      <c r="B216">
        <v>11</v>
      </c>
      <c r="C216">
        <v>1539</v>
      </c>
      <c r="D216">
        <v>1320</v>
      </c>
      <c r="E216">
        <v>1980</v>
      </c>
      <c r="F216">
        <v>1980</v>
      </c>
    </row>
    <row r="217" spans="1:6" x14ac:dyDescent="0.3">
      <c r="A217" t="s">
        <v>685</v>
      </c>
      <c r="B217">
        <v>11</v>
      </c>
      <c r="C217">
        <v>1026</v>
      </c>
      <c r="D217">
        <v>880</v>
      </c>
      <c r="E217">
        <v>1320</v>
      </c>
      <c r="F217">
        <v>1320</v>
      </c>
    </row>
    <row r="218" spans="1:6" x14ac:dyDescent="0.3">
      <c r="A218" t="s">
        <v>686</v>
      </c>
      <c r="B218">
        <v>11</v>
      </c>
      <c r="C218">
        <v>2052</v>
      </c>
      <c r="D218">
        <v>1760</v>
      </c>
      <c r="E218">
        <v>2640</v>
      </c>
      <c r="F218">
        <v>2640</v>
      </c>
    </row>
    <row r="219" spans="1:6" x14ac:dyDescent="0.3">
      <c r="A219" t="s">
        <v>687</v>
      </c>
      <c r="B219">
        <v>11</v>
      </c>
    </row>
    <row r="220" spans="1:6" x14ac:dyDescent="0.3">
      <c r="A220" t="s">
        <v>688</v>
      </c>
      <c r="B220">
        <v>11</v>
      </c>
    </row>
    <row r="221" spans="1:6" x14ac:dyDescent="0.3">
      <c r="A221" t="s">
        <v>689</v>
      </c>
      <c r="B221">
        <v>11</v>
      </c>
    </row>
    <row r="222" spans="1:6" x14ac:dyDescent="0.3">
      <c r="A222" t="s">
        <v>690</v>
      </c>
      <c r="B222">
        <v>11</v>
      </c>
      <c r="C222" t="b">
        <v>0</v>
      </c>
      <c r="D222" t="b">
        <v>0</v>
      </c>
      <c r="E222" t="b">
        <v>0</v>
      </c>
      <c r="F222" t="b">
        <v>0</v>
      </c>
    </row>
    <row r="223" spans="1:6" x14ac:dyDescent="0.3">
      <c r="A223" t="s">
        <v>691</v>
      </c>
      <c r="B223">
        <v>11</v>
      </c>
      <c r="C223" t="b">
        <v>0</v>
      </c>
      <c r="D223" t="b">
        <v>0</v>
      </c>
      <c r="E223" t="b">
        <v>0</v>
      </c>
      <c r="F223" t="b">
        <v>0</v>
      </c>
    </row>
    <row r="224" spans="1:6" x14ac:dyDescent="0.3">
      <c r="A224" t="s">
        <v>677</v>
      </c>
      <c r="B224">
        <v>12</v>
      </c>
      <c r="C224">
        <v>11</v>
      </c>
    </row>
    <row r="225" spans="1:3" x14ac:dyDescent="0.3">
      <c r="A225" t="s">
        <v>36</v>
      </c>
      <c r="B225">
        <v>12</v>
      </c>
      <c r="C225">
        <v>2</v>
      </c>
    </row>
    <row r="226" spans="1:3" x14ac:dyDescent="0.3">
      <c r="A226" t="s">
        <v>503</v>
      </c>
      <c r="B226">
        <v>12</v>
      </c>
      <c r="C226" t="s">
        <v>745</v>
      </c>
    </row>
    <row r="227" spans="1:3" x14ac:dyDescent="0.3">
      <c r="A227" t="s">
        <v>678</v>
      </c>
      <c r="B227">
        <v>12</v>
      </c>
      <c r="C227">
        <v>533</v>
      </c>
    </row>
    <row r="228" spans="1:3" x14ac:dyDescent="0.3">
      <c r="A228" t="s">
        <v>42</v>
      </c>
      <c r="B228">
        <v>12</v>
      </c>
      <c r="C228">
        <v>30</v>
      </c>
    </row>
    <row r="229" spans="1:3" x14ac:dyDescent="0.3">
      <c r="A229" t="s">
        <v>679</v>
      </c>
      <c r="B229">
        <v>12</v>
      </c>
      <c r="C229">
        <v>12.1</v>
      </c>
    </row>
    <row r="230" spans="1:3" x14ac:dyDescent="0.3">
      <c r="A230" t="s">
        <v>41</v>
      </c>
      <c r="B230">
        <v>12</v>
      </c>
      <c r="C230">
        <v>0</v>
      </c>
    </row>
    <row r="231" spans="1:3" x14ac:dyDescent="0.3">
      <c r="A231" t="s">
        <v>680</v>
      </c>
      <c r="B231">
        <v>12</v>
      </c>
      <c r="C231">
        <v>0</v>
      </c>
    </row>
    <row r="232" spans="1:3" x14ac:dyDescent="0.3">
      <c r="A232" t="s">
        <v>563</v>
      </c>
      <c r="B232">
        <v>12</v>
      </c>
      <c r="C232">
        <v>0</v>
      </c>
    </row>
    <row r="233" spans="1:3" x14ac:dyDescent="0.3">
      <c r="A233" t="s">
        <v>681</v>
      </c>
      <c r="B233">
        <v>12</v>
      </c>
      <c r="C233">
        <v>0</v>
      </c>
    </row>
    <row r="234" spans="1:3" x14ac:dyDescent="0.3">
      <c r="A234" t="s">
        <v>682</v>
      </c>
      <c r="B234">
        <v>12</v>
      </c>
      <c r="C234">
        <v>16</v>
      </c>
    </row>
    <row r="235" spans="1:3" x14ac:dyDescent="0.3">
      <c r="A235" t="s">
        <v>683</v>
      </c>
      <c r="B235">
        <v>12</v>
      </c>
      <c r="C235">
        <v>200</v>
      </c>
    </row>
    <row r="236" spans="1:3" x14ac:dyDescent="0.3">
      <c r="A236" t="s">
        <v>684</v>
      </c>
      <c r="B236">
        <v>12</v>
      </c>
      <c r="C236">
        <v>1320</v>
      </c>
    </row>
    <row r="237" spans="1:3" x14ac:dyDescent="0.3">
      <c r="A237" t="s">
        <v>685</v>
      </c>
      <c r="B237">
        <v>12</v>
      </c>
      <c r="C237">
        <v>880</v>
      </c>
    </row>
    <row r="238" spans="1:3" x14ac:dyDescent="0.3">
      <c r="A238" t="s">
        <v>686</v>
      </c>
      <c r="B238">
        <v>12</v>
      </c>
      <c r="C238">
        <v>1760</v>
      </c>
    </row>
    <row r="239" spans="1:3" x14ac:dyDescent="0.3">
      <c r="A239" t="s">
        <v>687</v>
      </c>
      <c r="B239">
        <v>12</v>
      </c>
    </row>
    <row r="240" spans="1:3" x14ac:dyDescent="0.3">
      <c r="A240" t="s">
        <v>688</v>
      </c>
      <c r="B240">
        <v>12</v>
      </c>
    </row>
    <row r="241" spans="1:10" x14ac:dyDescent="0.3">
      <c r="A241" t="s">
        <v>689</v>
      </c>
      <c r="B241">
        <v>12</v>
      </c>
    </row>
    <row r="242" spans="1:10" x14ac:dyDescent="0.3">
      <c r="A242" t="s">
        <v>690</v>
      </c>
      <c r="B242">
        <v>12</v>
      </c>
      <c r="C242" t="b">
        <v>0</v>
      </c>
    </row>
    <row r="243" spans="1:10" x14ac:dyDescent="0.3">
      <c r="A243" t="s">
        <v>691</v>
      </c>
      <c r="B243">
        <v>12</v>
      </c>
      <c r="C243" t="b">
        <v>0</v>
      </c>
    </row>
    <row r="244" spans="1:10" x14ac:dyDescent="0.3">
      <c r="A244" t="s">
        <v>677</v>
      </c>
      <c r="B244">
        <v>13</v>
      </c>
      <c r="G244">
        <v>16</v>
      </c>
      <c r="H244">
        <v>18</v>
      </c>
      <c r="I244">
        <v>49</v>
      </c>
      <c r="J244">
        <v>15</v>
      </c>
    </row>
    <row r="245" spans="1:10" x14ac:dyDescent="0.3">
      <c r="A245" t="s">
        <v>36</v>
      </c>
      <c r="B245">
        <v>13</v>
      </c>
      <c r="G245">
        <v>6</v>
      </c>
      <c r="H245">
        <v>6</v>
      </c>
      <c r="I245">
        <v>5</v>
      </c>
      <c r="J245">
        <v>4</v>
      </c>
    </row>
    <row r="246" spans="1:10" x14ac:dyDescent="0.3">
      <c r="A246" t="s">
        <v>503</v>
      </c>
      <c r="B246">
        <v>13</v>
      </c>
      <c r="G246" t="s">
        <v>746</v>
      </c>
      <c r="H246" t="s">
        <v>741</v>
      </c>
      <c r="I246" t="s">
        <v>741</v>
      </c>
      <c r="J246" t="s">
        <v>747</v>
      </c>
    </row>
    <row r="247" spans="1:10" x14ac:dyDescent="0.3">
      <c r="A247" t="s">
        <v>678</v>
      </c>
      <c r="B247">
        <v>13</v>
      </c>
      <c r="G247">
        <v>538</v>
      </c>
      <c r="H247">
        <v>914</v>
      </c>
      <c r="I247">
        <v>2934</v>
      </c>
      <c r="J247">
        <v>684</v>
      </c>
    </row>
    <row r="248" spans="1:10" x14ac:dyDescent="0.3">
      <c r="A248" t="s">
        <v>42</v>
      </c>
      <c r="B248">
        <v>13</v>
      </c>
      <c r="G248">
        <v>30</v>
      </c>
      <c r="H248">
        <v>45</v>
      </c>
      <c r="I248">
        <v>45</v>
      </c>
      <c r="J248">
        <v>35</v>
      </c>
    </row>
    <row r="249" spans="1:10" x14ac:dyDescent="0.3">
      <c r="A249" t="s">
        <v>679</v>
      </c>
      <c r="B249">
        <v>13</v>
      </c>
      <c r="G249">
        <v>12.2</v>
      </c>
      <c r="H249">
        <v>13.8</v>
      </c>
      <c r="I249">
        <v>44.5</v>
      </c>
      <c r="J249">
        <v>13.3</v>
      </c>
    </row>
    <row r="250" spans="1:10" x14ac:dyDescent="0.3">
      <c r="A250" t="s">
        <v>41</v>
      </c>
      <c r="B250">
        <v>13</v>
      </c>
      <c r="G250">
        <v>0</v>
      </c>
      <c r="H250">
        <v>0</v>
      </c>
      <c r="I250">
        <v>0</v>
      </c>
      <c r="J250">
        <v>0</v>
      </c>
    </row>
    <row r="251" spans="1:10" x14ac:dyDescent="0.3">
      <c r="A251" t="s">
        <v>680</v>
      </c>
      <c r="B251">
        <v>13</v>
      </c>
      <c r="G251">
        <v>24</v>
      </c>
      <c r="H251">
        <v>24</v>
      </c>
      <c r="I251">
        <v>24</v>
      </c>
      <c r="J251">
        <v>24</v>
      </c>
    </row>
    <row r="252" spans="1:10" x14ac:dyDescent="0.3">
      <c r="A252" t="s">
        <v>563</v>
      </c>
      <c r="B252">
        <v>13</v>
      </c>
      <c r="G252">
        <v>0</v>
      </c>
      <c r="H252">
        <v>0</v>
      </c>
      <c r="I252">
        <v>0</v>
      </c>
      <c r="J252">
        <v>0</v>
      </c>
    </row>
    <row r="253" spans="1:10" x14ac:dyDescent="0.3">
      <c r="A253" t="s">
        <v>681</v>
      </c>
      <c r="B253">
        <v>13</v>
      </c>
      <c r="G253">
        <v>0</v>
      </c>
      <c r="H253">
        <v>0</v>
      </c>
      <c r="I253">
        <v>0</v>
      </c>
      <c r="J253">
        <v>0</v>
      </c>
    </row>
    <row r="254" spans="1:10" x14ac:dyDescent="0.3">
      <c r="A254" t="s">
        <v>682</v>
      </c>
      <c r="B254">
        <v>13</v>
      </c>
      <c r="G254">
        <v>16</v>
      </c>
      <c r="H254">
        <v>16</v>
      </c>
      <c r="I254">
        <v>16</v>
      </c>
      <c r="J254">
        <v>16</v>
      </c>
    </row>
    <row r="255" spans="1:10" x14ac:dyDescent="0.3">
      <c r="A255" t="s">
        <v>683</v>
      </c>
      <c r="B255">
        <v>13</v>
      </c>
      <c r="G255">
        <v>583</v>
      </c>
      <c r="H255">
        <v>583</v>
      </c>
      <c r="I255">
        <v>583</v>
      </c>
      <c r="J255">
        <v>583</v>
      </c>
    </row>
    <row r="256" spans="1:10" x14ac:dyDescent="0.3">
      <c r="A256" t="s">
        <v>684</v>
      </c>
      <c r="B256">
        <v>13</v>
      </c>
      <c r="G256">
        <v>1320</v>
      </c>
      <c r="H256">
        <v>1980</v>
      </c>
      <c r="I256">
        <v>1980</v>
      </c>
      <c r="J256">
        <v>1539</v>
      </c>
    </row>
    <row r="257" spans="1:10" x14ac:dyDescent="0.3">
      <c r="A257" t="s">
        <v>685</v>
      </c>
      <c r="B257">
        <v>13</v>
      </c>
      <c r="G257">
        <v>880</v>
      </c>
      <c r="H257">
        <v>1320</v>
      </c>
      <c r="I257">
        <v>1320</v>
      </c>
      <c r="J257">
        <v>1026</v>
      </c>
    </row>
    <row r="258" spans="1:10" x14ac:dyDescent="0.3">
      <c r="A258" t="s">
        <v>686</v>
      </c>
      <c r="B258">
        <v>13</v>
      </c>
      <c r="G258">
        <v>1760</v>
      </c>
      <c r="H258">
        <v>2640</v>
      </c>
      <c r="I258">
        <v>2640</v>
      </c>
      <c r="J258">
        <v>2052</v>
      </c>
    </row>
    <row r="259" spans="1:10" x14ac:dyDescent="0.3">
      <c r="A259" t="s">
        <v>687</v>
      </c>
      <c r="B259">
        <v>13</v>
      </c>
      <c r="H259">
        <v>-359366</v>
      </c>
    </row>
    <row r="260" spans="1:10" x14ac:dyDescent="0.3">
      <c r="A260" t="s">
        <v>688</v>
      </c>
      <c r="B260">
        <v>13</v>
      </c>
      <c r="H260">
        <v>14381</v>
      </c>
    </row>
    <row r="261" spans="1:10" x14ac:dyDescent="0.3">
      <c r="A261" t="s">
        <v>689</v>
      </c>
      <c r="B261">
        <v>13</v>
      </c>
      <c r="H261">
        <v>0</v>
      </c>
    </row>
    <row r="262" spans="1:10" x14ac:dyDescent="0.3">
      <c r="A262" t="s">
        <v>690</v>
      </c>
      <c r="B262">
        <v>13</v>
      </c>
      <c r="G262" t="b">
        <v>0</v>
      </c>
      <c r="H262" t="b">
        <v>0</v>
      </c>
      <c r="I262" t="b">
        <v>0</v>
      </c>
      <c r="J262" t="b">
        <v>0</v>
      </c>
    </row>
    <row r="263" spans="1:10" x14ac:dyDescent="0.3">
      <c r="A263" t="s">
        <v>691</v>
      </c>
      <c r="B263">
        <v>13</v>
      </c>
      <c r="G263" t="b">
        <v>0</v>
      </c>
      <c r="H263" t="b">
        <v>0</v>
      </c>
      <c r="I263" t="b">
        <v>0</v>
      </c>
      <c r="J263" t="b">
        <v>0</v>
      </c>
    </row>
    <row r="264" spans="1:10" x14ac:dyDescent="0.3">
      <c r="A264" t="s">
        <v>677</v>
      </c>
      <c r="B264">
        <v>14</v>
      </c>
      <c r="D264">
        <v>11</v>
      </c>
    </row>
    <row r="265" spans="1:10" x14ac:dyDescent="0.3">
      <c r="A265" t="s">
        <v>36</v>
      </c>
      <c r="B265">
        <v>14</v>
      </c>
      <c r="D265">
        <v>2</v>
      </c>
    </row>
    <row r="266" spans="1:10" x14ac:dyDescent="0.3">
      <c r="A266" t="s">
        <v>503</v>
      </c>
      <c r="B266">
        <v>14</v>
      </c>
      <c r="D266" t="s">
        <v>745</v>
      </c>
    </row>
    <row r="267" spans="1:10" x14ac:dyDescent="0.3">
      <c r="A267" t="s">
        <v>678</v>
      </c>
      <c r="B267">
        <v>14</v>
      </c>
      <c r="D267">
        <v>401</v>
      </c>
    </row>
    <row r="268" spans="1:10" x14ac:dyDescent="0.3">
      <c r="A268" t="s">
        <v>42</v>
      </c>
      <c r="B268">
        <v>14</v>
      </c>
      <c r="D268">
        <v>30</v>
      </c>
    </row>
    <row r="269" spans="1:10" x14ac:dyDescent="0.3">
      <c r="A269" t="s">
        <v>679</v>
      </c>
      <c r="B269">
        <v>14</v>
      </c>
      <c r="D269">
        <v>9.1</v>
      </c>
    </row>
    <row r="270" spans="1:10" x14ac:dyDescent="0.3">
      <c r="A270" t="s">
        <v>41</v>
      </c>
      <c r="B270">
        <v>14</v>
      </c>
      <c r="D270">
        <v>0</v>
      </c>
    </row>
    <row r="271" spans="1:10" x14ac:dyDescent="0.3">
      <c r="A271" t="s">
        <v>680</v>
      </c>
      <c r="B271">
        <v>14</v>
      </c>
      <c r="D271">
        <v>12</v>
      </c>
    </row>
    <row r="272" spans="1:10" x14ac:dyDescent="0.3">
      <c r="A272" t="s">
        <v>563</v>
      </c>
      <c r="B272">
        <v>14</v>
      </c>
      <c r="D272">
        <v>0</v>
      </c>
    </row>
    <row r="273" spans="1:7" x14ac:dyDescent="0.3">
      <c r="A273" t="s">
        <v>681</v>
      </c>
      <c r="B273">
        <v>14</v>
      </c>
      <c r="D273">
        <v>1</v>
      </c>
    </row>
    <row r="274" spans="1:7" x14ac:dyDescent="0.3">
      <c r="A274" t="s">
        <v>682</v>
      </c>
      <c r="B274">
        <v>14</v>
      </c>
      <c r="D274">
        <v>16</v>
      </c>
    </row>
    <row r="275" spans="1:7" x14ac:dyDescent="0.3">
      <c r="A275" t="s">
        <v>683</v>
      </c>
      <c r="B275">
        <v>14</v>
      </c>
      <c r="D275">
        <v>200</v>
      </c>
    </row>
    <row r="276" spans="1:7" x14ac:dyDescent="0.3">
      <c r="A276" t="s">
        <v>684</v>
      </c>
      <c r="B276">
        <v>14</v>
      </c>
      <c r="D276">
        <v>1320</v>
      </c>
    </row>
    <row r="277" spans="1:7" x14ac:dyDescent="0.3">
      <c r="A277" t="s">
        <v>685</v>
      </c>
      <c r="B277">
        <v>14</v>
      </c>
      <c r="D277">
        <v>880</v>
      </c>
    </row>
    <row r="278" spans="1:7" x14ac:dyDescent="0.3">
      <c r="A278" t="s">
        <v>686</v>
      </c>
      <c r="B278">
        <v>14</v>
      </c>
      <c r="D278">
        <v>1760</v>
      </c>
    </row>
    <row r="279" spans="1:7" x14ac:dyDescent="0.3">
      <c r="A279" t="s">
        <v>687</v>
      </c>
      <c r="B279">
        <v>14</v>
      </c>
    </row>
    <row r="280" spans="1:7" x14ac:dyDescent="0.3">
      <c r="A280" t="s">
        <v>688</v>
      </c>
      <c r="B280">
        <v>14</v>
      </c>
    </row>
    <row r="281" spans="1:7" x14ac:dyDescent="0.3">
      <c r="A281" t="s">
        <v>689</v>
      </c>
      <c r="B281">
        <v>14</v>
      </c>
    </row>
    <row r="282" spans="1:7" x14ac:dyDescent="0.3">
      <c r="A282" t="s">
        <v>690</v>
      </c>
      <c r="B282">
        <v>14</v>
      </c>
      <c r="D282" t="b">
        <v>0</v>
      </c>
    </row>
    <row r="283" spans="1:7" x14ac:dyDescent="0.3">
      <c r="A283" t="s">
        <v>691</v>
      </c>
      <c r="B283">
        <v>14</v>
      </c>
      <c r="D283" t="b">
        <v>0</v>
      </c>
    </row>
    <row r="284" spans="1:7" x14ac:dyDescent="0.3">
      <c r="A284" t="s">
        <v>677</v>
      </c>
      <c r="B284">
        <v>15</v>
      </c>
      <c r="G284">
        <v>13</v>
      </c>
    </row>
    <row r="285" spans="1:7" x14ac:dyDescent="0.3">
      <c r="A285" t="s">
        <v>36</v>
      </c>
      <c r="B285">
        <v>15</v>
      </c>
      <c r="G285">
        <v>2</v>
      </c>
    </row>
    <row r="286" spans="1:7" x14ac:dyDescent="0.3">
      <c r="A286" t="s">
        <v>503</v>
      </c>
      <c r="B286">
        <v>15</v>
      </c>
      <c r="G286" t="s">
        <v>747</v>
      </c>
    </row>
    <row r="287" spans="1:7" x14ac:dyDescent="0.3">
      <c r="A287" t="s">
        <v>678</v>
      </c>
      <c r="B287">
        <v>15</v>
      </c>
      <c r="G287">
        <v>684</v>
      </c>
    </row>
    <row r="288" spans="1:7" x14ac:dyDescent="0.3">
      <c r="A288" t="s">
        <v>42</v>
      </c>
      <c r="B288">
        <v>15</v>
      </c>
      <c r="G288">
        <v>30</v>
      </c>
    </row>
    <row r="289" spans="1:10" x14ac:dyDescent="0.3">
      <c r="A289" t="s">
        <v>679</v>
      </c>
      <c r="B289">
        <v>15</v>
      </c>
      <c r="G289">
        <v>15.5</v>
      </c>
    </row>
    <row r="290" spans="1:10" x14ac:dyDescent="0.3">
      <c r="A290" t="s">
        <v>41</v>
      </c>
      <c r="B290">
        <v>15</v>
      </c>
      <c r="G290">
        <v>0</v>
      </c>
    </row>
    <row r="291" spans="1:10" x14ac:dyDescent="0.3">
      <c r="A291" t="s">
        <v>680</v>
      </c>
      <c r="B291">
        <v>15</v>
      </c>
      <c r="G291">
        <v>24</v>
      </c>
    </row>
    <row r="292" spans="1:10" x14ac:dyDescent="0.3">
      <c r="A292" t="s">
        <v>563</v>
      </c>
      <c r="B292">
        <v>15</v>
      </c>
      <c r="G292">
        <v>0</v>
      </c>
    </row>
    <row r="293" spans="1:10" x14ac:dyDescent="0.3">
      <c r="A293" t="s">
        <v>681</v>
      </c>
      <c r="B293">
        <v>15</v>
      </c>
      <c r="G293">
        <v>0</v>
      </c>
    </row>
    <row r="294" spans="1:10" x14ac:dyDescent="0.3">
      <c r="A294" t="s">
        <v>682</v>
      </c>
      <c r="B294">
        <v>15</v>
      </c>
      <c r="G294">
        <v>16</v>
      </c>
    </row>
    <row r="295" spans="1:10" x14ac:dyDescent="0.3">
      <c r="A295" t="s">
        <v>683</v>
      </c>
      <c r="B295">
        <v>15</v>
      </c>
      <c r="G295">
        <v>200</v>
      </c>
    </row>
    <row r="296" spans="1:10" x14ac:dyDescent="0.3">
      <c r="A296" t="s">
        <v>684</v>
      </c>
      <c r="B296">
        <v>15</v>
      </c>
      <c r="G296">
        <v>1320</v>
      </c>
    </row>
    <row r="297" spans="1:10" x14ac:dyDescent="0.3">
      <c r="A297" t="s">
        <v>685</v>
      </c>
      <c r="B297">
        <v>15</v>
      </c>
      <c r="G297">
        <v>880</v>
      </c>
    </row>
    <row r="298" spans="1:10" x14ac:dyDescent="0.3">
      <c r="A298" t="s">
        <v>686</v>
      </c>
      <c r="B298">
        <v>15</v>
      </c>
      <c r="G298">
        <v>1760</v>
      </c>
    </row>
    <row r="299" spans="1:10" x14ac:dyDescent="0.3">
      <c r="A299" t="s">
        <v>687</v>
      </c>
      <c r="B299">
        <v>15</v>
      </c>
    </row>
    <row r="300" spans="1:10" x14ac:dyDescent="0.3">
      <c r="A300" t="s">
        <v>688</v>
      </c>
      <c r="B300">
        <v>15</v>
      </c>
    </row>
    <row r="301" spans="1:10" x14ac:dyDescent="0.3">
      <c r="A301" t="s">
        <v>689</v>
      </c>
      <c r="B301">
        <v>15</v>
      </c>
    </row>
    <row r="302" spans="1:10" x14ac:dyDescent="0.3">
      <c r="A302" t="s">
        <v>690</v>
      </c>
      <c r="B302">
        <v>15</v>
      </c>
      <c r="G302" t="b">
        <v>0</v>
      </c>
    </row>
    <row r="303" spans="1:10" x14ac:dyDescent="0.3">
      <c r="A303" t="s">
        <v>691</v>
      </c>
      <c r="B303">
        <v>15</v>
      </c>
      <c r="G303" t="b">
        <v>0</v>
      </c>
    </row>
    <row r="304" spans="1:10" x14ac:dyDescent="0.3">
      <c r="A304" t="s">
        <v>677</v>
      </c>
      <c r="B304">
        <v>16</v>
      </c>
      <c r="J304">
        <v>13</v>
      </c>
    </row>
    <row r="305" spans="1:10" x14ac:dyDescent="0.3">
      <c r="A305" t="s">
        <v>36</v>
      </c>
      <c r="B305">
        <v>16</v>
      </c>
      <c r="J305">
        <v>2</v>
      </c>
    </row>
    <row r="306" spans="1:10" x14ac:dyDescent="0.3">
      <c r="A306" t="s">
        <v>503</v>
      </c>
      <c r="B306">
        <v>16</v>
      </c>
      <c r="J306" t="s">
        <v>746</v>
      </c>
    </row>
    <row r="307" spans="1:10" x14ac:dyDescent="0.3">
      <c r="A307" t="s">
        <v>678</v>
      </c>
      <c r="B307">
        <v>16</v>
      </c>
      <c r="J307">
        <v>538</v>
      </c>
    </row>
    <row r="308" spans="1:10" x14ac:dyDescent="0.3">
      <c r="A308" t="s">
        <v>42</v>
      </c>
      <c r="B308">
        <v>16</v>
      </c>
      <c r="J308">
        <v>30</v>
      </c>
    </row>
    <row r="309" spans="1:10" x14ac:dyDescent="0.3">
      <c r="A309" t="s">
        <v>679</v>
      </c>
      <c r="B309">
        <v>16</v>
      </c>
      <c r="J309">
        <v>12.2</v>
      </c>
    </row>
    <row r="310" spans="1:10" x14ac:dyDescent="0.3">
      <c r="A310" t="s">
        <v>41</v>
      </c>
      <c r="B310">
        <v>16</v>
      </c>
      <c r="J310">
        <v>0</v>
      </c>
    </row>
    <row r="311" spans="1:10" x14ac:dyDescent="0.3">
      <c r="A311" t="s">
        <v>680</v>
      </c>
      <c r="B311">
        <v>16</v>
      </c>
      <c r="J311">
        <v>24</v>
      </c>
    </row>
    <row r="312" spans="1:10" x14ac:dyDescent="0.3">
      <c r="A312" t="s">
        <v>563</v>
      </c>
      <c r="B312">
        <v>16</v>
      </c>
      <c r="J312">
        <v>0</v>
      </c>
    </row>
    <row r="313" spans="1:10" x14ac:dyDescent="0.3">
      <c r="A313" t="s">
        <v>681</v>
      </c>
      <c r="B313">
        <v>16</v>
      </c>
      <c r="J313">
        <v>0</v>
      </c>
    </row>
    <row r="314" spans="1:10" x14ac:dyDescent="0.3">
      <c r="A314" t="s">
        <v>682</v>
      </c>
      <c r="B314">
        <v>16</v>
      </c>
      <c r="J314">
        <v>16</v>
      </c>
    </row>
    <row r="315" spans="1:10" x14ac:dyDescent="0.3">
      <c r="A315" t="s">
        <v>683</v>
      </c>
      <c r="B315">
        <v>16</v>
      </c>
      <c r="J315">
        <v>200</v>
      </c>
    </row>
    <row r="316" spans="1:10" x14ac:dyDescent="0.3">
      <c r="A316" t="s">
        <v>684</v>
      </c>
      <c r="B316">
        <v>16</v>
      </c>
      <c r="J316">
        <v>1320</v>
      </c>
    </row>
    <row r="317" spans="1:10" x14ac:dyDescent="0.3">
      <c r="A317" t="s">
        <v>685</v>
      </c>
      <c r="B317">
        <v>16</v>
      </c>
      <c r="J317">
        <v>880</v>
      </c>
    </row>
    <row r="318" spans="1:10" x14ac:dyDescent="0.3">
      <c r="A318" t="s">
        <v>686</v>
      </c>
      <c r="B318">
        <v>16</v>
      </c>
      <c r="J318">
        <v>1760</v>
      </c>
    </row>
    <row r="319" spans="1:10" x14ac:dyDescent="0.3">
      <c r="A319" t="s">
        <v>687</v>
      </c>
      <c r="B319">
        <v>16</v>
      </c>
    </row>
    <row r="320" spans="1:10" x14ac:dyDescent="0.3">
      <c r="A320" t="s">
        <v>688</v>
      </c>
      <c r="B320">
        <v>16</v>
      </c>
    </row>
    <row r="321" spans="1:10" x14ac:dyDescent="0.3">
      <c r="A321" t="s">
        <v>689</v>
      </c>
      <c r="B321">
        <v>16</v>
      </c>
    </row>
    <row r="322" spans="1:10" x14ac:dyDescent="0.3">
      <c r="A322" t="s">
        <v>690</v>
      </c>
      <c r="B322">
        <v>16</v>
      </c>
      <c r="J322" t="b">
        <v>0</v>
      </c>
    </row>
    <row r="323" spans="1:10" x14ac:dyDescent="0.3">
      <c r="A323" t="s">
        <v>691</v>
      </c>
      <c r="B323">
        <v>16</v>
      </c>
      <c r="J323" t="b">
        <v>0</v>
      </c>
    </row>
    <row r="324" spans="1:10" x14ac:dyDescent="0.3">
      <c r="A324" t="s">
        <v>677</v>
      </c>
      <c r="B324">
        <v>17</v>
      </c>
      <c r="E324">
        <v>19</v>
      </c>
      <c r="H324">
        <v>49</v>
      </c>
      <c r="I324">
        <v>21</v>
      </c>
      <c r="J324">
        <v>20</v>
      </c>
    </row>
    <row r="325" spans="1:10" x14ac:dyDescent="0.3">
      <c r="A325" t="s">
        <v>36</v>
      </c>
      <c r="B325">
        <v>17</v>
      </c>
      <c r="E325">
        <v>3</v>
      </c>
      <c r="H325">
        <v>6</v>
      </c>
      <c r="I325">
        <v>4</v>
      </c>
      <c r="J325">
        <v>2</v>
      </c>
    </row>
    <row r="326" spans="1:10" x14ac:dyDescent="0.3">
      <c r="A326" t="s">
        <v>503</v>
      </c>
      <c r="B326">
        <v>17</v>
      </c>
      <c r="E326" t="s">
        <v>748</v>
      </c>
      <c r="H326" t="s">
        <v>741</v>
      </c>
      <c r="I326" t="s">
        <v>749</v>
      </c>
      <c r="J326" t="s">
        <v>750</v>
      </c>
    </row>
    <row r="327" spans="1:10" x14ac:dyDescent="0.3">
      <c r="A327" t="s">
        <v>678</v>
      </c>
      <c r="B327">
        <v>17</v>
      </c>
      <c r="E327">
        <v>995</v>
      </c>
      <c r="H327">
        <v>4063</v>
      </c>
      <c r="I327">
        <v>4722</v>
      </c>
      <c r="J327">
        <v>288</v>
      </c>
    </row>
    <row r="328" spans="1:10" x14ac:dyDescent="0.3">
      <c r="A328" t="s">
        <v>42</v>
      </c>
      <c r="B328">
        <v>17</v>
      </c>
      <c r="E328">
        <v>25</v>
      </c>
      <c r="H328">
        <v>45</v>
      </c>
      <c r="I328">
        <v>45</v>
      </c>
      <c r="J328">
        <v>30</v>
      </c>
    </row>
    <row r="329" spans="1:10" x14ac:dyDescent="0.3">
      <c r="A329" t="s">
        <v>679</v>
      </c>
      <c r="B329">
        <v>17</v>
      </c>
      <c r="E329">
        <v>27.1</v>
      </c>
      <c r="H329">
        <v>61.6</v>
      </c>
      <c r="I329">
        <v>71.5</v>
      </c>
      <c r="J329">
        <v>6.5</v>
      </c>
    </row>
    <row r="330" spans="1:10" x14ac:dyDescent="0.3">
      <c r="A330" t="s">
        <v>41</v>
      </c>
      <c r="B330">
        <v>17</v>
      </c>
      <c r="E330">
        <v>0</v>
      </c>
      <c r="H330">
        <v>0</v>
      </c>
      <c r="I330">
        <v>0</v>
      </c>
      <c r="J330">
        <v>0</v>
      </c>
    </row>
    <row r="331" spans="1:10" x14ac:dyDescent="0.3">
      <c r="A331" t="s">
        <v>680</v>
      </c>
      <c r="B331">
        <v>17</v>
      </c>
      <c r="E331">
        <v>24</v>
      </c>
      <c r="H331">
        <v>24</v>
      </c>
      <c r="I331">
        <v>24</v>
      </c>
      <c r="J331">
        <v>12</v>
      </c>
    </row>
    <row r="332" spans="1:10" x14ac:dyDescent="0.3">
      <c r="A332" t="s">
        <v>563</v>
      </c>
      <c r="B332">
        <v>17</v>
      </c>
      <c r="E332">
        <v>0</v>
      </c>
      <c r="H332">
        <v>0</v>
      </c>
      <c r="I332">
        <v>0</v>
      </c>
      <c r="J332">
        <v>0</v>
      </c>
    </row>
    <row r="333" spans="1:10" x14ac:dyDescent="0.3">
      <c r="A333" t="s">
        <v>681</v>
      </c>
      <c r="B333">
        <v>17</v>
      </c>
      <c r="E333">
        <v>1</v>
      </c>
      <c r="H333">
        <v>0</v>
      </c>
      <c r="I333">
        <v>0</v>
      </c>
      <c r="J333">
        <v>0</v>
      </c>
    </row>
    <row r="334" spans="1:10" x14ac:dyDescent="0.3">
      <c r="A334" t="s">
        <v>682</v>
      </c>
      <c r="B334">
        <v>17</v>
      </c>
      <c r="E334">
        <v>16</v>
      </c>
      <c r="H334">
        <v>16</v>
      </c>
      <c r="I334">
        <v>16</v>
      </c>
      <c r="J334">
        <v>16</v>
      </c>
    </row>
    <row r="335" spans="1:10" x14ac:dyDescent="0.3">
      <c r="A335" t="s">
        <v>683</v>
      </c>
      <c r="B335">
        <v>17</v>
      </c>
      <c r="E335">
        <v>687</v>
      </c>
      <c r="H335">
        <v>687</v>
      </c>
      <c r="I335">
        <v>687</v>
      </c>
      <c r="J335">
        <v>687</v>
      </c>
    </row>
    <row r="336" spans="1:10" x14ac:dyDescent="0.3">
      <c r="A336" t="s">
        <v>684</v>
      </c>
      <c r="B336">
        <v>17</v>
      </c>
      <c r="E336">
        <v>1101</v>
      </c>
      <c r="H336">
        <v>1980</v>
      </c>
      <c r="I336">
        <v>1980</v>
      </c>
      <c r="J336">
        <v>1320</v>
      </c>
    </row>
    <row r="337" spans="1:10" x14ac:dyDescent="0.3">
      <c r="A337" t="s">
        <v>685</v>
      </c>
      <c r="B337">
        <v>17</v>
      </c>
      <c r="E337">
        <v>734</v>
      </c>
      <c r="H337">
        <v>1320</v>
      </c>
      <c r="I337">
        <v>1320</v>
      </c>
      <c r="J337">
        <v>880</v>
      </c>
    </row>
    <row r="338" spans="1:10" x14ac:dyDescent="0.3">
      <c r="A338" t="s">
        <v>686</v>
      </c>
      <c r="B338">
        <v>17</v>
      </c>
      <c r="E338">
        <v>1468</v>
      </c>
      <c r="H338">
        <v>2640</v>
      </c>
      <c r="I338">
        <v>2640</v>
      </c>
      <c r="J338">
        <v>1760</v>
      </c>
    </row>
    <row r="339" spans="1:10" x14ac:dyDescent="0.3">
      <c r="A339" t="s">
        <v>687</v>
      </c>
      <c r="B339">
        <v>17</v>
      </c>
    </row>
    <row r="340" spans="1:10" x14ac:dyDescent="0.3">
      <c r="A340" t="s">
        <v>688</v>
      </c>
      <c r="B340">
        <v>17</v>
      </c>
    </row>
    <row r="341" spans="1:10" x14ac:dyDescent="0.3">
      <c r="A341" t="s">
        <v>689</v>
      </c>
      <c r="B341">
        <v>17</v>
      </c>
    </row>
    <row r="342" spans="1:10" x14ac:dyDescent="0.3">
      <c r="A342" t="s">
        <v>690</v>
      </c>
      <c r="B342">
        <v>17</v>
      </c>
      <c r="E342" t="b">
        <v>0</v>
      </c>
      <c r="H342" t="b">
        <v>0</v>
      </c>
      <c r="I342" t="b">
        <v>0</v>
      </c>
      <c r="J342" t="b">
        <v>0</v>
      </c>
    </row>
    <row r="343" spans="1:10" x14ac:dyDescent="0.3">
      <c r="A343" t="s">
        <v>691</v>
      </c>
      <c r="B343">
        <v>17</v>
      </c>
      <c r="E343" t="b">
        <v>0</v>
      </c>
      <c r="H343" t="b">
        <v>0</v>
      </c>
      <c r="I343" t="b">
        <v>0</v>
      </c>
      <c r="J343" t="b">
        <v>0</v>
      </c>
    </row>
    <row r="344" spans="1:10" x14ac:dyDescent="0.3">
      <c r="A344" t="s">
        <v>677</v>
      </c>
      <c r="B344">
        <v>18</v>
      </c>
      <c r="E344">
        <v>13</v>
      </c>
      <c r="F344">
        <v>25</v>
      </c>
    </row>
    <row r="345" spans="1:10" x14ac:dyDescent="0.3">
      <c r="A345" t="s">
        <v>36</v>
      </c>
      <c r="B345">
        <v>18</v>
      </c>
      <c r="E345">
        <v>3</v>
      </c>
      <c r="F345">
        <v>3</v>
      </c>
    </row>
    <row r="346" spans="1:10" x14ac:dyDescent="0.3">
      <c r="A346" t="s">
        <v>503</v>
      </c>
      <c r="B346">
        <v>18</v>
      </c>
      <c r="E346" t="s">
        <v>741</v>
      </c>
      <c r="F346" t="s">
        <v>741</v>
      </c>
    </row>
    <row r="347" spans="1:10" x14ac:dyDescent="0.3">
      <c r="A347" t="s">
        <v>678</v>
      </c>
      <c r="B347">
        <v>18</v>
      </c>
      <c r="E347">
        <v>914</v>
      </c>
      <c r="F347">
        <v>3145</v>
      </c>
    </row>
    <row r="348" spans="1:10" x14ac:dyDescent="0.3">
      <c r="A348" t="s">
        <v>42</v>
      </c>
      <c r="B348">
        <v>18</v>
      </c>
      <c r="E348">
        <v>45</v>
      </c>
      <c r="F348">
        <v>45</v>
      </c>
    </row>
    <row r="349" spans="1:10" x14ac:dyDescent="0.3">
      <c r="A349" t="s">
        <v>679</v>
      </c>
      <c r="B349">
        <v>18</v>
      </c>
      <c r="E349">
        <v>13.8</v>
      </c>
      <c r="F349">
        <v>47.7</v>
      </c>
    </row>
    <row r="350" spans="1:10" x14ac:dyDescent="0.3">
      <c r="A350" t="s">
        <v>41</v>
      </c>
      <c r="B350">
        <v>18</v>
      </c>
      <c r="E350">
        <v>0</v>
      </c>
      <c r="F350">
        <v>0</v>
      </c>
    </row>
    <row r="351" spans="1:10" x14ac:dyDescent="0.3">
      <c r="A351" t="s">
        <v>680</v>
      </c>
      <c r="B351">
        <v>18</v>
      </c>
      <c r="E351">
        <v>24</v>
      </c>
      <c r="F351">
        <v>24</v>
      </c>
    </row>
    <row r="352" spans="1:10" x14ac:dyDescent="0.3">
      <c r="A352" t="s">
        <v>563</v>
      </c>
      <c r="B352">
        <v>18</v>
      </c>
      <c r="E352">
        <v>0</v>
      </c>
      <c r="F352">
        <v>0</v>
      </c>
    </row>
    <row r="353" spans="1:6" x14ac:dyDescent="0.3">
      <c r="A353" t="s">
        <v>681</v>
      </c>
      <c r="B353">
        <v>18</v>
      </c>
      <c r="E353">
        <v>0</v>
      </c>
      <c r="F353">
        <v>0</v>
      </c>
    </row>
    <row r="354" spans="1:6" x14ac:dyDescent="0.3">
      <c r="A354" t="s">
        <v>682</v>
      </c>
      <c r="B354">
        <v>18</v>
      </c>
      <c r="E354">
        <v>16</v>
      </c>
      <c r="F354">
        <v>16</v>
      </c>
    </row>
    <row r="355" spans="1:6" x14ac:dyDescent="0.3">
      <c r="A355" t="s">
        <v>683</v>
      </c>
      <c r="B355">
        <v>18</v>
      </c>
      <c r="E355">
        <v>100</v>
      </c>
      <c r="F355">
        <v>100</v>
      </c>
    </row>
    <row r="356" spans="1:6" x14ac:dyDescent="0.3">
      <c r="A356" t="s">
        <v>684</v>
      </c>
      <c r="B356">
        <v>18</v>
      </c>
      <c r="E356">
        <v>1980</v>
      </c>
      <c r="F356">
        <v>1980</v>
      </c>
    </row>
    <row r="357" spans="1:6" x14ac:dyDescent="0.3">
      <c r="A357" t="s">
        <v>685</v>
      </c>
      <c r="B357">
        <v>18</v>
      </c>
      <c r="E357">
        <v>1320</v>
      </c>
      <c r="F357">
        <v>1320</v>
      </c>
    </row>
    <row r="358" spans="1:6" x14ac:dyDescent="0.3">
      <c r="A358" t="s">
        <v>686</v>
      </c>
      <c r="B358">
        <v>18</v>
      </c>
      <c r="E358">
        <v>2640</v>
      </c>
      <c r="F358">
        <v>2640</v>
      </c>
    </row>
    <row r="359" spans="1:6" x14ac:dyDescent="0.3">
      <c r="A359" t="s">
        <v>687</v>
      </c>
      <c r="B359">
        <v>18</v>
      </c>
      <c r="E359">
        <v>-359035</v>
      </c>
    </row>
    <row r="360" spans="1:6" x14ac:dyDescent="0.3">
      <c r="A360" t="s">
        <v>688</v>
      </c>
      <c r="B360">
        <v>18</v>
      </c>
      <c r="E360">
        <v>14076</v>
      </c>
    </row>
    <row r="361" spans="1:6" x14ac:dyDescent="0.3">
      <c r="A361" t="s">
        <v>689</v>
      </c>
      <c r="B361">
        <v>18</v>
      </c>
      <c r="E361">
        <v>0</v>
      </c>
    </row>
    <row r="362" spans="1:6" x14ac:dyDescent="0.3">
      <c r="A362" t="s">
        <v>690</v>
      </c>
      <c r="B362">
        <v>18</v>
      </c>
      <c r="E362" t="b">
        <v>0</v>
      </c>
      <c r="F362" t="b">
        <v>0</v>
      </c>
    </row>
    <row r="363" spans="1:6" x14ac:dyDescent="0.3">
      <c r="A363" t="s">
        <v>691</v>
      </c>
      <c r="B363">
        <v>18</v>
      </c>
      <c r="E363" t="b">
        <v>0</v>
      </c>
      <c r="F363" t="b">
        <v>0</v>
      </c>
    </row>
    <row r="364" spans="1:6" x14ac:dyDescent="0.3">
      <c r="A364" t="s">
        <v>677</v>
      </c>
      <c r="B364">
        <v>19</v>
      </c>
      <c r="F364">
        <v>17</v>
      </c>
    </row>
    <row r="365" spans="1:6" x14ac:dyDescent="0.3">
      <c r="A365" t="s">
        <v>36</v>
      </c>
      <c r="B365">
        <v>19</v>
      </c>
      <c r="F365">
        <v>2</v>
      </c>
    </row>
    <row r="366" spans="1:6" x14ac:dyDescent="0.3">
      <c r="A366" t="s">
        <v>503</v>
      </c>
      <c r="B366">
        <v>19</v>
      </c>
      <c r="F366" t="s">
        <v>748</v>
      </c>
    </row>
    <row r="367" spans="1:6" x14ac:dyDescent="0.3">
      <c r="A367" t="s">
        <v>678</v>
      </c>
      <c r="B367">
        <v>19</v>
      </c>
      <c r="F367">
        <v>995</v>
      </c>
    </row>
    <row r="368" spans="1:6" x14ac:dyDescent="0.3">
      <c r="A368" t="s">
        <v>42</v>
      </c>
      <c r="B368">
        <v>19</v>
      </c>
      <c r="F368">
        <v>30</v>
      </c>
    </row>
    <row r="369" spans="1:7" x14ac:dyDescent="0.3">
      <c r="A369" t="s">
        <v>679</v>
      </c>
      <c r="B369">
        <v>19</v>
      </c>
      <c r="F369">
        <v>22.6</v>
      </c>
    </row>
    <row r="370" spans="1:7" x14ac:dyDescent="0.3">
      <c r="A370" t="s">
        <v>41</v>
      </c>
      <c r="B370">
        <v>19</v>
      </c>
      <c r="F370">
        <v>0</v>
      </c>
    </row>
    <row r="371" spans="1:7" x14ac:dyDescent="0.3">
      <c r="A371" t="s">
        <v>680</v>
      </c>
      <c r="B371">
        <v>19</v>
      </c>
      <c r="F371">
        <v>12</v>
      </c>
    </row>
    <row r="372" spans="1:7" x14ac:dyDescent="0.3">
      <c r="A372" t="s">
        <v>563</v>
      </c>
      <c r="B372">
        <v>19</v>
      </c>
      <c r="F372">
        <v>0</v>
      </c>
    </row>
    <row r="373" spans="1:7" x14ac:dyDescent="0.3">
      <c r="A373" t="s">
        <v>681</v>
      </c>
      <c r="B373">
        <v>19</v>
      </c>
      <c r="F373">
        <v>1</v>
      </c>
    </row>
    <row r="374" spans="1:7" x14ac:dyDescent="0.3">
      <c r="A374" t="s">
        <v>682</v>
      </c>
      <c r="B374">
        <v>19</v>
      </c>
      <c r="F374">
        <v>16</v>
      </c>
    </row>
    <row r="375" spans="1:7" x14ac:dyDescent="0.3">
      <c r="A375" t="s">
        <v>683</v>
      </c>
      <c r="B375">
        <v>19</v>
      </c>
      <c r="F375">
        <v>200</v>
      </c>
    </row>
    <row r="376" spans="1:7" x14ac:dyDescent="0.3">
      <c r="A376" t="s">
        <v>684</v>
      </c>
      <c r="B376">
        <v>19</v>
      </c>
      <c r="F376">
        <v>1320</v>
      </c>
    </row>
    <row r="377" spans="1:7" x14ac:dyDescent="0.3">
      <c r="A377" t="s">
        <v>685</v>
      </c>
      <c r="B377">
        <v>19</v>
      </c>
      <c r="F377">
        <v>880</v>
      </c>
    </row>
    <row r="378" spans="1:7" x14ac:dyDescent="0.3">
      <c r="A378" t="s">
        <v>686</v>
      </c>
      <c r="B378">
        <v>19</v>
      </c>
      <c r="F378">
        <v>1760</v>
      </c>
    </row>
    <row r="379" spans="1:7" x14ac:dyDescent="0.3">
      <c r="A379" t="s">
        <v>687</v>
      </c>
      <c r="B379">
        <v>19</v>
      </c>
    </row>
    <row r="380" spans="1:7" x14ac:dyDescent="0.3">
      <c r="A380" t="s">
        <v>688</v>
      </c>
      <c r="B380">
        <v>19</v>
      </c>
    </row>
    <row r="381" spans="1:7" x14ac:dyDescent="0.3">
      <c r="A381" t="s">
        <v>689</v>
      </c>
      <c r="B381">
        <v>19</v>
      </c>
    </row>
    <row r="382" spans="1:7" x14ac:dyDescent="0.3">
      <c r="A382" t="s">
        <v>690</v>
      </c>
      <c r="B382">
        <v>19</v>
      </c>
      <c r="F382" t="b">
        <v>0</v>
      </c>
    </row>
    <row r="383" spans="1:7" x14ac:dyDescent="0.3">
      <c r="A383" t="s">
        <v>691</v>
      </c>
      <c r="B383">
        <v>19</v>
      </c>
      <c r="F383" t="b">
        <v>0</v>
      </c>
    </row>
    <row r="384" spans="1:7" x14ac:dyDescent="0.3">
      <c r="A384" t="s">
        <v>677</v>
      </c>
      <c r="B384">
        <v>20</v>
      </c>
      <c r="G384">
        <v>17</v>
      </c>
    </row>
    <row r="385" spans="1:7" x14ac:dyDescent="0.3">
      <c r="A385" t="s">
        <v>36</v>
      </c>
      <c r="B385">
        <v>20</v>
      </c>
      <c r="G385">
        <v>1</v>
      </c>
    </row>
    <row r="386" spans="1:7" x14ac:dyDescent="0.3">
      <c r="A386" t="s">
        <v>503</v>
      </c>
      <c r="B386">
        <v>20</v>
      </c>
      <c r="G386" t="s">
        <v>750</v>
      </c>
    </row>
    <row r="387" spans="1:7" x14ac:dyDescent="0.3">
      <c r="A387" t="s">
        <v>678</v>
      </c>
      <c r="B387">
        <v>20</v>
      </c>
      <c r="G387">
        <v>288</v>
      </c>
    </row>
    <row r="388" spans="1:7" x14ac:dyDescent="0.3">
      <c r="A388" t="s">
        <v>42</v>
      </c>
      <c r="B388">
        <v>20</v>
      </c>
      <c r="G388">
        <v>25</v>
      </c>
    </row>
    <row r="389" spans="1:7" x14ac:dyDescent="0.3">
      <c r="A389" t="s">
        <v>679</v>
      </c>
      <c r="B389">
        <v>20</v>
      </c>
      <c r="G389">
        <v>7.9</v>
      </c>
    </row>
    <row r="390" spans="1:7" x14ac:dyDescent="0.3">
      <c r="A390" t="s">
        <v>41</v>
      </c>
      <c r="B390">
        <v>20</v>
      </c>
      <c r="G390">
        <v>0</v>
      </c>
    </row>
    <row r="391" spans="1:7" x14ac:dyDescent="0.3">
      <c r="A391" t="s">
        <v>680</v>
      </c>
      <c r="B391">
        <v>20</v>
      </c>
      <c r="G391">
        <v>0</v>
      </c>
    </row>
    <row r="392" spans="1:7" x14ac:dyDescent="0.3">
      <c r="A392" t="s">
        <v>563</v>
      </c>
      <c r="B392">
        <v>20</v>
      </c>
      <c r="G392">
        <v>0</v>
      </c>
    </row>
    <row r="393" spans="1:7" x14ac:dyDescent="0.3">
      <c r="A393" t="s">
        <v>681</v>
      </c>
      <c r="B393">
        <v>20</v>
      </c>
      <c r="G393">
        <v>0</v>
      </c>
    </row>
    <row r="394" spans="1:7" x14ac:dyDescent="0.3">
      <c r="A394" t="s">
        <v>682</v>
      </c>
      <c r="B394">
        <v>20</v>
      </c>
      <c r="G394">
        <v>16</v>
      </c>
    </row>
    <row r="395" spans="1:7" x14ac:dyDescent="0.3">
      <c r="A395" t="s">
        <v>683</v>
      </c>
      <c r="B395">
        <v>20</v>
      </c>
      <c r="G395">
        <v>200</v>
      </c>
    </row>
    <row r="396" spans="1:7" x14ac:dyDescent="0.3">
      <c r="A396" t="s">
        <v>684</v>
      </c>
      <c r="B396">
        <v>20</v>
      </c>
      <c r="G396">
        <v>1101</v>
      </c>
    </row>
    <row r="397" spans="1:7" x14ac:dyDescent="0.3">
      <c r="A397" t="s">
        <v>685</v>
      </c>
      <c r="B397">
        <v>20</v>
      </c>
      <c r="G397">
        <v>734</v>
      </c>
    </row>
    <row r="398" spans="1:7" x14ac:dyDescent="0.3">
      <c r="A398" t="s">
        <v>686</v>
      </c>
      <c r="B398">
        <v>20</v>
      </c>
      <c r="G398">
        <v>1468</v>
      </c>
    </row>
    <row r="399" spans="1:7" x14ac:dyDescent="0.3">
      <c r="A399" t="s">
        <v>687</v>
      </c>
      <c r="B399">
        <v>20</v>
      </c>
    </row>
    <row r="400" spans="1:7" x14ac:dyDescent="0.3">
      <c r="A400" t="s">
        <v>688</v>
      </c>
      <c r="B400">
        <v>20</v>
      </c>
    </row>
    <row r="401" spans="1:9" x14ac:dyDescent="0.3">
      <c r="A401" t="s">
        <v>689</v>
      </c>
      <c r="B401">
        <v>20</v>
      </c>
    </row>
    <row r="402" spans="1:9" x14ac:dyDescent="0.3">
      <c r="A402" t="s">
        <v>690</v>
      </c>
      <c r="B402">
        <v>20</v>
      </c>
      <c r="G402" t="b">
        <v>0</v>
      </c>
    </row>
    <row r="403" spans="1:9" x14ac:dyDescent="0.3">
      <c r="A403" t="s">
        <v>691</v>
      </c>
      <c r="B403">
        <v>20</v>
      </c>
      <c r="G403" t="b">
        <v>0</v>
      </c>
    </row>
    <row r="404" spans="1:9" x14ac:dyDescent="0.3">
      <c r="A404" t="s">
        <v>677</v>
      </c>
      <c r="B404">
        <v>21</v>
      </c>
      <c r="C404">
        <v>22</v>
      </c>
      <c r="D404">
        <v>23</v>
      </c>
      <c r="H404">
        <v>17</v>
      </c>
      <c r="I404">
        <v>46</v>
      </c>
    </row>
    <row r="405" spans="1:9" x14ac:dyDescent="0.3">
      <c r="A405" t="s">
        <v>36</v>
      </c>
      <c r="B405">
        <v>21</v>
      </c>
      <c r="C405">
        <v>5</v>
      </c>
      <c r="D405">
        <v>4</v>
      </c>
      <c r="H405">
        <v>6</v>
      </c>
      <c r="I405">
        <v>6</v>
      </c>
    </row>
    <row r="406" spans="1:9" x14ac:dyDescent="0.3">
      <c r="A406" t="s">
        <v>503</v>
      </c>
      <c r="B406">
        <v>21</v>
      </c>
      <c r="C406" t="s">
        <v>751</v>
      </c>
      <c r="D406" t="s">
        <v>751</v>
      </c>
      <c r="H406" t="s">
        <v>749</v>
      </c>
      <c r="I406" t="s">
        <v>741</v>
      </c>
    </row>
    <row r="407" spans="1:9" x14ac:dyDescent="0.3">
      <c r="A407" t="s">
        <v>678</v>
      </c>
      <c r="B407">
        <v>21</v>
      </c>
      <c r="C407">
        <v>623</v>
      </c>
      <c r="D407">
        <v>452</v>
      </c>
      <c r="H407">
        <v>4722</v>
      </c>
      <c r="I407">
        <v>906</v>
      </c>
    </row>
    <row r="408" spans="1:9" x14ac:dyDescent="0.3">
      <c r="A408" t="s">
        <v>42</v>
      </c>
      <c r="B408">
        <v>21</v>
      </c>
      <c r="C408">
        <v>35</v>
      </c>
      <c r="D408">
        <v>35</v>
      </c>
      <c r="H408">
        <v>45</v>
      </c>
      <c r="I408">
        <v>45</v>
      </c>
    </row>
    <row r="409" spans="1:9" x14ac:dyDescent="0.3">
      <c r="A409" t="s">
        <v>679</v>
      </c>
      <c r="B409">
        <v>21</v>
      </c>
      <c r="C409">
        <v>12.1</v>
      </c>
      <c r="D409">
        <v>8.8000000000000007</v>
      </c>
      <c r="H409">
        <v>71.5</v>
      </c>
      <c r="I409">
        <v>13.7</v>
      </c>
    </row>
    <row r="410" spans="1:9" x14ac:dyDescent="0.3">
      <c r="A410" t="s">
        <v>41</v>
      </c>
      <c r="B410">
        <v>21</v>
      </c>
      <c r="C410">
        <v>0</v>
      </c>
      <c r="D410">
        <v>0</v>
      </c>
      <c r="H410">
        <v>0</v>
      </c>
      <c r="I410">
        <v>0</v>
      </c>
    </row>
    <row r="411" spans="1:9" x14ac:dyDescent="0.3">
      <c r="A411" t="s">
        <v>680</v>
      </c>
      <c r="B411">
        <v>21</v>
      </c>
      <c r="C411">
        <v>24</v>
      </c>
      <c r="D411">
        <v>24</v>
      </c>
      <c r="H411">
        <v>24</v>
      </c>
      <c r="I411">
        <v>24</v>
      </c>
    </row>
    <row r="412" spans="1:9" x14ac:dyDescent="0.3">
      <c r="A412" t="s">
        <v>563</v>
      </c>
      <c r="B412">
        <v>21</v>
      </c>
      <c r="C412">
        <v>0</v>
      </c>
      <c r="D412">
        <v>0</v>
      </c>
      <c r="H412">
        <v>0</v>
      </c>
      <c r="I412">
        <v>0</v>
      </c>
    </row>
    <row r="413" spans="1:9" x14ac:dyDescent="0.3">
      <c r="A413" t="s">
        <v>681</v>
      </c>
      <c r="B413">
        <v>21</v>
      </c>
      <c r="C413">
        <v>0</v>
      </c>
      <c r="D413">
        <v>0</v>
      </c>
      <c r="H413">
        <v>0</v>
      </c>
      <c r="I413">
        <v>0</v>
      </c>
    </row>
    <row r="414" spans="1:9" x14ac:dyDescent="0.3">
      <c r="A414" t="s">
        <v>682</v>
      </c>
      <c r="B414">
        <v>21</v>
      </c>
      <c r="C414">
        <v>16</v>
      </c>
      <c r="D414">
        <v>16</v>
      </c>
      <c r="H414">
        <v>16</v>
      </c>
      <c r="I414">
        <v>16</v>
      </c>
    </row>
    <row r="415" spans="1:9" x14ac:dyDescent="0.3">
      <c r="A415" t="s">
        <v>683</v>
      </c>
      <c r="B415">
        <v>21</v>
      </c>
      <c r="C415">
        <v>583</v>
      </c>
      <c r="D415">
        <v>583</v>
      </c>
      <c r="H415">
        <v>583</v>
      </c>
      <c r="I415">
        <v>583</v>
      </c>
    </row>
    <row r="416" spans="1:9" x14ac:dyDescent="0.3">
      <c r="A416" t="s">
        <v>684</v>
      </c>
      <c r="B416">
        <v>21</v>
      </c>
      <c r="C416">
        <v>1539</v>
      </c>
      <c r="D416">
        <v>1539</v>
      </c>
      <c r="H416">
        <v>1980</v>
      </c>
      <c r="I416">
        <v>1980</v>
      </c>
    </row>
    <row r="417" spans="1:9" x14ac:dyDescent="0.3">
      <c r="A417" t="s">
        <v>685</v>
      </c>
      <c r="B417">
        <v>21</v>
      </c>
      <c r="C417">
        <v>1026</v>
      </c>
      <c r="D417">
        <v>1026</v>
      </c>
      <c r="H417">
        <v>1320</v>
      </c>
      <c r="I417">
        <v>1320</v>
      </c>
    </row>
    <row r="418" spans="1:9" x14ac:dyDescent="0.3">
      <c r="A418" t="s">
        <v>686</v>
      </c>
      <c r="B418">
        <v>21</v>
      </c>
      <c r="C418">
        <v>2052</v>
      </c>
      <c r="D418">
        <v>2052</v>
      </c>
      <c r="H418">
        <v>2640</v>
      </c>
      <c r="I418">
        <v>2640</v>
      </c>
    </row>
    <row r="419" spans="1:9" x14ac:dyDescent="0.3">
      <c r="A419" t="s">
        <v>687</v>
      </c>
      <c r="B419">
        <v>21</v>
      </c>
    </row>
    <row r="420" spans="1:9" x14ac:dyDescent="0.3">
      <c r="A420" t="s">
        <v>688</v>
      </c>
      <c r="B420">
        <v>21</v>
      </c>
    </row>
    <row r="421" spans="1:9" x14ac:dyDescent="0.3">
      <c r="A421" t="s">
        <v>689</v>
      </c>
      <c r="B421">
        <v>21</v>
      </c>
    </row>
    <row r="422" spans="1:9" x14ac:dyDescent="0.3">
      <c r="A422" t="s">
        <v>690</v>
      </c>
      <c r="B422">
        <v>21</v>
      </c>
      <c r="C422" t="b">
        <v>0</v>
      </c>
      <c r="D422" t="b">
        <v>0</v>
      </c>
      <c r="H422" t="b">
        <v>0</v>
      </c>
      <c r="I422" t="b">
        <v>0</v>
      </c>
    </row>
    <row r="423" spans="1:9" x14ac:dyDescent="0.3">
      <c r="A423" t="s">
        <v>691</v>
      </c>
      <c r="B423">
        <v>21</v>
      </c>
      <c r="C423" t="b">
        <v>0</v>
      </c>
      <c r="D423" t="b">
        <v>0</v>
      </c>
      <c r="H423" t="b">
        <v>0</v>
      </c>
      <c r="I423" t="b">
        <v>0</v>
      </c>
    </row>
    <row r="424" spans="1:9" x14ac:dyDescent="0.3">
      <c r="A424" t="s">
        <v>677</v>
      </c>
      <c r="B424">
        <v>22</v>
      </c>
      <c r="D424">
        <v>21</v>
      </c>
    </row>
    <row r="425" spans="1:9" x14ac:dyDescent="0.3">
      <c r="A425" t="s">
        <v>36</v>
      </c>
      <c r="B425">
        <v>22</v>
      </c>
      <c r="D425">
        <v>2</v>
      </c>
    </row>
    <row r="426" spans="1:9" x14ac:dyDescent="0.3">
      <c r="A426" t="s">
        <v>503</v>
      </c>
      <c r="B426">
        <v>22</v>
      </c>
      <c r="D426" t="s">
        <v>751</v>
      </c>
    </row>
    <row r="427" spans="1:9" x14ac:dyDescent="0.3">
      <c r="A427" t="s">
        <v>678</v>
      </c>
      <c r="B427">
        <v>22</v>
      </c>
      <c r="D427">
        <v>623</v>
      </c>
    </row>
    <row r="428" spans="1:9" x14ac:dyDescent="0.3">
      <c r="A428" t="s">
        <v>42</v>
      </c>
      <c r="B428">
        <v>22</v>
      </c>
      <c r="D428">
        <v>30</v>
      </c>
    </row>
    <row r="429" spans="1:9" x14ac:dyDescent="0.3">
      <c r="A429" t="s">
        <v>679</v>
      </c>
      <c r="B429">
        <v>22</v>
      </c>
      <c r="D429">
        <v>14.2</v>
      </c>
    </row>
    <row r="430" spans="1:9" x14ac:dyDescent="0.3">
      <c r="A430" t="s">
        <v>41</v>
      </c>
      <c r="B430">
        <v>22</v>
      </c>
      <c r="D430">
        <v>0</v>
      </c>
    </row>
    <row r="431" spans="1:9" x14ac:dyDescent="0.3">
      <c r="A431" t="s">
        <v>680</v>
      </c>
      <c r="B431">
        <v>22</v>
      </c>
      <c r="D431">
        <v>24</v>
      </c>
    </row>
    <row r="432" spans="1:9" x14ac:dyDescent="0.3">
      <c r="A432" t="s">
        <v>563</v>
      </c>
      <c r="B432">
        <v>22</v>
      </c>
      <c r="D432">
        <v>0</v>
      </c>
    </row>
    <row r="433" spans="1:4" x14ac:dyDescent="0.3">
      <c r="A433" t="s">
        <v>681</v>
      </c>
      <c r="B433">
        <v>22</v>
      </c>
      <c r="D433">
        <v>0</v>
      </c>
    </row>
    <row r="434" spans="1:4" x14ac:dyDescent="0.3">
      <c r="A434" t="s">
        <v>682</v>
      </c>
      <c r="B434">
        <v>22</v>
      </c>
      <c r="D434">
        <v>16</v>
      </c>
    </row>
    <row r="435" spans="1:4" x14ac:dyDescent="0.3">
      <c r="A435" t="s">
        <v>683</v>
      </c>
      <c r="B435">
        <v>22</v>
      </c>
      <c r="D435">
        <v>200</v>
      </c>
    </row>
    <row r="436" spans="1:4" x14ac:dyDescent="0.3">
      <c r="A436" t="s">
        <v>684</v>
      </c>
      <c r="B436">
        <v>22</v>
      </c>
      <c r="D436">
        <v>1320</v>
      </c>
    </row>
    <row r="437" spans="1:4" x14ac:dyDescent="0.3">
      <c r="A437" t="s">
        <v>685</v>
      </c>
      <c r="B437">
        <v>22</v>
      </c>
      <c r="D437">
        <v>880</v>
      </c>
    </row>
    <row r="438" spans="1:4" x14ac:dyDescent="0.3">
      <c r="A438" t="s">
        <v>686</v>
      </c>
      <c r="B438">
        <v>22</v>
      </c>
      <c r="D438">
        <v>1760</v>
      </c>
    </row>
    <row r="439" spans="1:4" x14ac:dyDescent="0.3">
      <c r="A439" t="s">
        <v>687</v>
      </c>
      <c r="B439">
        <v>22</v>
      </c>
    </row>
    <row r="440" spans="1:4" x14ac:dyDescent="0.3">
      <c r="A440" t="s">
        <v>688</v>
      </c>
      <c r="B440">
        <v>22</v>
      </c>
    </row>
    <row r="441" spans="1:4" x14ac:dyDescent="0.3">
      <c r="A441" t="s">
        <v>689</v>
      </c>
      <c r="B441">
        <v>22</v>
      </c>
    </row>
    <row r="442" spans="1:4" x14ac:dyDescent="0.3">
      <c r="A442" t="s">
        <v>690</v>
      </c>
      <c r="B442">
        <v>22</v>
      </c>
      <c r="D442" t="b">
        <v>0</v>
      </c>
    </row>
    <row r="443" spans="1:4" x14ac:dyDescent="0.3">
      <c r="A443" t="s">
        <v>691</v>
      </c>
      <c r="B443">
        <v>22</v>
      </c>
      <c r="D443" t="b">
        <v>0</v>
      </c>
    </row>
    <row r="444" spans="1:4" x14ac:dyDescent="0.3">
      <c r="A444" t="s">
        <v>677</v>
      </c>
      <c r="B444">
        <v>23</v>
      </c>
      <c r="C444">
        <v>21</v>
      </c>
    </row>
    <row r="445" spans="1:4" x14ac:dyDescent="0.3">
      <c r="A445" t="s">
        <v>36</v>
      </c>
      <c r="B445">
        <v>23</v>
      </c>
      <c r="C445">
        <v>2</v>
      </c>
    </row>
    <row r="446" spans="1:4" x14ac:dyDescent="0.3">
      <c r="A446" t="s">
        <v>503</v>
      </c>
      <c r="B446">
        <v>23</v>
      </c>
      <c r="C446" t="s">
        <v>751</v>
      </c>
    </row>
    <row r="447" spans="1:4" x14ac:dyDescent="0.3">
      <c r="A447" t="s">
        <v>678</v>
      </c>
      <c r="B447">
        <v>23</v>
      </c>
      <c r="C447">
        <v>452</v>
      </c>
    </row>
    <row r="448" spans="1:4" x14ac:dyDescent="0.3">
      <c r="A448" t="s">
        <v>42</v>
      </c>
      <c r="B448">
        <v>23</v>
      </c>
      <c r="C448">
        <v>30</v>
      </c>
    </row>
    <row r="449" spans="1:10" x14ac:dyDescent="0.3">
      <c r="A449" t="s">
        <v>679</v>
      </c>
      <c r="B449">
        <v>23</v>
      </c>
      <c r="C449">
        <v>10.3</v>
      </c>
    </row>
    <row r="450" spans="1:10" x14ac:dyDescent="0.3">
      <c r="A450" t="s">
        <v>41</v>
      </c>
      <c r="B450">
        <v>23</v>
      </c>
      <c r="C450">
        <v>0</v>
      </c>
    </row>
    <row r="451" spans="1:10" x14ac:dyDescent="0.3">
      <c r="A451" t="s">
        <v>680</v>
      </c>
      <c r="B451">
        <v>23</v>
      </c>
      <c r="C451">
        <v>12</v>
      </c>
    </row>
    <row r="452" spans="1:10" x14ac:dyDescent="0.3">
      <c r="A452" t="s">
        <v>563</v>
      </c>
      <c r="B452">
        <v>23</v>
      </c>
      <c r="C452">
        <v>0</v>
      </c>
    </row>
    <row r="453" spans="1:10" x14ac:dyDescent="0.3">
      <c r="A453" t="s">
        <v>681</v>
      </c>
      <c r="B453">
        <v>23</v>
      </c>
      <c r="C453">
        <v>0</v>
      </c>
    </row>
    <row r="454" spans="1:10" x14ac:dyDescent="0.3">
      <c r="A454" t="s">
        <v>682</v>
      </c>
      <c r="B454">
        <v>23</v>
      </c>
      <c r="C454">
        <v>16</v>
      </c>
    </row>
    <row r="455" spans="1:10" x14ac:dyDescent="0.3">
      <c r="A455" t="s">
        <v>683</v>
      </c>
      <c r="B455">
        <v>23</v>
      </c>
      <c r="C455">
        <v>200</v>
      </c>
    </row>
    <row r="456" spans="1:10" x14ac:dyDescent="0.3">
      <c r="A456" t="s">
        <v>684</v>
      </c>
      <c r="B456">
        <v>23</v>
      </c>
      <c r="C456">
        <v>1320</v>
      </c>
    </row>
    <row r="457" spans="1:10" x14ac:dyDescent="0.3">
      <c r="A457" t="s">
        <v>685</v>
      </c>
      <c r="B457">
        <v>23</v>
      </c>
      <c r="C457">
        <v>880</v>
      </c>
    </row>
    <row r="458" spans="1:10" x14ac:dyDescent="0.3">
      <c r="A458" t="s">
        <v>686</v>
      </c>
      <c r="B458">
        <v>23</v>
      </c>
      <c r="C458">
        <v>1760</v>
      </c>
    </row>
    <row r="459" spans="1:10" x14ac:dyDescent="0.3">
      <c r="A459" t="s">
        <v>687</v>
      </c>
      <c r="B459">
        <v>23</v>
      </c>
    </row>
    <row r="460" spans="1:10" x14ac:dyDescent="0.3">
      <c r="A460" t="s">
        <v>688</v>
      </c>
      <c r="B460">
        <v>23</v>
      </c>
    </row>
    <row r="461" spans="1:10" x14ac:dyDescent="0.3">
      <c r="A461" t="s">
        <v>689</v>
      </c>
      <c r="B461">
        <v>23</v>
      </c>
    </row>
    <row r="462" spans="1:10" x14ac:dyDescent="0.3">
      <c r="A462" t="s">
        <v>690</v>
      </c>
      <c r="B462">
        <v>23</v>
      </c>
      <c r="C462" t="b">
        <v>0</v>
      </c>
    </row>
    <row r="463" spans="1:10" x14ac:dyDescent="0.3">
      <c r="A463" t="s">
        <v>691</v>
      </c>
      <c r="B463">
        <v>23</v>
      </c>
      <c r="C463" t="b">
        <v>0</v>
      </c>
    </row>
    <row r="464" spans="1:10" x14ac:dyDescent="0.3">
      <c r="A464" t="s">
        <v>677</v>
      </c>
      <c r="B464">
        <v>24</v>
      </c>
      <c r="J464">
        <v>28</v>
      </c>
    </row>
    <row r="465" spans="1:10" x14ac:dyDescent="0.3">
      <c r="A465" t="s">
        <v>36</v>
      </c>
      <c r="B465">
        <v>24</v>
      </c>
      <c r="J465">
        <v>1</v>
      </c>
    </row>
    <row r="466" spans="1:10" x14ac:dyDescent="0.3">
      <c r="A466" t="s">
        <v>503</v>
      </c>
      <c r="B466">
        <v>24</v>
      </c>
      <c r="J466" t="s">
        <v>752</v>
      </c>
    </row>
    <row r="467" spans="1:10" x14ac:dyDescent="0.3">
      <c r="A467" t="s">
        <v>678</v>
      </c>
      <c r="B467">
        <v>24</v>
      </c>
      <c r="J467">
        <v>274</v>
      </c>
    </row>
    <row r="468" spans="1:10" x14ac:dyDescent="0.3">
      <c r="A468" t="s">
        <v>42</v>
      </c>
      <c r="B468">
        <v>24</v>
      </c>
      <c r="J468">
        <v>25</v>
      </c>
    </row>
    <row r="469" spans="1:10" x14ac:dyDescent="0.3">
      <c r="A469" t="s">
        <v>679</v>
      </c>
      <c r="B469">
        <v>24</v>
      </c>
      <c r="J469">
        <v>7.5</v>
      </c>
    </row>
    <row r="470" spans="1:10" x14ac:dyDescent="0.3">
      <c r="A470" t="s">
        <v>41</v>
      </c>
      <c r="B470">
        <v>24</v>
      </c>
      <c r="J470">
        <v>0</v>
      </c>
    </row>
    <row r="471" spans="1:10" x14ac:dyDescent="0.3">
      <c r="A471" t="s">
        <v>680</v>
      </c>
      <c r="B471">
        <v>24</v>
      </c>
      <c r="J471">
        <v>0</v>
      </c>
    </row>
    <row r="472" spans="1:10" x14ac:dyDescent="0.3">
      <c r="A472" t="s">
        <v>563</v>
      </c>
      <c r="B472">
        <v>24</v>
      </c>
      <c r="J472">
        <v>0</v>
      </c>
    </row>
    <row r="473" spans="1:10" x14ac:dyDescent="0.3">
      <c r="A473" t="s">
        <v>681</v>
      </c>
      <c r="B473">
        <v>24</v>
      </c>
      <c r="J473">
        <v>0</v>
      </c>
    </row>
    <row r="474" spans="1:10" x14ac:dyDescent="0.3">
      <c r="A474" t="s">
        <v>682</v>
      </c>
      <c r="B474">
        <v>24</v>
      </c>
      <c r="J474">
        <v>16</v>
      </c>
    </row>
    <row r="475" spans="1:10" x14ac:dyDescent="0.3">
      <c r="A475" t="s">
        <v>683</v>
      </c>
      <c r="B475">
        <v>24</v>
      </c>
      <c r="J475">
        <v>200</v>
      </c>
    </row>
    <row r="476" spans="1:10" x14ac:dyDescent="0.3">
      <c r="A476" t="s">
        <v>684</v>
      </c>
      <c r="B476">
        <v>24</v>
      </c>
      <c r="J476">
        <v>1101</v>
      </c>
    </row>
    <row r="477" spans="1:10" x14ac:dyDescent="0.3">
      <c r="A477" t="s">
        <v>685</v>
      </c>
      <c r="B477">
        <v>24</v>
      </c>
      <c r="J477">
        <v>734</v>
      </c>
    </row>
    <row r="478" spans="1:10" x14ac:dyDescent="0.3">
      <c r="A478" t="s">
        <v>686</v>
      </c>
      <c r="B478">
        <v>24</v>
      </c>
      <c r="J478">
        <v>1468</v>
      </c>
    </row>
    <row r="479" spans="1:10" x14ac:dyDescent="0.3">
      <c r="A479" t="s">
        <v>687</v>
      </c>
      <c r="B479">
        <v>24</v>
      </c>
    </row>
    <row r="480" spans="1:10" x14ac:dyDescent="0.3">
      <c r="A480" t="s">
        <v>688</v>
      </c>
      <c r="B480">
        <v>24</v>
      </c>
    </row>
    <row r="481" spans="1:10" x14ac:dyDescent="0.3">
      <c r="A481" t="s">
        <v>689</v>
      </c>
      <c r="B481">
        <v>24</v>
      </c>
    </row>
    <row r="482" spans="1:10" x14ac:dyDescent="0.3">
      <c r="A482" t="s">
        <v>690</v>
      </c>
      <c r="B482">
        <v>24</v>
      </c>
      <c r="J482" t="b">
        <v>0</v>
      </c>
    </row>
    <row r="483" spans="1:10" x14ac:dyDescent="0.3">
      <c r="A483" t="s">
        <v>691</v>
      </c>
      <c r="B483">
        <v>24</v>
      </c>
      <c r="J483" t="b">
        <v>0</v>
      </c>
    </row>
    <row r="484" spans="1:10" x14ac:dyDescent="0.3">
      <c r="A484" t="s">
        <v>677</v>
      </c>
      <c r="B484">
        <v>25</v>
      </c>
      <c r="C484">
        <v>48</v>
      </c>
      <c r="E484">
        <v>18</v>
      </c>
      <c r="F484">
        <v>11</v>
      </c>
    </row>
    <row r="485" spans="1:10" x14ac:dyDescent="0.3">
      <c r="A485" t="s">
        <v>36</v>
      </c>
      <c r="B485">
        <v>25</v>
      </c>
      <c r="C485">
        <v>1</v>
      </c>
      <c r="E485">
        <v>3</v>
      </c>
      <c r="F485">
        <v>4</v>
      </c>
    </row>
    <row r="486" spans="1:10" x14ac:dyDescent="0.3">
      <c r="A486" t="s">
        <v>503</v>
      </c>
      <c r="B486">
        <v>25</v>
      </c>
      <c r="C486" t="s">
        <v>753</v>
      </c>
      <c r="E486" t="s">
        <v>741</v>
      </c>
      <c r="F486" t="s">
        <v>741</v>
      </c>
    </row>
    <row r="487" spans="1:10" x14ac:dyDescent="0.3">
      <c r="A487" t="s">
        <v>678</v>
      </c>
      <c r="B487">
        <v>25</v>
      </c>
      <c r="C487">
        <v>656</v>
      </c>
      <c r="E487">
        <v>3145</v>
      </c>
      <c r="F487">
        <v>1028</v>
      </c>
    </row>
    <row r="488" spans="1:10" x14ac:dyDescent="0.3">
      <c r="A488" t="s">
        <v>42</v>
      </c>
      <c r="B488">
        <v>25</v>
      </c>
      <c r="C488">
        <v>30</v>
      </c>
      <c r="E488">
        <v>45</v>
      </c>
      <c r="F488">
        <v>45</v>
      </c>
    </row>
    <row r="489" spans="1:10" x14ac:dyDescent="0.3">
      <c r="A489" t="s">
        <v>679</v>
      </c>
      <c r="B489">
        <v>25</v>
      </c>
      <c r="C489">
        <v>14.9</v>
      </c>
      <c r="E489">
        <v>47.7</v>
      </c>
      <c r="F489">
        <v>15.6</v>
      </c>
    </row>
    <row r="490" spans="1:10" x14ac:dyDescent="0.3">
      <c r="A490" t="s">
        <v>41</v>
      </c>
      <c r="B490">
        <v>25</v>
      </c>
      <c r="C490">
        <v>0</v>
      </c>
      <c r="E490">
        <v>0</v>
      </c>
      <c r="F490">
        <v>0</v>
      </c>
    </row>
    <row r="491" spans="1:10" x14ac:dyDescent="0.3">
      <c r="A491" t="s">
        <v>680</v>
      </c>
      <c r="B491">
        <v>25</v>
      </c>
      <c r="C491">
        <v>12</v>
      </c>
      <c r="E491">
        <v>12</v>
      </c>
      <c r="F491">
        <v>12</v>
      </c>
    </row>
    <row r="492" spans="1:10" x14ac:dyDescent="0.3">
      <c r="A492" t="s">
        <v>563</v>
      </c>
      <c r="B492">
        <v>25</v>
      </c>
      <c r="C492">
        <v>0</v>
      </c>
      <c r="E492">
        <v>0</v>
      </c>
      <c r="F492">
        <v>0</v>
      </c>
    </row>
    <row r="493" spans="1:10" x14ac:dyDescent="0.3">
      <c r="A493" t="s">
        <v>681</v>
      </c>
      <c r="B493">
        <v>25</v>
      </c>
      <c r="C493">
        <v>0</v>
      </c>
      <c r="E493">
        <v>0</v>
      </c>
      <c r="F493">
        <v>0</v>
      </c>
    </row>
    <row r="494" spans="1:10" x14ac:dyDescent="0.3">
      <c r="A494" t="s">
        <v>682</v>
      </c>
      <c r="B494">
        <v>25</v>
      </c>
      <c r="C494">
        <v>16</v>
      </c>
      <c r="E494">
        <v>16</v>
      </c>
      <c r="F494">
        <v>16</v>
      </c>
    </row>
    <row r="495" spans="1:10" x14ac:dyDescent="0.3">
      <c r="A495" t="s">
        <v>683</v>
      </c>
      <c r="B495">
        <v>25</v>
      </c>
      <c r="C495">
        <v>583</v>
      </c>
      <c r="E495">
        <v>583</v>
      </c>
      <c r="F495">
        <v>583</v>
      </c>
    </row>
    <row r="496" spans="1:10" x14ac:dyDescent="0.3">
      <c r="A496" t="s">
        <v>684</v>
      </c>
      <c r="B496">
        <v>25</v>
      </c>
      <c r="C496">
        <v>1320</v>
      </c>
      <c r="E496">
        <v>1980</v>
      </c>
      <c r="F496">
        <v>1980</v>
      </c>
    </row>
    <row r="497" spans="1:9" x14ac:dyDescent="0.3">
      <c r="A497" t="s">
        <v>685</v>
      </c>
      <c r="B497">
        <v>25</v>
      </c>
      <c r="C497">
        <v>880</v>
      </c>
      <c r="E497">
        <v>1320</v>
      </c>
      <c r="F497">
        <v>1320</v>
      </c>
    </row>
    <row r="498" spans="1:9" x14ac:dyDescent="0.3">
      <c r="A498" t="s">
        <v>686</v>
      </c>
      <c r="B498">
        <v>25</v>
      </c>
      <c r="C498">
        <v>1760</v>
      </c>
      <c r="E498">
        <v>2640</v>
      </c>
      <c r="F498">
        <v>2640</v>
      </c>
    </row>
    <row r="499" spans="1:9" x14ac:dyDescent="0.3">
      <c r="A499" t="s">
        <v>687</v>
      </c>
      <c r="B499">
        <v>25</v>
      </c>
    </row>
    <row r="500" spans="1:9" x14ac:dyDescent="0.3">
      <c r="A500" t="s">
        <v>688</v>
      </c>
      <c r="B500">
        <v>25</v>
      </c>
    </row>
    <row r="501" spans="1:9" x14ac:dyDescent="0.3">
      <c r="A501" t="s">
        <v>689</v>
      </c>
      <c r="B501">
        <v>25</v>
      </c>
    </row>
    <row r="502" spans="1:9" x14ac:dyDescent="0.3">
      <c r="A502" t="s">
        <v>690</v>
      </c>
      <c r="B502">
        <v>25</v>
      </c>
      <c r="C502" t="b">
        <v>0</v>
      </c>
      <c r="E502" t="b">
        <v>0</v>
      </c>
      <c r="F502" t="b">
        <v>0</v>
      </c>
    </row>
    <row r="503" spans="1:9" x14ac:dyDescent="0.3">
      <c r="A503" t="s">
        <v>691</v>
      </c>
      <c r="B503">
        <v>25</v>
      </c>
      <c r="C503" t="b">
        <v>0</v>
      </c>
      <c r="E503" t="b">
        <v>0</v>
      </c>
      <c r="F503" t="b">
        <v>0</v>
      </c>
    </row>
    <row r="504" spans="1:9" x14ac:dyDescent="0.3">
      <c r="A504" t="s">
        <v>677</v>
      </c>
      <c r="B504">
        <v>26</v>
      </c>
      <c r="G504">
        <v>29</v>
      </c>
      <c r="H504">
        <v>28</v>
      </c>
      <c r="I504">
        <v>27</v>
      </c>
    </row>
    <row r="505" spans="1:9" x14ac:dyDescent="0.3">
      <c r="A505" t="s">
        <v>36</v>
      </c>
      <c r="B505">
        <v>26</v>
      </c>
      <c r="G505">
        <v>2</v>
      </c>
      <c r="H505">
        <v>5</v>
      </c>
      <c r="I505">
        <v>4</v>
      </c>
    </row>
    <row r="506" spans="1:9" x14ac:dyDescent="0.3">
      <c r="A506" t="s">
        <v>503</v>
      </c>
      <c r="B506">
        <v>26</v>
      </c>
      <c r="G506" t="s">
        <v>754</v>
      </c>
      <c r="H506" t="s">
        <v>741</v>
      </c>
      <c r="I506" t="s">
        <v>741</v>
      </c>
    </row>
    <row r="507" spans="1:9" x14ac:dyDescent="0.3">
      <c r="A507" t="s">
        <v>678</v>
      </c>
      <c r="B507">
        <v>26</v>
      </c>
      <c r="G507">
        <v>298</v>
      </c>
      <c r="H507">
        <v>3236</v>
      </c>
      <c r="I507">
        <v>1261</v>
      </c>
    </row>
    <row r="508" spans="1:9" x14ac:dyDescent="0.3">
      <c r="A508" t="s">
        <v>42</v>
      </c>
      <c r="B508">
        <v>26</v>
      </c>
      <c r="G508">
        <v>25</v>
      </c>
      <c r="H508">
        <v>45</v>
      </c>
      <c r="I508">
        <v>45</v>
      </c>
    </row>
    <row r="509" spans="1:9" x14ac:dyDescent="0.3">
      <c r="A509" t="s">
        <v>679</v>
      </c>
      <c r="B509">
        <v>26</v>
      </c>
      <c r="G509">
        <v>8.1</v>
      </c>
      <c r="H509">
        <v>49</v>
      </c>
      <c r="I509">
        <v>19.100000000000001</v>
      </c>
    </row>
    <row r="510" spans="1:9" x14ac:dyDescent="0.3">
      <c r="A510" t="s">
        <v>41</v>
      </c>
      <c r="B510">
        <v>26</v>
      </c>
      <c r="G510">
        <v>0</v>
      </c>
      <c r="H510">
        <v>0</v>
      </c>
      <c r="I510">
        <v>0</v>
      </c>
    </row>
    <row r="511" spans="1:9" x14ac:dyDescent="0.3">
      <c r="A511" t="s">
        <v>680</v>
      </c>
      <c r="B511">
        <v>26</v>
      </c>
      <c r="G511">
        <v>12</v>
      </c>
      <c r="H511">
        <v>24</v>
      </c>
      <c r="I511">
        <v>24</v>
      </c>
    </row>
    <row r="512" spans="1:9" x14ac:dyDescent="0.3">
      <c r="A512" t="s">
        <v>563</v>
      </c>
      <c r="B512">
        <v>26</v>
      </c>
      <c r="G512">
        <v>0</v>
      </c>
      <c r="H512">
        <v>0</v>
      </c>
      <c r="I512">
        <v>0</v>
      </c>
    </row>
    <row r="513" spans="1:9" x14ac:dyDescent="0.3">
      <c r="A513" t="s">
        <v>681</v>
      </c>
      <c r="B513">
        <v>26</v>
      </c>
      <c r="G513">
        <v>0</v>
      </c>
      <c r="H513">
        <v>0</v>
      </c>
      <c r="I513">
        <v>0</v>
      </c>
    </row>
    <row r="514" spans="1:9" x14ac:dyDescent="0.3">
      <c r="A514" t="s">
        <v>682</v>
      </c>
      <c r="B514">
        <v>26</v>
      </c>
      <c r="G514">
        <v>16</v>
      </c>
      <c r="H514">
        <v>16</v>
      </c>
      <c r="I514">
        <v>16</v>
      </c>
    </row>
    <row r="515" spans="1:9" x14ac:dyDescent="0.3">
      <c r="A515" t="s">
        <v>683</v>
      </c>
      <c r="B515">
        <v>26</v>
      </c>
      <c r="G515">
        <v>583</v>
      </c>
      <c r="H515">
        <v>583</v>
      </c>
      <c r="I515">
        <v>583</v>
      </c>
    </row>
    <row r="516" spans="1:9" x14ac:dyDescent="0.3">
      <c r="A516" t="s">
        <v>684</v>
      </c>
      <c r="B516">
        <v>26</v>
      </c>
      <c r="G516">
        <v>1101</v>
      </c>
      <c r="H516">
        <v>1980</v>
      </c>
      <c r="I516">
        <v>1980</v>
      </c>
    </row>
    <row r="517" spans="1:9" x14ac:dyDescent="0.3">
      <c r="A517" t="s">
        <v>685</v>
      </c>
      <c r="B517">
        <v>26</v>
      </c>
      <c r="G517">
        <v>734</v>
      </c>
      <c r="H517">
        <v>1320</v>
      </c>
      <c r="I517">
        <v>1320</v>
      </c>
    </row>
    <row r="518" spans="1:9" x14ac:dyDescent="0.3">
      <c r="A518" t="s">
        <v>686</v>
      </c>
      <c r="B518">
        <v>26</v>
      </c>
      <c r="G518">
        <v>1468</v>
      </c>
      <c r="H518">
        <v>2640</v>
      </c>
      <c r="I518">
        <v>2640</v>
      </c>
    </row>
    <row r="519" spans="1:9" x14ac:dyDescent="0.3">
      <c r="A519" t="s">
        <v>687</v>
      </c>
      <c r="B519">
        <v>26</v>
      </c>
    </row>
    <row r="520" spans="1:9" x14ac:dyDescent="0.3">
      <c r="A520" t="s">
        <v>688</v>
      </c>
      <c r="B520">
        <v>26</v>
      </c>
    </row>
    <row r="521" spans="1:9" x14ac:dyDescent="0.3">
      <c r="A521" t="s">
        <v>689</v>
      </c>
      <c r="B521">
        <v>26</v>
      </c>
    </row>
    <row r="522" spans="1:9" x14ac:dyDescent="0.3">
      <c r="A522" t="s">
        <v>690</v>
      </c>
      <c r="B522">
        <v>26</v>
      </c>
      <c r="G522" t="b">
        <v>0</v>
      </c>
      <c r="H522" t="b">
        <v>0</v>
      </c>
      <c r="I522" t="b">
        <v>0</v>
      </c>
    </row>
    <row r="523" spans="1:9" x14ac:dyDescent="0.3">
      <c r="A523" t="s">
        <v>691</v>
      </c>
      <c r="B523">
        <v>26</v>
      </c>
      <c r="G523" t="b">
        <v>0</v>
      </c>
      <c r="H523" t="b">
        <v>0</v>
      </c>
      <c r="I523" t="b">
        <v>0</v>
      </c>
    </row>
    <row r="524" spans="1:9" x14ac:dyDescent="0.3">
      <c r="A524" t="s">
        <v>677</v>
      </c>
      <c r="B524">
        <v>27</v>
      </c>
      <c r="G524">
        <v>30</v>
      </c>
      <c r="H524">
        <v>26</v>
      </c>
      <c r="I524">
        <v>31</v>
      </c>
    </row>
    <row r="525" spans="1:9" x14ac:dyDescent="0.3">
      <c r="A525" t="s">
        <v>36</v>
      </c>
      <c r="B525">
        <v>27</v>
      </c>
      <c r="G525">
        <v>3</v>
      </c>
      <c r="H525">
        <v>5</v>
      </c>
      <c r="I525">
        <v>4</v>
      </c>
    </row>
    <row r="526" spans="1:9" x14ac:dyDescent="0.3">
      <c r="A526" t="s">
        <v>503</v>
      </c>
      <c r="B526">
        <v>27</v>
      </c>
      <c r="G526" t="s">
        <v>755</v>
      </c>
      <c r="H526" t="s">
        <v>741</v>
      </c>
      <c r="I526" t="s">
        <v>741</v>
      </c>
    </row>
    <row r="527" spans="1:9" x14ac:dyDescent="0.3">
      <c r="A527" t="s">
        <v>678</v>
      </c>
      <c r="B527">
        <v>27</v>
      </c>
      <c r="G527">
        <v>262</v>
      </c>
      <c r="H527">
        <v>1261</v>
      </c>
      <c r="I527">
        <v>2453</v>
      </c>
    </row>
    <row r="528" spans="1:9" x14ac:dyDescent="0.3">
      <c r="A528" t="s">
        <v>42</v>
      </c>
      <c r="B528">
        <v>27</v>
      </c>
      <c r="G528">
        <v>30</v>
      </c>
      <c r="H528">
        <v>45</v>
      </c>
      <c r="I528">
        <v>45</v>
      </c>
    </row>
    <row r="529" spans="1:9" x14ac:dyDescent="0.3">
      <c r="A529" t="s">
        <v>679</v>
      </c>
      <c r="B529">
        <v>27</v>
      </c>
      <c r="G529">
        <v>6</v>
      </c>
      <c r="H529">
        <v>19.100000000000001</v>
      </c>
      <c r="I529">
        <v>37.200000000000003</v>
      </c>
    </row>
    <row r="530" spans="1:9" x14ac:dyDescent="0.3">
      <c r="A530" t="s">
        <v>41</v>
      </c>
      <c r="B530">
        <v>27</v>
      </c>
      <c r="G530">
        <v>0</v>
      </c>
      <c r="H530">
        <v>0</v>
      </c>
      <c r="I530">
        <v>0</v>
      </c>
    </row>
    <row r="531" spans="1:9" x14ac:dyDescent="0.3">
      <c r="A531" t="s">
        <v>680</v>
      </c>
      <c r="B531">
        <v>27</v>
      </c>
      <c r="G531">
        <v>24</v>
      </c>
      <c r="H531">
        <v>24</v>
      </c>
      <c r="I531">
        <v>24</v>
      </c>
    </row>
    <row r="532" spans="1:9" x14ac:dyDescent="0.3">
      <c r="A532" t="s">
        <v>563</v>
      </c>
      <c r="B532">
        <v>27</v>
      </c>
      <c r="G532">
        <v>0</v>
      </c>
      <c r="H532">
        <v>0</v>
      </c>
      <c r="I532">
        <v>0</v>
      </c>
    </row>
    <row r="533" spans="1:9" x14ac:dyDescent="0.3">
      <c r="A533" t="s">
        <v>681</v>
      </c>
      <c r="B533">
        <v>27</v>
      </c>
      <c r="G533">
        <v>0</v>
      </c>
      <c r="H533">
        <v>0</v>
      </c>
      <c r="I533">
        <v>0</v>
      </c>
    </row>
    <row r="534" spans="1:9" x14ac:dyDescent="0.3">
      <c r="A534" t="s">
        <v>682</v>
      </c>
      <c r="B534">
        <v>27</v>
      </c>
      <c r="G534">
        <v>16</v>
      </c>
      <c r="H534">
        <v>16</v>
      </c>
      <c r="I534">
        <v>16</v>
      </c>
    </row>
    <row r="535" spans="1:9" x14ac:dyDescent="0.3">
      <c r="A535" t="s">
        <v>683</v>
      </c>
      <c r="B535">
        <v>27</v>
      </c>
      <c r="G535">
        <v>583</v>
      </c>
      <c r="H535">
        <v>583</v>
      </c>
      <c r="I535">
        <v>583</v>
      </c>
    </row>
    <row r="536" spans="1:9" x14ac:dyDescent="0.3">
      <c r="A536" t="s">
        <v>684</v>
      </c>
      <c r="B536">
        <v>27</v>
      </c>
      <c r="G536">
        <v>1320</v>
      </c>
      <c r="H536">
        <v>1980</v>
      </c>
      <c r="I536">
        <v>1980</v>
      </c>
    </row>
    <row r="537" spans="1:9" x14ac:dyDescent="0.3">
      <c r="A537" t="s">
        <v>685</v>
      </c>
      <c r="B537">
        <v>27</v>
      </c>
      <c r="G537">
        <v>880</v>
      </c>
      <c r="H537">
        <v>1320</v>
      </c>
      <c r="I537">
        <v>1320</v>
      </c>
    </row>
    <row r="538" spans="1:9" x14ac:dyDescent="0.3">
      <c r="A538" t="s">
        <v>686</v>
      </c>
      <c r="B538">
        <v>27</v>
      </c>
      <c r="G538">
        <v>1760</v>
      </c>
      <c r="H538">
        <v>2640</v>
      </c>
      <c r="I538">
        <v>2640</v>
      </c>
    </row>
    <row r="539" spans="1:9" x14ac:dyDescent="0.3">
      <c r="A539" t="s">
        <v>687</v>
      </c>
      <c r="B539">
        <v>27</v>
      </c>
    </row>
    <row r="540" spans="1:9" x14ac:dyDescent="0.3">
      <c r="A540" t="s">
        <v>688</v>
      </c>
      <c r="B540">
        <v>27</v>
      </c>
    </row>
    <row r="541" spans="1:9" x14ac:dyDescent="0.3">
      <c r="A541" t="s">
        <v>689</v>
      </c>
      <c r="B541">
        <v>27</v>
      </c>
    </row>
    <row r="542" spans="1:9" x14ac:dyDescent="0.3">
      <c r="A542" t="s">
        <v>690</v>
      </c>
      <c r="B542">
        <v>27</v>
      </c>
      <c r="G542" t="b">
        <v>0</v>
      </c>
      <c r="H542" t="b">
        <v>0</v>
      </c>
      <c r="I542" t="b">
        <v>0</v>
      </c>
    </row>
    <row r="543" spans="1:9" x14ac:dyDescent="0.3">
      <c r="A543" t="s">
        <v>691</v>
      </c>
      <c r="B543">
        <v>27</v>
      </c>
      <c r="G543" t="b">
        <v>0</v>
      </c>
      <c r="H543" t="b">
        <v>0</v>
      </c>
      <c r="I543" t="b">
        <v>0</v>
      </c>
    </row>
    <row r="544" spans="1:9" x14ac:dyDescent="0.3">
      <c r="A544" t="s">
        <v>677</v>
      </c>
      <c r="B544">
        <v>28</v>
      </c>
      <c r="G544">
        <v>24</v>
      </c>
      <c r="H544">
        <v>46</v>
      </c>
      <c r="I544">
        <v>26</v>
      </c>
    </row>
    <row r="545" spans="1:9" x14ac:dyDescent="0.3">
      <c r="A545" t="s">
        <v>36</v>
      </c>
      <c r="B545">
        <v>28</v>
      </c>
      <c r="G545">
        <v>2</v>
      </c>
      <c r="H545">
        <v>4</v>
      </c>
      <c r="I545">
        <v>4</v>
      </c>
    </row>
    <row r="546" spans="1:9" x14ac:dyDescent="0.3">
      <c r="A546" t="s">
        <v>503</v>
      </c>
      <c r="B546">
        <v>28</v>
      </c>
      <c r="G546" t="s">
        <v>752</v>
      </c>
      <c r="H546" t="s">
        <v>741</v>
      </c>
      <c r="I546" t="s">
        <v>741</v>
      </c>
    </row>
    <row r="547" spans="1:9" x14ac:dyDescent="0.3">
      <c r="A547" t="s">
        <v>678</v>
      </c>
      <c r="B547">
        <v>28</v>
      </c>
      <c r="G547">
        <v>274</v>
      </c>
      <c r="H547">
        <v>1161</v>
      </c>
      <c r="I547">
        <v>3236</v>
      </c>
    </row>
    <row r="548" spans="1:9" x14ac:dyDescent="0.3">
      <c r="A548" t="s">
        <v>42</v>
      </c>
      <c r="B548">
        <v>28</v>
      </c>
      <c r="G548">
        <v>25</v>
      </c>
      <c r="H548">
        <v>45</v>
      </c>
      <c r="I548">
        <v>45</v>
      </c>
    </row>
    <row r="549" spans="1:9" x14ac:dyDescent="0.3">
      <c r="A549" t="s">
        <v>679</v>
      </c>
      <c r="B549">
        <v>28</v>
      </c>
      <c r="G549">
        <v>7.5</v>
      </c>
      <c r="H549">
        <v>17.600000000000001</v>
      </c>
      <c r="I549">
        <v>49</v>
      </c>
    </row>
    <row r="550" spans="1:9" x14ac:dyDescent="0.3">
      <c r="A550" t="s">
        <v>41</v>
      </c>
      <c r="B550">
        <v>28</v>
      </c>
      <c r="G550">
        <v>0</v>
      </c>
      <c r="H550">
        <v>0</v>
      </c>
      <c r="I550">
        <v>0</v>
      </c>
    </row>
    <row r="551" spans="1:9" x14ac:dyDescent="0.3">
      <c r="A551" t="s">
        <v>680</v>
      </c>
      <c r="B551">
        <v>28</v>
      </c>
      <c r="G551">
        <v>12</v>
      </c>
      <c r="H551">
        <v>24</v>
      </c>
      <c r="I551">
        <v>24</v>
      </c>
    </row>
    <row r="552" spans="1:9" x14ac:dyDescent="0.3">
      <c r="A552" t="s">
        <v>563</v>
      </c>
      <c r="B552">
        <v>28</v>
      </c>
      <c r="G552">
        <v>0</v>
      </c>
      <c r="H552">
        <v>0</v>
      </c>
      <c r="I552">
        <v>0</v>
      </c>
    </row>
    <row r="553" spans="1:9" x14ac:dyDescent="0.3">
      <c r="A553" t="s">
        <v>681</v>
      </c>
      <c r="B553">
        <v>28</v>
      </c>
      <c r="G553">
        <v>0</v>
      </c>
      <c r="H553">
        <v>0</v>
      </c>
      <c r="I553">
        <v>0</v>
      </c>
    </row>
    <row r="554" spans="1:9" x14ac:dyDescent="0.3">
      <c r="A554" t="s">
        <v>682</v>
      </c>
      <c r="B554">
        <v>28</v>
      </c>
      <c r="G554">
        <v>16</v>
      </c>
      <c r="H554">
        <v>16</v>
      </c>
      <c r="I554">
        <v>16</v>
      </c>
    </row>
    <row r="555" spans="1:9" x14ac:dyDescent="0.3">
      <c r="A555" t="s">
        <v>683</v>
      </c>
      <c r="B555">
        <v>28</v>
      </c>
      <c r="G555">
        <v>583</v>
      </c>
      <c r="H555">
        <v>583</v>
      </c>
      <c r="I555">
        <v>583</v>
      </c>
    </row>
    <row r="556" spans="1:9" x14ac:dyDescent="0.3">
      <c r="A556" t="s">
        <v>684</v>
      </c>
      <c r="B556">
        <v>28</v>
      </c>
      <c r="G556">
        <v>1101</v>
      </c>
      <c r="H556">
        <v>1980</v>
      </c>
      <c r="I556">
        <v>1980</v>
      </c>
    </row>
    <row r="557" spans="1:9" x14ac:dyDescent="0.3">
      <c r="A557" t="s">
        <v>685</v>
      </c>
      <c r="B557">
        <v>28</v>
      </c>
      <c r="G557">
        <v>734</v>
      </c>
      <c r="H557">
        <v>1320</v>
      </c>
      <c r="I557">
        <v>1320</v>
      </c>
    </row>
    <row r="558" spans="1:9" x14ac:dyDescent="0.3">
      <c r="A558" t="s">
        <v>686</v>
      </c>
      <c r="B558">
        <v>28</v>
      </c>
      <c r="G558">
        <v>1468</v>
      </c>
      <c r="H558">
        <v>2640</v>
      </c>
      <c r="I558">
        <v>2640</v>
      </c>
    </row>
    <row r="559" spans="1:9" x14ac:dyDescent="0.3">
      <c r="A559" t="s">
        <v>687</v>
      </c>
      <c r="B559">
        <v>28</v>
      </c>
    </row>
    <row r="560" spans="1:9" x14ac:dyDescent="0.3">
      <c r="A560" t="s">
        <v>688</v>
      </c>
      <c r="B560">
        <v>28</v>
      </c>
    </row>
    <row r="561" spans="1:10" x14ac:dyDescent="0.3">
      <c r="A561" t="s">
        <v>689</v>
      </c>
      <c r="B561">
        <v>28</v>
      </c>
    </row>
    <row r="562" spans="1:10" x14ac:dyDescent="0.3">
      <c r="A562" t="s">
        <v>690</v>
      </c>
      <c r="B562">
        <v>28</v>
      </c>
      <c r="G562" t="b">
        <v>0</v>
      </c>
      <c r="H562" t="b">
        <v>0</v>
      </c>
      <c r="I562" t="b">
        <v>0</v>
      </c>
    </row>
    <row r="563" spans="1:10" x14ac:dyDescent="0.3">
      <c r="A563" t="s">
        <v>691</v>
      </c>
      <c r="B563">
        <v>28</v>
      </c>
      <c r="G563" t="b">
        <v>0</v>
      </c>
      <c r="H563" t="b">
        <v>0</v>
      </c>
      <c r="I563" t="b">
        <v>0</v>
      </c>
    </row>
    <row r="564" spans="1:10" x14ac:dyDescent="0.3">
      <c r="A564" t="s">
        <v>677</v>
      </c>
      <c r="B564">
        <v>29</v>
      </c>
      <c r="J564">
        <v>26</v>
      </c>
    </row>
    <row r="565" spans="1:10" x14ac:dyDescent="0.3">
      <c r="A565" t="s">
        <v>36</v>
      </c>
      <c r="B565">
        <v>29</v>
      </c>
      <c r="J565">
        <v>2</v>
      </c>
    </row>
    <row r="566" spans="1:10" x14ac:dyDescent="0.3">
      <c r="A566" t="s">
        <v>503</v>
      </c>
      <c r="B566">
        <v>29</v>
      </c>
      <c r="J566" t="s">
        <v>754</v>
      </c>
    </row>
    <row r="567" spans="1:10" x14ac:dyDescent="0.3">
      <c r="A567" t="s">
        <v>678</v>
      </c>
      <c r="B567">
        <v>29</v>
      </c>
      <c r="J567">
        <v>298</v>
      </c>
    </row>
    <row r="568" spans="1:10" x14ac:dyDescent="0.3">
      <c r="A568" t="s">
        <v>42</v>
      </c>
      <c r="B568">
        <v>29</v>
      </c>
      <c r="J568">
        <v>30</v>
      </c>
    </row>
    <row r="569" spans="1:10" x14ac:dyDescent="0.3">
      <c r="A569" t="s">
        <v>679</v>
      </c>
      <c r="B569">
        <v>29</v>
      </c>
      <c r="J569">
        <v>6.8</v>
      </c>
    </row>
    <row r="570" spans="1:10" x14ac:dyDescent="0.3">
      <c r="A570" t="s">
        <v>41</v>
      </c>
      <c r="B570">
        <v>29</v>
      </c>
      <c r="J570">
        <v>0</v>
      </c>
    </row>
    <row r="571" spans="1:10" x14ac:dyDescent="0.3">
      <c r="A571" t="s">
        <v>680</v>
      </c>
      <c r="B571">
        <v>29</v>
      </c>
      <c r="J571">
        <v>0</v>
      </c>
    </row>
    <row r="572" spans="1:10" x14ac:dyDescent="0.3">
      <c r="A572" t="s">
        <v>563</v>
      </c>
      <c r="B572">
        <v>29</v>
      </c>
      <c r="J572">
        <v>0</v>
      </c>
    </row>
    <row r="573" spans="1:10" x14ac:dyDescent="0.3">
      <c r="A573" t="s">
        <v>681</v>
      </c>
      <c r="B573">
        <v>29</v>
      </c>
      <c r="J573">
        <v>0</v>
      </c>
    </row>
    <row r="574" spans="1:10" x14ac:dyDescent="0.3">
      <c r="A574" t="s">
        <v>682</v>
      </c>
      <c r="B574">
        <v>29</v>
      </c>
      <c r="J574">
        <v>16</v>
      </c>
    </row>
    <row r="575" spans="1:10" x14ac:dyDescent="0.3">
      <c r="A575" t="s">
        <v>683</v>
      </c>
      <c r="B575">
        <v>29</v>
      </c>
      <c r="J575">
        <v>200</v>
      </c>
    </row>
    <row r="576" spans="1:10" x14ac:dyDescent="0.3">
      <c r="A576" t="s">
        <v>684</v>
      </c>
      <c r="B576">
        <v>29</v>
      </c>
      <c r="J576">
        <v>1320</v>
      </c>
    </row>
    <row r="577" spans="1:10" x14ac:dyDescent="0.3">
      <c r="A577" t="s">
        <v>685</v>
      </c>
      <c r="B577">
        <v>29</v>
      </c>
      <c r="J577">
        <v>880</v>
      </c>
    </row>
    <row r="578" spans="1:10" x14ac:dyDescent="0.3">
      <c r="A578" t="s">
        <v>686</v>
      </c>
      <c r="B578">
        <v>29</v>
      </c>
      <c r="J578">
        <v>1760</v>
      </c>
    </row>
    <row r="579" spans="1:10" x14ac:dyDescent="0.3">
      <c r="A579" t="s">
        <v>687</v>
      </c>
      <c r="B579">
        <v>29</v>
      </c>
    </row>
    <row r="580" spans="1:10" x14ac:dyDescent="0.3">
      <c r="A580" t="s">
        <v>688</v>
      </c>
      <c r="B580">
        <v>29</v>
      </c>
    </row>
    <row r="581" spans="1:10" x14ac:dyDescent="0.3">
      <c r="A581" t="s">
        <v>689</v>
      </c>
      <c r="B581">
        <v>29</v>
      </c>
    </row>
    <row r="582" spans="1:10" x14ac:dyDescent="0.3">
      <c r="A582" t="s">
        <v>690</v>
      </c>
      <c r="B582">
        <v>29</v>
      </c>
      <c r="J582" t="b">
        <v>0</v>
      </c>
    </row>
    <row r="583" spans="1:10" x14ac:dyDescent="0.3">
      <c r="A583" t="s">
        <v>691</v>
      </c>
      <c r="B583">
        <v>29</v>
      </c>
      <c r="J583" t="b">
        <v>0</v>
      </c>
    </row>
    <row r="584" spans="1:10" x14ac:dyDescent="0.3">
      <c r="A584" t="s">
        <v>677</v>
      </c>
      <c r="B584">
        <v>30</v>
      </c>
      <c r="J584">
        <v>27</v>
      </c>
    </row>
    <row r="585" spans="1:10" x14ac:dyDescent="0.3">
      <c r="A585" t="s">
        <v>36</v>
      </c>
      <c r="B585">
        <v>30</v>
      </c>
      <c r="J585">
        <v>2</v>
      </c>
    </row>
    <row r="586" spans="1:10" x14ac:dyDescent="0.3">
      <c r="A586" t="s">
        <v>503</v>
      </c>
      <c r="B586">
        <v>30</v>
      </c>
      <c r="J586" t="s">
        <v>755</v>
      </c>
    </row>
    <row r="587" spans="1:10" x14ac:dyDescent="0.3">
      <c r="A587" t="s">
        <v>678</v>
      </c>
      <c r="B587">
        <v>30</v>
      </c>
      <c r="J587">
        <v>262</v>
      </c>
    </row>
    <row r="588" spans="1:10" x14ac:dyDescent="0.3">
      <c r="A588" t="s">
        <v>42</v>
      </c>
      <c r="B588">
        <v>30</v>
      </c>
      <c r="J588">
        <v>30</v>
      </c>
    </row>
    <row r="589" spans="1:10" x14ac:dyDescent="0.3">
      <c r="A589" t="s">
        <v>679</v>
      </c>
      <c r="B589">
        <v>30</v>
      </c>
      <c r="J589">
        <v>6</v>
      </c>
    </row>
    <row r="590" spans="1:10" x14ac:dyDescent="0.3">
      <c r="A590" t="s">
        <v>41</v>
      </c>
      <c r="B590">
        <v>30</v>
      </c>
      <c r="J590">
        <v>0</v>
      </c>
    </row>
    <row r="591" spans="1:10" x14ac:dyDescent="0.3">
      <c r="A591" t="s">
        <v>680</v>
      </c>
      <c r="B591">
        <v>30</v>
      </c>
      <c r="J591">
        <v>0</v>
      </c>
    </row>
    <row r="592" spans="1:10" x14ac:dyDescent="0.3">
      <c r="A592" t="s">
        <v>563</v>
      </c>
      <c r="B592">
        <v>30</v>
      </c>
      <c r="J592">
        <v>0</v>
      </c>
    </row>
    <row r="593" spans="1:10" x14ac:dyDescent="0.3">
      <c r="A593" t="s">
        <v>681</v>
      </c>
      <c r="B593">
        <v>30</v>
      </c>
      <c r="J593">
        <v>0</v>
      </c>
    </row>
    <row r="594" spans="1:10" x14ac:dyDescent="0.3">
      <c r="A594" t="s">
        <v>682</v>
      </c>
      <c r="B594">
        <v>30</v>
      </c>
      <c r="J594">
        <v>16</v>
      </c>
    </row>
    <row r="595" spans="1:10" x14ac:dyDescent="0.3">
      <c r="A595" t="s">
        <v>683</v>
      </c>
      <c r="B595">
        <v>30</v>
      </c>
      <c r="J595">
        <v>200</v>
      </c>
    </row>
    <row r="596" spans="1:10" x14ac:dyDescent="0.3">
      <c r="A596" t="s">
        <v>684</v>
      </c>
      <c r="B596">
        <v>30</v>
      </c>
      <c r="J596">
        <v>1320</v>
      </c>
    </row>
    <row r="597" spans="1:10" x14ac:dyDescent="0.3">
      <c r="A597" t="s">
        <v>685</v>
      </c>
      <c r="B597">
        <v>30</v>
      </c>
      <c r="J597">
        <v>880</v>
      </c>
    </row>
    <row r="598" spans="1:10" x14ac:dyDescent="0.3">
      <c r="A598" t="s">
        <v>686</v>
      </c>
      <c r="B598">
        <v>30</v>
      </c>
      <c r="J598">
        <v>1760</v>
      </c>
    </row>
    <row r="599" spans="1:10" x14ac:dyDescent="0.3">
      <c r="A599" t="s">
        <v>687</v>
      </c>
      <c r="B599">
        <v>30</v>
      </c>
    </row>
    <row r="600" spans="1:10" x14ac:dyDescent="0.3">
      <c r="A600" t="s">
        <v>688</v>
      </c>
      <c r="B600">
        <v>30</v>
      </c>
    </row>
    <row r="601" spans="1:10" x14ac:dyDescent="0.3">
      <c r="A601" t="s">
        <v>689</v>
      </c>
      <c r="B601">
        <v>30</v>
      </c>
    </row>
    <row r="602" spans="1:10" x14ac:dyDescent="0.3">
      <c r="A602" t="s">
        <v>690</v>
      </c>
      <c r="B602">
        <v>30</v>
      </c>
      <c r="J602" t="b">
        <v>0</v>
      </c>
    </row>
    <row r="603" spans="1:10" x14ac:dyDescent="0.3">
      <c r="A603" t="s">
        <v>691</v>
      </c>
      <c r="B603">
        <v>30</v>
      </c>
      <c r="J603" t="b">
        <v>0</v>
      </c>
    </row>
    <row r="604" spans="1:10" x14ac:dyDescent="0.3">
      <c r="A604" t="s">
        <v>677</v>
      </c>
      <c r="B604">
        <v>31</v>
      </c>
      <c r="G604">
        <v>32</v>
      </c>
      <c r="H604">
        <v>27</v>
      </c>
      <c r="I604">
        <v>33</v>
      </c>
    </row>
    <row r="605" spans="1:10" x14ac:dyDescent="0.3">
      <c r="A605" t="s">
        <v>36</v>
      </c>
      <c r="B605">
        <v>31</v>
      </c>
      <c r="G605">
        <v>3</v>
      </c>
      <c r="H605">
        <v>5</v>
      </c>
      <c r="I605">
        <v>4</v>
      </c>
    </row>
    <row r="606" spans="1:10" x14ac:dyDescent="0.3">
      <c r="A606" t="s">
        <v>503</v>
      </c>
      <c r="B606">
        <v>31</v>
      </c>
      <c r="G606" t="s">
        <v>756</v>
      </c>
      <c r="H606" t="s">
        <v>741</v>
      </c>
      <c r="I606" t="s">
        <v>741</v>
      </c>
    </row>
    <row r="607" spans="1:10" x14ac:dyDescent="0.3">
      <c r="A607" t="s">
        <v>678</v>
      </c>
      <c r="B607">
        <v>31</v>
      </c>
      <c r="G607">
        <v>456</v>
      </c>
      <c r="H607">
        <v>2453</v>
      </c>
      <c r="I607">
        <v>2608</v>
      </c>
    </row>
    <row r="608" spans="1:10" x14ac:dyDescent="0.3">
      <c r="A608" t="s">
        <v>42</v>
      </c>
      <c r="B608">
        <v>31</v>
      </c>
      <c r="G608">
        <v>25</v>
      </c>
      <c r="H608">
        <v>45</v>
      </c>
      <c r="I608">
        <v>45</v>
      </c>
    </row>
    <row r="609" spans="1:10" x14ac:dyDescent="0.3">
      <c r="A609" t="s">
        <v>679</v>
      </c>
      <c r="B609">
        <v>31</v>
      </c>
      <c r="G609">
        <v>12.4</v>
      </c>
      <c r="H609">
        <v>37.200000000000003</v>
      </c>
      <c r="I609">
        <v>39.5</v>
      </c>
    </row>
    <row r="610" spans="1:10" x14ac:dyDescent="0.3">
      <c r="A610" t="s">
        <v>41</v>
      </c>
      <c r="B610">
        <v>31</v>
      </c>
      <c r="G610">
        <v>0</v>
      </c>
      <c r="H610">
        <v>0</v>
      </c>
      <c r="I610">
        <v>0</v>
      </c>
    </row>
    <row r="611" spans="1:10" x14ac:dyDescent="0.3">
      <c r="A611" t="s">
        <v>680</v>
      </c>
      <c r="B611">
        <v>31</v>
      </c>
      <c r="G611">
        <v>24</v>
      </c>
      <c r="H611">
        <v>24</v>
      </c>
      <c r="I611">
        <v>24</v>
      </c>
    </row>
    <row r="612" spans="1:10" x14ac:dyDescent="0.3">
      <c r="A612" t="s">
        <v>563</v>
      </c>
      <c r="B612">
        <v>31</v>
      </c>
      <c r="G612">
        <v>0</v>
      </c>
      <c r="H612">
        <v>0</v>
      </c>
      <c r="I612">
        <v>0</v>
      </c>
    </row>
    <row r="613" spans="1:10" x14ac:dyDescent="0.3">
      <c r="A613" t="s">
        <v>681</v>
      </c>
      <c r="B613">
        <v>31</v>
      </c>
      <c r="G613">
        <v>0</v>
      </c>
      <c r="H613">
        <v>0</v>
      </c>
      <c r="I613">
        <v>0</v>
      </c>
    </row>
    <row r="614" spans="1:10" x14ac:dyDescent="0.3">
      <c r="A614" t="s">
        <v>682</v>
      </c>
      <c r="B614">
        <v>31</v>
      </c>
      <c r="G614">
        <v>16</v>
      </c>
      <c r="H614">
        <v>16</v>
      </c>
      <c r="I614">
        <v>16</v>
      </c>
    </row>
    <row r="615" spans="1:10" x14ac:dyDescent="0.3">
      <c r="A615" t="s">
        <v>683</v>
      </c>
      <c r="B615">
        <v>31</v>
      </c>
      <c r="G615">
        <v>583</v>
      </c>
      <c r="H615">
        <v>583</v>
      </c>
      <c r="I615">
        <v>583</v>
      </c>
    </row>
    <row r="616" spans="1:10" x14ac:dyDescent="0.3">
      <c r="A616" t="s">
        <v>684</v>
      </c>
      <c r="B616">
        <v>31</v>
      </c>
      <c r="G616">
        <v>1101</v>
      </c>
      <c r="H616">
        <v>1980</v>
      </c>
      <c r="I616">
        <v>1980</v>
      </c>
    </row>
    <row r="617" spans="1:10" x14ac:dyDescent="0.3">
      <c r="A617" t="s">
        <v>685</v>
      </c>
      <c r="B617">
        <v>31</v>
      </c>
      <c r="G617">
        <v>734</v>
      </c>
      <c r="H617">
        <v>1320</v>
      </c>
      <c r="I617">
        <v>1320</v>
      </c>
    </row>
    <row r="618" spans="1:10" x14ac:dyDescent="0.3">
      <c r="A618" t="s">
        <v>686</v>
      </c>
      <c r="B618">
        <v>31</v>
      </c>
      <c r="G618">
        <v>1468</v>
      </c>
      <c r="H618">
        <v>2640</v>
      </c>
      <c r="I618">
        <v>2640</v>
      </c>
    </row>
    <row r="619" spans="1:10" x14ac:dyDescent="0.3">
      <c r="A619" t="s">
        <v>687</v>
      </c>
      <c r="B619">
        <v>31</v>
      </c>
    </row>
    <row r="620" spans="1:10" x14ac:dyDescent="0.3">
      <c r="A620" t="s">
        <v>688</v>
      </c>
      <c r="B620">
        <v>31</v>
      </c>
    </row>
    <row r="621" spans="1:10" x14ac:dyDescent="0.3">
      <c r="A621" t="s">
        <v>689</v>
      </c>
      <c r="B621">
        <v>31</v>
      </c>
    </row>
    <row r="622" spans="1:10" x14ac:dyDescent="0.3">
      <c r="A622" t="s">
        <v>690</v>
      </c>
      <c r="B622">
        <v>31</v>
      </c>
      <c r="G622" t="b">
        <v>0</v>
      </c>
      <c r="H622" t="b">
        <v>0</v>
      </c>
      <c r="I622" t="b">
        <v>0</v>
      </c>
    </row>
    <row r="623" spans="1:10" x14ac:dyDescent="0.3">
      <c r="A623" t="s">
        <v>691</v>
      </c>
      <c r="B623">
        <v>31</v>
      </c>
      <c r="G623" t="b">
        <v>0</v>
      </c>
      <c r="H623" t="b">
        <v>0</v>
      </c>
      <c r="I623" t="b">
        <v>0</v>
      </c>
    </row>
    <row r="624" spans="1:10" x14ac:dyDescent="0.3">
      <c r="A624" t="s">
        <v>677</v>
      </c>
      <c r="B624">
        <v>32</v>
      </c>
      <c r="J624">
        <v>31</v>
      </c>
    </row>
    <row r="625" spans="1:10" x14ac:dyDescent="0.3">
      <c r="A625" t="s">
        <v>36</v>
      </c>
      <c r="B625">
        <v>32</v>
      </c>
      <c r="J625">
        <v>2</v>
      </c>
    </row>
    <row r="626" spans="1:10" x14ac:dyDescent="0.3">
      <c r="A626" t="s">
        <v>503</v>
      </c>
      <c r="B626">
        <v>32</v>
      </c>
      <c r="J626" t="s">
        <v>756</v>
      </c>
    </row>
    <row r="627" spans="1:10" x14ac:dyDescent="0.3">
      <c r="A627" t="s">
        <v>678</v>
      </c>
      <c r="B627">
        <v>32</v>
      </c>
      <c r="J627">
        <v>456</v>
      </c>
    </row>
    <row r="628" spans="1:10" x14ac:dyDescent="0.3">
      <c r="A628" t="s">
        <v>42</v>
      </c>
      <c r="B628">
        <v>32</v>
      </c>
      <c r="J628">
        <v>30</v>
      </c>
    </row>
    <row r="629" spans="1:10" x14ac:dyDescent="0.3">
      <c r="A629" t="s">
        <v>679</v>
      </c>
      <c r="B629">
        <v>32</v>
      </c>
      <c r="J629">
        <v>10.4</v>
      </c>
    </row>
    <row r="630" spans="1:10" x14ac:dyDescent="0.3">
      <c r="A630" t="s">
        <v>41</v>
      </c>
      <c r="B630">
        <v>32</v>
      </c>
      <c r="J630">
        <v>0</v>
      </c>
    </row>
    <row r="631" spans="1:10" x14ac:dyDescent="0.3">
      <c r="A631" t="s">
        <v>680</v>
      </c>
      <c r="B631">
        <v>32</v>
      </c>
      <c r="J631">
        <v>12</v>
      </c>
    </row>
    <row r="632" spans="1:10" x14ac:dyDescent="0.3">
      <c r="A632" t="s">
        <v>563</v>
      </c>
      <c r="B632">
        <v>32</v>
      </c>
      <c r="J632">
        <v>0</v>
      </c>
    </row>
    <row r="633" spans="1:10" x14ac:dyDescent="0.3">
      <c r="A633" t="s">
        <v>681</v>
      </c>
      <c r="B633">
        <v>32</v>
      </c>
      <c r="J633">
        <v>0</v>
      </c>
    </row>
    <row r="634" spans="1:10" x14ac:dyDescent="0.3">
      <c r="A634" t="s">
        <v>682</v>
      </c>
      <c r="B634">
        <v>32</v>
      </c>
      <c r="J634">
        <v>16</v>
      </c>
    </row>
    <row r="635" spans="1:10" x14ac:dyDescent="0.3">
      <c r="A635" t="s">
        <v>683</v>
      </c>
      <c r="B635">
        <v>32</v>
      </c>
      <c r="J635">
        <v>200</v>
      </c>
    </row>
    <row r="636" spans="1:10" x14ac:dyDescent="0.3">
      <c r="A636" t="s">
        <v>684</v>
      </c>
      <c r="B636">
        <v>32</v>
      </c>
      <c r="J636">
        <v>1320</v>
      </c>
    </row>
    <row r="637" spans="1:10" x14ac:dyDescent="0.3">
      <c r="A637" t="s">
        <v>685</v>
      </c>
      <c r="B637">
        <v>32</v>
      </c>
      <c r="J637">
        <v>880</v>
      </c>
    </row>
    <row r="638" spans="1:10" x14ac:dyDescent="0.3">
      <c r="A638" t="s">
        <v>686</v>
      </c>
      <c r="B638">
        <v>32</v>
      </c>
      <c r="J638">
        <v>1760</v>
      </c>
    </row>
    <row r="639" spans="1:10" x14ac:dyDescent="0.3">
      <c r="A639" t="s">
        <v>687</v>
      </c>
      <c r="B639">
        <v>32</v>
      </c>
    </row>
    <row r="640" spans="1:10" x14ac:dyDescent="0.3">
      <c r="A640" t="s">
        <v>688</v>
      </c>
      <c r="B640">
        <v>32</v>
      </c>
    </row>
    <row r="641" spans="1:10" x14ac:dyDescent="0.3">
      <c r="A641" t="s">
        <v>689</v>
      </c>
      <c r="B641">
        <v>32</v>
      </c>
    </row>
    <row r="642" spans="1:10" x14ac:dyDescent="0.3">
      <c r="A642" t="s">
        <v>690</v>
      </c>
      <c r="B642">
        <v>32</v>
      </c>
      <c r="J642" t="b">
        <v>0</v>
      </c>
    </row>
    <row r="643" spans="1:10" x14ac:dyDescent="0.3">
      <c r="A643" t="s">
        <v>691</v>
      </c>
      <c r="B643">
        <v>32</v>
      </c>
      <c r="J643" t="b">
        <v>0</v>
      </c>
    </row>
    <row r="644" spans="1:10" x14ac:dyDescent="0.3">
      <c r="A644" t="s">
        <v>677</v>
      </c>
      <c r="B644">
        <v>33</v>
      </c>
      <c r="G644">
        <v>35</v>
      </c>
      <c r="H644">
        <v>31</v>
      </c>
      <c r="I644">
        <v>34</v>
      </c>
    </row>
    <row r="645" spans="1:10" x14ac:dyDescent="0.3">
      <c r="A645" t="s">
        <v>36</v>
      </c>
      <c r="B645">
        <v>33</v>
      </c>
      <c r="G645">
        <v>2</v>
      </c>
      <c r="H645">
        <v>4</v>
      </c>
      <c r="I645">
        <v>4</v>
      </c>
    </row>
    <row r="646" spans="1:10" x14ac:dyDescent="0.3">
      <c r="A646" t="s">
        <v>503</v>
      </c>
      <c r="B646">
        <v>33</v>
      </c>
      <c r="G646" t="s">
        <v>757</v>
      </c>
      <c r="H646" t="s">
        <v>741</v>
      </c>
      <c r="I646" t="s">
        <v>741</v>
      </c>
    </row>
    <row r="647" spans="1:10" x14ac:dyDescent="0.3">
      <c r="A647" t="s">
        <v>678</v>
      </c>
      <c r="B647">
        <v>33</v>
      </c>
      <c r="G647">
        <v>375</v>
      </c>
      <c r="H647">
        <v>2608</v>
      </c>
      <c r="I647">
        <v>1440</v>
      </c>
    </row>
    <row r="648" spans="1:10" x14ac:dyDescent="0.3">
      <c r="A648" t="s">
        <v>42</v>
      </c>
      <c r="B648">
        <v>33</v>
      </c>
      <c r="G648">
        <v>25</v>
      </c>
      <c r="H648">
        <v>45</v>
      </c>
      <c r="I648">
        <v>45</v>
      </c>
    </row>
    <row r="649" spans="1:10" x14ac:dyDescent="0.3">
      <c r="A649" t="s">
        <v>679</v>
      </c>
      <c r="B649">
        <v>33</v>
      </c>
      <c r="G649">
        <v>10.199999999999999</v>
      </c>
      <c r="H649">
        <v>39.5</v>
      </c>
      <c r="I649">
        <v>21.8</v>
      </c>
    </row>
    <row r="650" spans="1:10" x14ac:dyDescent="0.3">
      <c r="A650" t="s">
        <v>41</v>
      </c>
      <c r="B650">
        <v>33</v>
      </c>
      <c r="G650">
        <v>0</v>
      </c>
      <c r="H650">
        <v>0</v>
      </c>
      <c r="I650">
        <v>0</v>
      </c>
    </row>
    <row r="651" spans="1:10" x14ac:dyDescent="0.3">
      <c r="A651" t="s">
        <v>680</v>
      </c>
      <c r="B651">
        <v>33</v>
      </c>
      <c r="G651">
        <v>12</v>
      </c>
      <c r="H651">
        <v>24</v>
      </c>
      <c r="I651">
        <v>24</v>
      </c>
    </row>
    <row r="652" spans="1:10" x14ac:dyDescent="0.3">
      <c r="A652" t="s">
        <v>563</v>
      </c>
      <c r="B652">
        <v>33</v>
      </c>
      <c r="G652">
        <v>0</v>
      </c>
      <c r="H652">
        <v>0</v>
      </c>
      <c r="I652">
        <v>0</v>
      </c>
    </row>
    <row r="653" spans="1:10" x14ac:dyDescent="0.3">
      <c r="A653" t="s">
        <v>681</v>
      </c>
      <c r="B653">
        <v>33</v>
      </c>
      <c r="G653">
        <v>1</v>
      </c>
      <c r="H653">
        <v>0</v>
      </c>
      <c r="I653">
        <v>0</v>
      </c>
    </row>
    <row r="654" spans="1:10" x14ac:dyDescent="0.3">
      <c r="A654" t="s">
        <v>682</v>
      </c>
      <c r="B654">
        <v>33</v>
      </c>
      <c r="G654">
        <v>16</v>
      </c>
      <c r="H654">
        <v>16</v>
      </c>
      <c r="I654">
        <v>16</v>
      </c>
    </row>
    <row r="655" spans="1:10" x14ac:dyDescent="0.3">
      <c r="A655" t="s">
        <v>683</v>
      </c>
      <c r="B655">
        <v>33</v>
      </c>
      <c r="G655">
        <v>583</v>
      </c>
      <c r="H655">
        <v>583</v>
      </c>
      <c r="I655">
        <v>583</v>
      </c>
    </row>
    <row r="656" spans="1:10" x14ac:dyDescent="0.3">
      <c r="A656" t="s">
        <v>684</v>
      </c>
      <c r="B656">
        <v>33</v>
      </c>
      <c r="G656">
        <v>1101</v>
      </c>
      <c r="H656">
        <v>1980</v>
      </c>
      <c r="I656">
        <v>1980</v>
      </c>
    </row>
    <row r="657" spans="1:10" x14ac:dyDescent="0.3">
      <c r="A657" t="s">
        <v>685</v>
      </c>
      <c r="B657">
        <v>33</v>
      </c>
      <c r="G657">
        <v>734</v>
      </c>
      <c r="H657">
        <v>1320</v>
      </c>
      <c r="I657">
        <v>1320</v>
      </c>
    </row>
    <row r="658" spans="1:10" x14ac:dyDescent="0.3">
      <c r="A658" t="s">
        <v>686</v>
      </c>
      <c r="B658">
        <v>33</v>
      </c>
      <c r="G658">
        <v>1468</v>
      </c>
      <c r="H658">
        <v>2640</v>
      </c>
      <c r="I658">
        <v>2640</v>
      </c>
    </row>
    <row r="659" spans="1:10" x14ac:dyDescent="0.3">
      <c r="A659" t="s">
        <v>687</v>
      </c>
      <c r="B659">
        <v>33</v>
      </c>
    </row>
    <row r="660" spans="1:10" x14ac:dyDescent="0.3">
      <c r="A660" t="s">
        <v>688</v>
      </c>
      <c r="B660">
        <v>33</v>
      </c>
    </row>
    <row r="661" spans="1:10" x14ac:dyDescent="0.3">
      <c r="A661" t="s">
        <v>689</v>
      </c>
      <c r="B661">
        <v>33</v>
      </c>
    </row>
    <row r="662" spans="1:10" x14ac:dyDescent="0.3">
      <c r="A662" t="s">
        <v>690</v>
      </c>
      <c r="B662">
        <v>33</v>
      </c>
      <c r="G662" t="b">
        <v>0</v>
      </c>
      <c r="H662" t="b">
        <v>0</v>
      </c>
      <c r="I662" t="b">
        <v>0</v>
      </c>
    </row>
    <row r="663" spans="1:10" x14ac:dyDescent="0.3">
      <c r="A663" t="s">
        <v>691</v>
      </c>
      <c r="B663">
        <v>33</v>
      </c>
      <c r="G663" t="b">
        <v>0</v>
      </c>
      <c r="H663" t="b">
        <v>0</v>
      </c>
      <c r="I663" t="b">
        <v>0</v>
      </c>
    </row>
    <row r="664" spans="1:10" x14ac:dyDescent="0.3">
      <c r="A664" t="s">
        <v>677</v>
      </c>
      <c r="B664">
        <v>34</v>
      </c>
      <c r="G664">
        <v>37</v>
      </c>
      <c r="H664">
        <v>33</v>
      </c>
      <c r="I664">
        <v>36</v>
      </c>
      <c r="J664">
        <v>38</v>
      </c>
    </row>
    <row r="665" spans="1:10" x14ac:dyDescent="0.3">
      <c r="A665" t="s">
        <v>36</v>
      </c>
      <c r="B665">
        <v>34</v>
      </c>
      <c r="G665">
        <v>4</v>
      </c>
      <c r="H665">
        <v>6</v>
      </c>
      <c r="I665">
        <v>6</v>
      </c>
      <c r="J665">
        <v>4</v>
      </c>
    </row>
    <row r="666" spans="1:10" x14ac:dyDescent="0.3">
      <c r="A666" t="s">
        <v>503</v>
      </c>
      <c r="B666">
        <v>34</v>
      </c>
      <c r="G666" t="s">
        <v>758</v>
      </c>
      <c r="H666" t="s">
        <v>741</v>
      </c>
      <c r="I666" t="s">
        <v>741</v>
      </c>
      <c r="J666" t="s">
        <v>759</v>
      </c>
    </row>
    <row r="667" spans="1:10" x14ac:dyDescent="0.3">
      <c r="A667" t="s">
        <v>678</v>
      </c>
      <c r="B667">
        <v>34</v>
      </c>
      <c r="G667">
        <v>363</v>
      </c>
      <c r="H667">
        <v>1440</v>
      </c>
      <c r="I667">
        <v>6910</v>
      </c>
      <c r="J667">
        <v>590</v>
      </c>
    </row>
    <row r="668" spans="1:10" x14ac:dyDescent="0.3">
      <c r="A668" t="s">
        <v>42</v>
      </c>
      <c r="B668">
        <v>34</v>
      </c>
      <c r="G668">
        <v>35</v>
      </c>
      <c r="H668">
        <v>45</v>
      </c>
      <c r="I668">
        <v>45</v>
      </c>
      <c r="J668">
        <v>35</v>
      </c>
    </row>
    <row r="669" spans="1:10" x14ac:dyDescent="0.3">
      <c r="A669" t="s">
        <v>679</v>
      </c>
      <c r="B669">
        <v>34</v>
      </c>
      <c r="G669">
        <v>7.1</v>
      </c>
      <c r="H669">
        <v>21.8</v>
      </c>
      <c r="I669">
        <v>104.7</v>
      </c>
      <c r="J669">
        <v>11.5</v>
      </c>
    </row>
    <row r="670" spans="1:10" x14ac:dyDescent="0.3">
      <c r="A670" t="s">
        <v>41</v>
      </c>
      <c r="B670">
        <v>34</v>
      </c>
      <c r="G670">
        <v>0</v>
      </c>
      <c r="H670">
        <v>0</v>
      </c>
      <c r="I670">
        <v>0</v>
      </c>
      <c r="J670">
        <v>0</v>
      </c>
    </row>
    <row r="671" spans="1:10" x14ac:dyDescent="0.3">
      <c r="A671" t="s">
        <v>680</v>
      </c>
      <c r="B671">
        <v>34</v>
      </c>
      <c r="G671">
        <v>24</v>
      </c>
      <c r="H671">
        <v>24</v>
      </c>
      <c r="I671">
        <v>24</v>
      </c>
      <c r="J671">
        <v>24</v>
      </c>
    </row>
    <row r="672" spans="1:10" x14ac:dyDescent="0.3">
      <c r="A672" t="s">
        <v>563</v>
      </c>
      <c r="B672">
        <v>34</v>
      </c>
      <c r="G672">
        <v>0</v>
      </c>
      <c r="H672">
        <v>0</v>
      </c>
      <c r="I672">
        <v>0</v>
      </c>
      <c r="J672">
        <v>0</v>
      </c>
    </row>
    <row r="673" spans="1:10" x14ac:dyDescent="0.3">
      <c r="A673" t="s">
        <v>681</v>
      </c>
      <c r="B673">
        <v>34</v>
      </c>
      <c r="G673">
        <v>0</v>
      </c>
      <c r="H673">
        <v>0</v>
      </c>
      <c r="I673">
        <v>0</v>
      </c>
      <c r="J673">
        <v>0</v>
      </c>
    </row>
    <row r="674" spans="1:10" x14ac:dyDescent="0.3">
      <c r="A674" t="s">
        <v>682</v>
      </c>
      <c r="B674">
        <v>34</v>
      </c>
      <c r="G674">
        <v>16</v>
      </c>
      <c r="H674">
        <v>16</v>
      </c>
      <c r="I674">
        <v>16</v>
      </c>
      <c r="J674">
        <v>16</v>
      </c>
    </row>
    <row r="675" spans="1:10" x14ac:dyDescent="0.3">
      <c r="A675" t="s">
        <v>683</v>
      </c>
      <c r="B675">
        <v>34</v>
      </c>
      <c r="G675">
        <v>583</v>
      </c>
      <c r="H675">
        <v>583</v>
      </c>
      <c r="I675">
        <v>583</v>
      </c>
      <c r="J675">
        <v>583</v>
      </c>
    </row>
    <row r="676" spans="1:10" x14ac:dyDescent="0.3">
      <c r="A676" t="s">
        <v>684</v>
      </c>
      <c r="B676">
        <v>34</v>
      </c>
      <c r="G676">
        <v>1539</v>
      </c>
      <c r="H676">
        <v>1980</v>
      </c>
      <c r="I676">
        <v>1980</v>
      </c>
      <c r="J676">
        <v>1539</v>
      </c>
    </row>
    <row r="677" spans="1:10" x14ac:dyDescent="0.3">
      <c r="A677" t="s">
        <v>685</v>
      </c>
      <c r="B677">
        <v>34</v>
      </c>
      <c r="G677">
        <v>1026</v>
      </c>
      <c r="H677">
        <v>1320</v>
      </c>
      <c r="I677">
        <v>1320</v>
      </c>
      <c r="J677">
        <v>1026</v>
      </c>
    </row>
    <row r="678" spans="1:10" x14ac:dyDescent="0.3">
      <c r="A678" t="s">
        <v>686</v>
      </c>
      <c r="B678">
        <v>34</v>
      </c>
      <c r="G678">
        <v>2052</v>
      </c>
      <c r="H678">
        <v>2640</v>
      </c>
      <c r="I678">
        <v>2640</v>
      </c>
      <c r="J678">
        <v>2052</v>
      </c>
    </row>
    <row r="679" spans="1:10" x14ac:dyDescent="0.3">
      <c r="A679" t="s">
        <v>687</v>
      </c>
      <c r="B679">
        <v>34</v>
      </c>
      <c r="I679">
        <v>-379224</v>
      </c>
    </row>
    <row r="680" spans="1:10" x14ac:dyDescent="0.3">
      <c r="A680" t="s">
        <v>688</v>
      </c>
      <c r="B680">
        <v>34</v>
      </c>
      <c r="I680">
        <v>33055</v>
      </c>
    </row>
    <row r="681" spans="1:10" x14ac:dyDescent="0.3">
      <c r="A681" t="s">
        <v>689</v>
      </c>
      <c r="B681">
        <v>34</v>
      </c>
      <c r="I681">
        <v>0</v>
      </c>
    </row>
    <row r="682" spans="1:10" x14ac:dyDescent="0.3">
      <c r="A682" t="s">
        <v>690</v>
      </c>
      <c r="B682">
        <v>34</v>
      </c>
      <c r="G682" t="b">
        <v>0</v>
      </c>
      <c r="H682" t="b">
        <v>0</v>
      </c>
      <c r="I682" t="b">
        <v>0</v>
      </c>
      <c r="J682" t="b">
        <v>0</v>
      </c>
    </row>
    <row r="683" spans="1:10" x14ac:dyDescent="0.3">
      <c r="A683" t="s">
        <v>691</v>
      </c>
      <c r="B683">
        <v>34</v>
      </c>
      <c r="G683" t="b">
        <v>0</v>
      </c>
      <c r="H683" t="b">
        <v>0</v>
      </c>
      <c r="I683" t="b">
        <v>0</v>
      </c>
      <c r="J683" t="b">
        <v>0</v>
      </c>
    </row>
    <row r="684" spans="1:10" x14ac:dyDescent="0.3">
      <c r="A684" t="s">
        <v>677</v>
      </c>
      <c r="B684">
        <v>35</v>
      </c>
      <c r="J684">
        <v>33</v>
      </c>
    </row>
    <row r="685" spans="1:10" x14ac:dyDescent="0.3">
      <c r="A685" t="s">
        <v>36</v>
      </c>
      <c r="B685">
        <v>35</v>
      </c>
      <c r="J685">
        <v>1</v>
      </c>
    </row>
    <row r="686" spans="1:10" x14ac:dyDescent="0.3">
      <c r="A686" t="s">
        <v>503</v>
      </c>
      <c r="B686">
        <v>35</v>
      </c>
      <c r="J686" t="s">
        <v>757</v>
      </c>
    </row>
    <row r="687" spans="1:10" x14ac:dyDescent="0.3">
      <c r="A687" t="s">
        <v>678</v>
      </c>
      <c r="B687">
        <v>35</v>
      </c>
      <c r="J687">
        <v>375</v>
      </c>
    </row>
    <row r="688" spans="1:10" x14ac:dyDescent="0.3">
      <c r="A688" t="s">
        <v>42</v>
      </c>
      <c r="B688">
        <v>35</v>
      </c>
      <c r="J688">
        <v>30</v>
      </c>
    </row>
    <row r="689" spans="1:10" x14ac:dyDescent="0.3">
      <c r="A689" t="s">
        <v>679</v>
      </c>
      <c r="B689">
        <v>35</v>
      </c>
      <c r="J689">
        <v>8.5</v>
      </c>
    </row>
    <row r="690" spans="1:10" x14ac:dyDescent="0.3">
      <c r="A690" t="s">
        <v>41</v>
      </c>
      <c r="B690">
        <v>35</v>
      </c>
      <c r="J690">
        <v>0</v>
      </c>
    </row>
    <row r="691" spans="1:10" x14ac:dyDescent="0.3">
      <c r="A691" t="s">
        <v>680</v>
      </c>
      <c r="B691">
        <v>35</v>
      </c>
      <c r="J691">
        <v>12</v>
      </c>
    </row>
    <row r="692" spans="1:10" x14ac:dyDescent="0.3">
      <c r="A692" t="s">
        <v>563</v>
      </c>
      <c r="B692">
        <v>35</v>
      </c>
      <c r="J692">
        <v>0</v>
      </c>
    </row>
    <row r="693" spans="1:10" x14ac:dyDescent="0.3">
      <c r="A693" t="s">
        <v>681</v>
      </c>
      <c r="B693">
        <v>35</v>
      </c>
      <c r="J693">
        <v>1</v>
      </c>
    </row>
    <row r="694" spans="1:10" x14ac:dyDescent="0.3">
      <c r="A694" t="s">
        <v>682</v>
      </c>
      <c r="B694">
        <v>35</v>
      </c>
      <c r="J694">
        <v>16</v>
      </c>
    </row>
    <row r="695" spans="1:10" x14ac:dyDescent="0.3">
      <c r="A695" t="s">
        <v>683</v>
      </c>
      <c r="B695">
        <v>35</v>
      </c>
      <c r="J695">
        <v>200</v>
      </c>
    </row>
    <row r="696" spans="1:10" x14ac:dyDescent="0.3">
      <c r="A696" t="s">
        <v>684</v>
      </c>
      <c r="B696">
        <v>35</v>
      </c>
      <c r="J696">
        <v>1320</v>
      </c>
    </row>
    <row r="697" spans="1:10" x14ac:dyDescent="0.3">
      <c r="A697" t="s">
        <v>685</v>
      </c>
      <c r="B697">
        <v>35</v>
      </c>
      <c r="J697">
        <v>880</v>
      </c>
    </row>
    <row r="698" spans="1:10" x14ac:dyDescent="0.3">
      <c r="A698" t="s">
        <v>686</v>
      </c>
      <c r="B698">
        <v>35</v>
      </c>
      <c r="J698">
        <v>1760</v>
      </c>
    </row>
    <row r="699" spans="1:10" x14ac:dyDescent="0.3">
      <c r="A699" t="s">
        <v>687</v>
      </c>
      <c r="B699">
        <v>35</v>
      </c>
    </row>
    <row r="700" spans="1:10" x14ac:dyDescent="0.3">
      <c r="A700" t="s">
        <v>688</v>
      </c>
      <c r="B700">
        <v>35</v>
      </c>
    </row>
    <row r="701" spans="1:10" x14ac:dyDescent="0.3">
      <c r="A701" t="s">
        <v>689</v>
      </c>
      <c r="B701">
        <v>35</v>
      </c>
    </row>
    <row r="702" spans="1:10" x14ac:dyDescent="0.3">
      <c r="A702" t="s">
        <v>690</v>
      </c>
      <c r="B702">
        <v>35</v>
      </c>
      <c r="J702" t="b">
        <v>0</v>
      </c>
    </row>
    <row r="703" spans="1:10" x14ac:dyDescent="0.3">
      <c r="A703" t="s">
        <v>691</v>
      </c>
      <c r="B703">
        <v>35</v>
      </c>
      <c r="J703" t="b">
        <v>0</v>
      </c>
    </row>
    <row r="704" spans="1:10" x14ac:dyDescent="0.3">
      <c r="A704" t="s">
        <v>677</v>
      </c>
      <c r="B704">
        <v>36</v>
      </c>
      <c r="G704">
        <v>40</v>
      </c>
      <c r="H704">
        <v>34</v>
      </c>
      <c r="I704">
        <v>39</v>
      </c>
      <c r="J704">
        <v>41</v>
      </c>
    </row>
    <row r="705" spans="1:10" x14ac:dyDescent="0.3">
      <c r="A705" t="s">
        <v>36</v>
      </c>
      <c r="B705">
        <v>36</v>
      </c>
      <c r="G705">
        <v>4</v>
      </c>
      <c r="H705">
        <v>6</v>
      </c>
      <c r="I705">
        <v>6</v>
      </c>
      <c r="J705">
        <v>3</v>
      </c>
    </row>
    <row r="706" spans="1:10" x14ac:dyDescent="0.3">
      <c r="A706" t="s">
        <v>503</v>
      </c>
      <c r="B706">
        <v>36</v>
      </c>
      <c r="G706" t="s">
        <v>760</v>
      </c>
      <c r="H706" t="s">
        <v>741</v>
      </c>
      <c r="I706" t="s">
        <v>741</v>
      </c>
      <c r="J706" t="s">
        <v>761</v>
      </c>
    </row>
    <row r="707" spans="1:10" x14ac:dyDescent="0.3">
      <c r="A707" t="s">
        <v>678</v>
      </c>
      <c r="B707">
        <v>36</v>
      </c>
      <c r="G707">
        <v>640</v>
      </c>
      <c r="H707">
        <v>6910</v>
      </c>
      <c r="I707">
        <v>5039</v>
      </c>
      <c r="J707">
        <v>378</v>
      </c>
    </row>
    <row r="708" spans="1:10" x14ac:dyDescent="0.3">
      <c r="A708" t="s">
        <v>42</v>
      </c>
      <c r="B708">
        <v>36</v>
      </c>
      <c r="G708">
        <v>35</v>
      </c>
      <c r="H708">
        <v>45</v>
      </c>
      <c r="I708">
        <v>55</v>
      </c>
      <c r="J708">
        <v>35</v>
      </c>
    </row>
    <row r="709" spans="1:10" x14ac:dyDescent="0.3">
      <c r="A709" t="s">
        <v>679</v>
      </c>
      <c r="B709">
        <v>36</v>
      </c>
      <c r="G709">
        <v>12.5</v>
      </c>
      <c r="H709">
        <v>104.7</v>
      </c>
      <c r="I709">
        <v>62.5</v>
      </c>
      <c r="J709">
        <v>7.4</v>
      </c>
    </row>
    <row r="710" spans="1:10" x14ac:dyDescent="0.3">
      <c r="A710" t="s">
        <v>41</v>
      </c>
      <c r="B710">
        <v>36</v>
      </c>
      <c r="G710">
        <v>0</v>
      </c>
      <c r="H710">
        <v>0</v>
      </c>
      <c r="I710">
        <v>0</v>
      </c>
      <c r="J710">
        <v>0</v>
      </c>
    </row>
    <row r="711" spans="1:10" x14ac:dyDescent="0.3">
      <c r="A711" t="s">
        <v>680</v>
      </c>
      <c r="B711">
        <v>36</v>
      </c>
      <c r="G711">
        <v>12</v>
      </c>
      <c r="H711">
        <v>24</v>
      </c>
      <c r="I711">
        <v>24</v>
      </c>
      <c r="J711">
        <v>12</v>
      </c>
    </row>
    <row r="712" spans="1:10" x14ac:dyDescent="0.3">
      <c r="A712" t="s">
        <v>563</v>
      </c>
      <c r="B712">
        <v>36</v>
      </c>
      <c r="G712">
        <v>0</v>
      </c>
      <c r="H712">
        <v>0</v>
      </c>
      <c r="I712">
        <v>0</v>
      </c>
      <c r="J712">
        <v>0</v>
      </c>
    </row>
    <row r="713" spans="1:10" x14ac:dyDescent="0.3">
      <c r="A713" t="s">
        <v>681</v>
      </c>
      <c r="B713">
        <v>36</v>
      </c>
      <c r="G713">
        <v>0</v>
      </c>
      <c r="H713">
        <v>0</v>
      </c>
      <c r="I713">
        <v>0</v>
      </c>
      <c r="J713">
        <v>0</v>
      </c>
    </row>
    <row r="714" spans="1:10" x14ac:dyDescent="0.3">
      <c r="A714" t="s">
        <v>682</v>
      </c>
      <c r="B714">
        <v>36</v>
      </c>
      <c r="G714">
        <v>16</v>
      </c>
      <c r="H714">
        <v>16</v>
      </c>
      <c r="I714">
        <v>16</v>
      </c>
      <c r="J714">
        <v>16</v>
      </c>
    </row>
    <row r="715" spans="1:10" x14ac:dyDescent="0.3">
      <c r="A715" t="s">
        <v>683</v>
      </c>
      <c r="B715">
        <v>36</v>
      </c>
      <c r="G715">
        <v>583</v>
      </c>
      <c r="H715">
        <v>583</v>
      </c>
      <c r="I715">
        <v>583</v>
      </c>
      <c r="J715">
        <v>583</v>
      </c>
    </row>
    <row r="716" spans="1:10" x14ac:dyDescent="0.3">
      <c r="A716" t="s">
        <v>684</v>
      </c>
      <c r="B716">
        <v>36</v>
      </c>
      <c r="G716">
        <v>1539</v>
      </c>
      <c r="H716">
        <v>1980</v>
      </c>
      <c r="I716">
        <v>2421</v>
      </c>
      <c r="J716">
        <v>1539</v>
      </c>
    </row>
    <row r="717" spans="1:10" x14ac:dyDescent="0.3">
      <c r="A717" t="s">
        <v>685</v>
      </c>
      <c r="B717">
        <v>36</v>
      </c>
      <c r="G717">
        <v>1026</v>
      </c>
      <c r="H717">
        <v>1320</v>
      </c>
      <c r="I717">
        <v>1614</v>
      </c>
      <c r="J717">
        <v>1026</v>
      </c>
    </row>
    <row r="718" spans="1:10" x14ac:dyDescent="0.3">
      <c r="A718" t="s">
        <v>686</v>
      </c>
      <c r="B718">
        <v>36</v>
      </c>
      <c r="G718">
        <v>2052</v>
      </c>
      <c r="H718">
        <v>2640</v>
      </c>
      <c r="I718">
        <v>3228</v>
      </c>
      <c r="J718">
        <v>2052</v>
      </c>
    </row>
    <row r="719" spans="1:10" x14ac:dyDescent="0.3">
      <c r="A719" t="s">
        <v>687</v>
      </c>
      <c r="B719">
        <v>36</v>
      </c>
      <c r="H719">
        <v>-380938</v>
      </c>
    </row>
    <row r="720" spans="1:10" x14ac:dyDescent="0.3">
      <c r="A720" t="s">
        <v>688</v>
      </c>
      <c r="B720">
        <v>36</v>
      </c>
      <c r="H720">
        <v>34593</v>
      </c>
    </row>
    <row r="721" spans="1:10" x14ac:dyDescent="0.3">
      <c r="A721" t="s">
        <v>689</v>
      </c>
      <c r="B721">
        <v>36</v>
      </c>
      <c r="H721">
        <v>0</v>
      </c>
    </row>
    <row r="722" spans="1:10" x14ac:dyDescent="0.3">
      <c r="A722" t="s">
        <v>690</v>
      </c>
      <c r="B722">
        <v>36</v>
      </c>
      <c r="G722" t="b">
        <v>0</v>
      </c>
      <c r="H722" t="b">
        <v>0</v>
      </c>
      <c r="I722" t="b">
        <v>0</v>
      </c>
      <c r="J722" t="b">
        <v>0</v>
      </c>
    </row>
    <row r="723" spans="1:10" x14ac:dyDescent="0.3">
      <c r="A723" t="s">
        <v>691</v>
      </c>
      <c r="B723">
        <v>36</v>
      </c>
      <c r="G723" t="b">
        <v>0</v>
      </c>
      <c r="H723" t="b">
        <v>0</v>
      </c>
      <c r="I723" t="b">
        <v>0</v>
      </c>
      <c r="J723" t="b">
        <v>0</v>
      </c>
    </row>
    <row r="724" spans="1:10" x14ac:dyDescent="0.3">
      <c r="A724" t="s">
        <v>677</v>
      </c>
      <c r="B724">
        <v>37</v>
      </c>
      <c r="J724">
        <v>34</v>
      </c>
    </row>
    <row r="725" spans="1:10" x14ac:dyDescent="0.3">
      <c r="A725" t="s">
        <v>36</v>
      </c>
      <c r="B725">
        <v>37</v>
      </c>
      <c r="J725" t="s">
        <v>693</v>
      </c>
    </row>
    <row r="726" spans="1:10" x14ac:dyDescent="0.3">
      <c r="A726" t="s">
        <v>503</v>
      </c>
      <c r="B726">
        <v>37</v>
      </c>
      <c r="J726" t="s">
        <v>758</v>
      </c>
    </row>
    <row r="727" spans="1:10" x14ac:dyDescent="0.3">
      <c r="A727" t="s">
        <v>678</v>
      </c>
      <c r="B727">
        <v>37</v>
      </c>
      <c r="J727">
        <v>363</v>
      </c>
    </row>
    <row r="728" spans="1:10" x14ac:dyDescent="0.3">
      <c r="A728" t="s">
        <v>42</v>
      </c>
      <c r="B728">
        <v>37</v>
      </c>
      <c r="J728">
        <v>35</v>
      </c>
    </row>
    <row r="729" spans="1:10" x14ac:dyDescent="0.3">
      <c r="A729" t="s">
        <v>679</v>
      </c>
      <c r="B729">
        <v>37</v>
      </c>
      <c r="J729">
        <v>7.1</v>
      </c>
    </row>
    <row r="730" spans="1:10" x14ac:dyDescent="0.3">
      <c r="A730" t="s">
        <v>41</v>
      </c>
      <c r="B730">
        <v>37</v>
      </c>
      <c r="J730">
        <v>0</v>
      </c>
    </row>
    <row r="731" spans="1:10" x14ac:dyDescent="0.3">
      <c r="A731" t="s">
        <v>680</v>
      </c>
      <c r="B731">
        <v>37</v>
      </c>
      <c r="J731">
        <v>12</v>
      </c>
    </row>
    <row r="732" spans="1:10" x14ac:dyDescent="0.3">
      <c r="A732" t="s">
        <v>563</v>
      </c>
      <c r="B732">
        <v>37</v>
      </c>
      <c r="J732">
        <v>0</v>
      </c>
    </row>
    <row r="733" spans="1:10" x14ac:dyDescent="0.3">
      <c r="A733" t="s">
        <v>681</v>
      </c>
      <c r="B733">
        <v>37</v>
      </c>
      <c r="J733">
        <v>0</v>
      </c>
    </row>
    <row r="734" spans="1:10" x14ac:dyDescent="0.3">
      <c r="A734" t="s">
        <v>682</v>
      </c>
      <c r="B734">
        <v>37</v>
      </c>
      <c r="J734">
        <v>16</v>
      </c>
    </row>
    <row r="735" spans="1:10" x14ac:dyDescent="0.3">
      <c r="A735" t="s">
        <v>683</v>
      </c>
      <c r="B735">
        <v>37</v>
      </c>
      <c r="J735">
        <v>200</v>
      </c>
    </row>
    <row r="736" spans="1:10" x14ac:dyDescent="0.3">
      <c r="A736" t="s">
        <v>684</v>
      </c>
      <c r="B736">
        <v>37</v>
      </c>
      <c r="J736">
        <v>1539</v>
      </c>
    </row>
    <row r="737" spans="1:10" x14ac:dyDescent="0.3">
      <c r="A737" t="s">
        <v>685</v>
      </c>
      <c r="B737">
        <v>37</v>
      </c>
      <c r="J737">
        <v>1026</v>
      </c>
    </row>
    <row r="738" spans="1:10" x14ac:dyDescent="0.3">
      <c r="A738" t="s">
        <v>686</v>
      </c>
      <c r="B738">
        <v>37</v>
      </c>
      <c r="J738">
        <v>2052</v>
      </c>
    </row>
    <row r="739" spans="1:10" x14ac:dyDescent="0.3">
      <c r="A739" t="s">
        <v>687</v>
      </c>
      <c r="B739">
        <v>37</v>
      </c>
    </row>
    <row r="740" spans="1:10" x14ac:dyDescent="0.3">
      <c r="A740" t="s">
        <v>688</v>
      </c>
      <c r="B740">
        <v>37</v>
      </c>
    </row>
    <row r="741" spans="1:10" x14ac:dyDescent="0.3">
      <c r="A741" t="s">
        <v>689</v>
      </c>
      <c r="B741">
        <v>37</v>
      </c>
    </row>
    <row r="742" spans="1:10" x14ac:dyDescent="0.3">
      <c r="A742" t="s">
        <v>690</v>
      </c>
      <c r="B742">
        <v>37</v>
      </c>
      <c r="J742" t="b">
        <v>0</v>
      </c>
    </row>
    <row r="743" spans="1:10" x14ac:dyDescent="0.3">
      <c r="A743" t="s">
        <v>691</v>
      </c>
      <c r="B743">
        <v>37</v>
      </c>
      <c r="J743" t="b">
        <v>0</v>
      </c>
    </row>
    <row r="744" spans="1:10" x14ac:dyDescent="0.3">
      <c r="A744" t="s">
        <v>677</v>
      </c>
      <c r="B744">
        <v>38</v>
      </c>
      <c r="G744">
        <v>34</v>
      </c>
    </row>
    <row r="745" spans="1:10" x14ac:dyDescent="0.3">
      <c r="A745" t="s">
        <v>36</v>
      </c>
      <c r="B745">
        <v>38</v>
      </c>
      <c r="G745" t="s">
        <v>693</v>
      </c>
    </row>
    <row r="746" spans="1:10" x14ac:dyDescent="0.3">
      <c r="A746" t="s">
        <v>503</v>
      </c>
      <c r="B746">
        <v>38</v>
      </c>
      <c r="G746" t="s">
        <v>759</v>
      </c>
    </row>
    <row r="747" spans="1:10" x14ac:dyDescent="0.3">
      <c r="A747" t="s">
        <v>678</v>
      </c>
      <c r="B747">
        <v>38</v>
      </c>
      <c r="G747">
        <v>590</v>
      </c>
    </row>
    <row r="748" spans="1:10" x14ac:dyDescent="0.3">
      <c r="A748" t="s">
        <v>42</v>
      </c>
      <c r="B748">
        <v>38</v>
      </c>
      <c r="G748">
        <v>30</v>
      </c>
    </row>
    <row r="749" spans="1:10" x14ac:dyDescent="0.3">
      <c r="A749" t="s">
        <v>679</v>
      </c>
      <c r="B749">
        <v>38</v>
      </c>
      <c r="G749">
        <v>13.4</v>
      </c>
    </row>
    <row r="750" spans="1:10" x14ac:dyDescent="0.3">
      <c r="A750" t="s">
        <v>41</v>
      </c>
      <c r="B750">
        <v>38</v>
      </c>
      <c r="G750">
        <v>0</v>
      </c>
    </row>
    <row r="751" spans="1:10" x14ac:dyDescent="0.3">
      <c r="A751" t="s">
        <v>680</v>
      </c>
      <c r="B751">
        <v>38</v>
      </c>
      <c r="G751">
        <v>12</v>
      </c>
    </row>
    <row r="752" spans="1:10" x14ac:dyDescent="0.3">
      <c r="A752" t="s">
        <v>563</v>
      </c>
      <c r="B752">
        <v>38</v>
      </c>
      <c r="G752">
        <v>0</v>
      </c>
    </row>
    <row r="753" spans="1:9" x14ac:dyDescent="0.3">
      <c r="A753" t="s">
        <v>681</v>
      </c>
      <c r="B753">
        <v>38</v>
      </c>
      <c r="G753">
        <v>0</v>
      </c>
    </row>
    <row r="754" spans="1:9" x14ac:dyDescent="0.3">
      <c r="A754" t="s">
        <v>682</v>
      </c>
      <c r="B754">
        <v>38</v>
      </c>
      <c r="G754">
        <v>16</v>
      </c>
    </row>
    <row r="755" spans="1:9" x14ac:dyDescent="0.3">
      <c r="A755" t="s">
        <v>683</v>
      </c>
      <c r="B755">
        <v>38</v>
      </c>
      <c r="G755">
        <v>200</v>
      </c>
    </row>
    <row r="756" spans="1:9" x14ac:dyDescent="0.3">
      <c r="A756" t="s">
        <v>684</v>
      </c>
      <c r="B756">
        <v>38</v>
      </c>
      <c r="G756">
        <v>1320</v>
      </c>
    </row>
    <row r="757" spans="1:9" x14ac:dyDescent="0.3">
      <c r="A757" t="s">
        <v>685</v>
      </c>
      <c r="B757">
        <v>38</v>
      </c>
      <c r="G757">
        <v>880</v>
      </c>
    </row>
    <row r="758" spans="1:9" x14ac:dyDescent="0.3">
      <c r="A758" t="s">
        <v>686</v>
      </c>
      <c r="B758">
        <v>38</v>
      </c>
      <c r="G758">
        <v>1760</v>
      </c>
    </row>
    <row r="759" spans="1:9" x14ac:dyDescent="0.3">
      <c r="A759" t="s">
        <v>687</v>
      </c>
      <c r="B759">
        <v>38</v>
      </c>
    </row>
    <row r="760" spans="1:9" x14ac:dyDescent="0.3">
      <c r="A760" t="s">
        <v>688</v>
      </c>
      <c r="B760">
        <v>38</v>
      </c>
    </row>
    <row r="761" spans="1:9" x14ac:dyDescent="0.3">
      <c r="A761" t="s">
        <v>689</v>
      </c>
      <c r="B761">
        <v>38</v>
      </c>
    </row>
    <row r="762" spans="1:9" x14ac:dyDescent="0.3">
      <c r="A762" t="s">
        <v>690</v>
      </c>
      <c r="B762">
        <v>38</v>
      </c>
      <c r="G762" t="b">
        <v>0</v>
      </c>
    </row>
    <row r="763" spans="1:9" x14ac:dyDescent="0.3">
      <c r="A763" t="s">
        <v>691</v>
      </c>
      <c r="B763">
        <v>38</v>
      </c>
      <c r="G763" t="b">
        <v>0</v>
      </c>
    </row>
    <row r="764" spans="1:9" x14ac:dyDescent="0.3">
      <c r="A764" t="s">
        <v>677</v>
      </c>
      <c r="B764">
        <v>39</v>
      </c>
      <c r="G764">
        <v>42</v>
      </c>
      <c r="H764">
        <v>36</v>
      </c>
      <c r="I764">
        <v>43</v>
      </c>
    </row>
    <row r="765" spans="1:9" x14ac:dyDescent="0.3">
      <c r="A765" t="s">
        <v>36</v>
      </c>
      <c r="B765">
        <v>39</v>
      </c>
      <c r="G765">
        <v>3</v>
      </c>
      <c r="H765">
        <v>5</v>
      </c>
      <c r="I765">
        <v>4</v>
      </c>
    </row>
    <row r="766" spans="1:9" x14ac:dyDescent="0.3">
      <c r="A766" t="s">
        <v>503</v>
      </c>
      <c r="B766">
        <v>39</v>
      </c>
      <c r="G766" t="s">
        <v>762</v>
      </c>
      <c r="H766" t="s">
        <v>741</v>
      </c>
      <c r="I766" t="s">
        <v>741</v>
      </c>
    </row>
    <row r="767" spans="1:9" x14ac:dyDescent="0.3">
      <c r="A767" t="s">
        <v>678</v>
      </c>
      <c r="B767">
        <v>39</v>
      </c>
      <c r="G767">
        <v>610</v>
      </c>
      <c r="H767">
        <v>5039</v>
      </c>
      <c r="I767">
        <v>1361</v>
      </c>
    </row>
    <row r="768" spans="1:9" x14ac:dyDescent="0.3">
      <c r="A768" t="s">
        <v>42</v>
      </c>
      <c r="B768">
        <v>39</v>
      </c>
      <c r="G768">
        <v>45</v>
      </c>
      <c r="H768">
        <v>55</v>
      </c>
      <c r="I768">
        <v>55</v>
      </c>
    </row>
    <row r="769" spans="1:10" x14ac:dyDescent="0.3">
      <c r="A769" t="s">
        <v>679</v>
      </c>
      <c r="B769">
        <v>39</v>
      </c>
      <c r="G769">
        <v>9.1999999999999993</v>
      </c>
      <c r="H769">
        <v>62.5</v>
      </c>
      <c r="I769">
        <v>16.899999999999999</v>
      </c>
    </row>
    <row r="770" spans="1:10" x14ac:dyDescent="0.3">
      <c r="A770" t="s">
        <v>41</v>
      </c>
      <c r="B770">
        <v>39</v>
      </c>
      <c r="G770">
        <v>0</v>
      </c>
      <c r="H770">
        <v>0</v>
      </c>
      <c r="I770">
        <v>0</v>
      </c>
    </row>
    <row r="771" spans="1:10" x14ac:dyDescent="0.3">
      <c r="A771" t="s">
        <v>680</v>
      </c>
      <c r="B771">
        <v>39</v>
      </c>
      <c r="G771">
        <v>24</v>
      </c>
      <c r="H771">
        <v>24</v>
      </c>
      <c r="I771">
        <v>24</v>
      </c>
    </row>
    <row r="772" spans="1:10" x14ac:dyDescent="0.3">
      <c r="A772" t="s">
        <v>563</v>
      </c>
      <c r="B772">
        <v>39</v>
      </c>
      <c r="G772">
        <v>0</v>
      </c>
      <c r="H772">
        <v>0</v>
      </c>
      <c r="I772">
        <v>0</v>
      </c>
    </row>
    <row r="773" spans="1:10" x14ac:dyDescent="0.3">
      <c r="A773" t="s">
        <v>681</v>
      </c>
      <c r="B773">
        <v>39</v>
      </c>
      <c r="G773">
        <v>0</v>
      </c>
      <c r="H773">
        <v>0</v>
      </c>
      <c r="I773">
        <v>0</v>
      </c>
    </row>
    <row r="774" spans="1:10" x14ac:dyDescent="0.3">
      <c r="A774" t="s">
        <v>682</v>
      </c>
      <c r="B774">
        <v>39</v>
      </c>
      <c r="G774">
        <v>16</v>
      </c>
      <c r="H774">
        <v>16</v>
      </c>
      <c r="I774">
        <v>16</v>
      </c>
    </row>
    <row r="775" spans="1:10" x14ac:dyDescent="0.3">
      <c r="A775" t="s">
        <v>683</v>
      </c>
      <c r="B775">
        <v>39</v>
      </c>
      <c r="G775">
        <v>583</v>
      </c>
      <c r="H775">
        <v>583</v>
      </c>
      <c r="I775">
        <v>583</v>
      </c>
    </row>
    <row r="776" spans="1:10" x14ac:dyDescent="0.3">
      <c r="A776" t="s">
        <v>684</v>
      </c>
      <c r="B776">
        <v>39</v>
      </c>
      <c r="G776">
        <v>1980</v>
      </c>
      <c r="H776">
        <v>2421</v>
      </c>
      <c r="I776">
        <v>2421</v>
      </c>
    </row>
    <row r="777" spans="1:10" x14ac:dyDescent="0.3">
      <c r="A777" t="s">
        <v>685</v>
      </c>
      <c r="B777">
        <v>39</v>
      </c>
      <c r="G777">
        <v>1320</v>
      </c>
      <c r="H777">
        <v>1614</v>
      </c>
      <c r="I777">
        <v>1614</v>
      </c>
    </row>
    <row r="778" spans="1:10" x14ac:dyDescent="0.3">
      <c r="A778" t="s">
        <v>686</v>
      </c>
      <c r="B778">
        <v>39</v>
      </c>
      <c r="G778">
        <v>2640</v>
      </c>
      <c r="H778">
        <v>3228</v>
      </c>
      <c r="I778">
        <v>3228</v>
      </c>
    </row>
    <row r="779" spans="1:10" x14ac:dyDescent="0.3">
      <c r="A779" t="s">
        <v>687</v>
      </c>
      <c r="B779">
        <v>39</v>
      </c>
    </row>
    <row r="780" spans="1:10" x14ac:dyDescent="0.3">
      <c r="A780" t="s">
        <v>688</v>
      </c>
      <c r="B780">
        <v>39</v>
      </c>
    </row>
    <row r="781" spans="1:10" x14ac:dyDescent="0.3">
      <c r="A781" t="s">
        <v>689</v>
      </c>
      <c r="B781">
        <v>39</v>
      </c>
    </row>
    <row r="782" spans="1:10" x14ac:dyDescent="0.3">
      <c r="A782" t="s">
        <v>690</v>
      </c>
      <c r="B782">
        <v>39</v>
      </c>
      <c r="G782" t="b">
        <v>0</v>
      </c>
      <c r="H782" t="b">
        <v>0</v>
      </c>
      <c r="I782" t="b">
        <v>0</v>
      </c>
    </row>
    <row r="783" spans="1:10" x14ac:dyDescent="0.3">
      <c r="A783" t="s">
        <v>691</v>
      </c>
      <c r="B783">
        <v>39</v>
      </c>
      <c r="G783" t="b">
        <v>0</v>
      </c>
      <c r="H783" t="b">
        <v>0</v>
      </c>
      <c r="I783" t="b">
        <v>0</v>
      </c>
    </row>
    <row r="784" spans="1:10" x14ac:dyDescent="0.3">
      <c r="A784" t="s">
        <v>677</v>
      </c>
      <c r="B784">
        <v>40</v>
      </c>
      <c r="J784">
        <v>36</v>
      </c>
    </row>
    <row r="785" spans="1:10" x14ac:dyDescent="0.3">
      <c r="A785" t="s">
        <v>36</v>
      </c>
      <c r="B785">
        <v>40</v>
      </c>
      <c r="J785">
        <v>2</v>
      </c>
    </row>
    <row r="786" spans="1:10" x14ac:dyDescent="0.3">
      <c r="A786" t="s">
        <v>503</v>
      </c>
      <c r="B786">
        <v>40</v>
      </c>
      <c r="J786" t="s">
        <v>760</v>
      </c>
    </row>
    <row r="787" spans="1:10" x14ac:dyDescent="0.3">
      <c r="A787" t="s">
        <v>678</v>
      </c>
      <c r="B787">
        <v>40</v>
      </c>
      <c r="J787">
        <v>640</v>
      </c>
    </row>
    <row r="788" spans="1:10" x14ac:dyDescent="0.3">
      <c r="A788" t="s">
        <v>42</v>
      </c>
      <c r="B788">
        <v>40</v>
      </c>
      <c r="J788">
        <v>30</v>
      </c>
    </row>
    <row r="789" spans="1:10" x14ac:dyDescent="0.3">
      <c r="A789" t="s">
        <v>679</v>
      </c>
      <c r="B789">
        <v>40</v>
      </c>
      <c r="J789">
        <v>14.5</v>
      </c>
    </row>
    <row r="790" spans="1:10" x14ac:dyDescent="0.3">
      <c r="A790" t="s">
        <v>41</v>
      </c>
      <c r="B790">
        <v>40</v>
      </c>
      <c r="J790">
        <v>0</v>
      </c>
    </row>
    <row r="791" spans="1:10" x14ac:dyDescent="0.3">
      <c r="A791" t="s">
        <v>680</v>
      </c>
      <c r="B791">
        <v>40</v>
      </c>
      <c r="J791">
        <v>12</v>
      </c>
    </row>
    <row r="792" spans="1:10" x14ac:dyDescent="0.3">
      <c r="A792" t="s">
        <v>563</v>
      </c>
      <c r="B792">
        <v>40</v>
      </c>
      <c r="J792">
        <v>0</v>
      </c>
    </row>
    <row r="793" spans="1:10" x14ac:dyDescent="0.3">
      <c r="A793" t="s">
        <v>681</v>
      </c>
      <c r="B793">
        <v>40</v>
      </c>
      <c r="J793">
        <v>0</v>
      </c>
    </row>
    <row r="794" spans="1:10" x14ac:dyDescent="0.3">
      <c r="A794" t="s">
        <v>682</v>
      </c>
      <c r="B794">
        <v>40</v>
      </c>
      <c r="J794">
        <v>16</v>
      </c>
    </row>
    <row r="795" spans="1:10" x14ac:dyDescent="0.3">
      <c r="A795" t="s">
        <v>683</v>
      </c>
      <c r="B795">
        <v>40</v>
      </c>
      <c r="J795">
        <v>200</v>
      </c>
    </row>
    <row r="796" spans="1:10" x14ac:dyDescent="0.3">
      <c r="A796" t="s">
        <v>684</v>
      </c>
      <c r="B796">
        <v>40</v>
      </c>
      <c r="J796">
        <v>1320</v>
      </c>
    </row>
    <row r="797" spans="1:10" x14ac:dyDescent="0.3">
      <c r="A797" t="s">
        <v>685</v>
      </c>
      <c r="B797">
        <v>40</v>
      </c>
      <c r="J797">
        <v>880</v>
      </c>
    </row>
    <row r="798" spans="1:10" x14ac:dyDescent="0.3">
      <c r="A798" t="s">
        <v>686</v>
      </c>
      <c r="B798">
        <v>40</v>
      </c>
      <c r="J798">
        <v>1760</v>
      </c>
    </row>
    <row r="799" spans="1:10" x14ac:dyDescent="0.3">
      <c r="A799" t="s">
        <v>687</v>
      </c>
      <c r="B799">
        <v>40</v>
      </c>
    </row>
    <row r="800" spans="1:10" x14ac:dyDescent="0.3">
      <c r="A800" t="s">
        <v>688</v>
      </c>
      <c r="B800">
        <v>40</v>
      </c>
    </row>
    <row r="801" spans="1:10" x14ac:dyDescent="0.3">
      <c r="A801" t="s">
        <v>689</v>
      </c>
      <c r="B801">
        <v>40</v>
      </c>
    </row>
    <row r="802" spans="1:10" x14ac:dyDescent="0.3">
      <c r="A802" t="s">
        <v>690</v>
      </c>
      <c r="B802">
        <v>40</v>
      </c>
      <c r="J802" t="b">
        <v>0</v>
      </c>
    </row>
    <row r="803" spans="1:10" x14ac:dyDescent="0.3">
      <c r="A803" t="s">
        <v>691</v>
      </c>
      <c r="B803">
        <v>40</v>
      </c>
      <c r="J803" t="b">
        <v>0</v>
      </c>
    </row>
    <row r="804" spans="1:10" x14ac:dyDescent="0.3">
      <c r="A804" t="s">
        <v>677</v>
      </c>
      <c r="B804">
        <v>41</v>
      </c>
      <c r="G804">
        <v>36</v>
      </c>
    </row>
    <row r="805" spans="1:10" x14ac:dyDescent="0.3">
      <c r="A805" t="s">
        <v>36</v>
      </c>
      <c r="B805">
        <v>41</v>
      </c>
      <c r="G805">
        <v>2</v>
      </c>
    </row>
    <row r="806" spans="1:10" x14ac:dyDescent="0.3">
      <c r="A806" t="s">
        <v>503</v>
      </c>
      <c r="B806">
        <v>41</v>
      </c>
      <c r="G806" t="s">
        <v>761</v>
      </c>
    </row>
    <row r="807" spans="1:10" x14ac:dyDescent="0.3">
      <c r="A807" t="s">
        <v>678</v>
      </c>
      <c r="B807">
        <v>41</v>
      </c>
      <c r="G807">
        <v>378</v>
      </c>
    </row>
    <row r="808" spans="1:10" x14ac:dyDescent="0.3">
      <c r="A808" t="s">
        <v>42</v>
      </c>
      <c r="B808">
        <v>41</v>
      </c>
      <c r="G808">
        <v>35</v>
      </c>
    </row>
    <row r="809" spans="1:10" x14ac:dyDescent="0.3">
      <c r="A809" t="s">
        <v>679</v>
      </c>
      <c r="B809">
        <v>41</v>
      </c>
      <c r="G809">
        <v>7.4</v>
      </c>
    </row>
    <row r="810" spans="1:10" x14ac:dyDescent="0.3">
      <c r="A810" t="s">
        <v>41</v>
      </c>
      <c r="B810">
        <v>41</v>
      </c>
      <c r="G810">
        <v>0</v>
      </c>
    </row>
    <row r="811" spans="1:10" x14ac:dyDescent="0.3">
      <c r="A811" t="s">
        <v>680</v>
      </c>
      <c r="B811">
        <v>41</v>
      </c>
      <c r="G811">
        <v>12</v>
      </c>
    </row>
    <row r="812" spans="1:10" x14ac:dyDescent="0.3">
      <c r="A812" t="s">
        <v>563</v>
      </c>
      <c r="B812">
        <v>41</v>
      </c>
      <c r="G812">
        <v>0</v>
      </c>
    </row>
    <row r="813" spans="1:10" x14ac:dyDescent="0.3">
      <c r="A813" t="s">
        <v>681</v>
      </c>
      <c r="B813">
        <v>41</v>
      </c>
      <c r="G813">
        <v>0</v>
      </c>
    </row>
    <row r="814" spans="1:10" x14ac:dyDescent="0.3">
      <c r="A814" t="s">
        <v>682</v>
      </c>
      <c r="B814">
        <v>41</v>
      </c>
      <c r="G814">
        <v>16</v>
      </c>
    </row>
    <row r="815" spans="1:10" x14ac:dyDescent="0.3">
      <c r="A815" t="s">
        <v>683</v>
      </c>
      <c r="B815">
        <v>41</v>
      </c>
      <c r="G815">
        <v>200</v>
      </c>
    </row>
    <row r="816" spans="1:10" x14ac:dyDescent="0.3">
      <c r="A816" t="s">
        <v>684</v>
      </c>
      <c r="B816">
        <v>41</v>
      </c>
      <c r="G816">
        <v>1539</v>
      </c>
    </row>
    <row r="817" spans="1:10" x14ac:dyDescent="0.3">
      <c r="A817" t="s">
        <v>685</v>
      </c>
      <c r="B817">
        <v>41</v>
      </c>
      <c r="G817">
        <v>1026</v>
      </c>
    </row>
    <row r="818" spans="1:10" x14ac:dyDescent="0.3">
      <c r="A818" t="s">
        <v>686</v>
      </c>
      <c r="B818">
        <v>41</v>
      </c>
      <c r="G818">
        <v>2052</v>
      </c>
    </row>
    <row r="819" spans="1:10" x14ac:dyDescent="0.3">
      <c r="A819" t="s">
        <v>687</v>
      </c>
      <c r="B819">
        <v>41</v>
      </c>
    </row>
    <row r="820" spans="1:10" x14ac:dyDescent="0.3">
      <c r="A820" t="s">
        <v>688</v>
      </c>
      <c r="B820">
        <v>41</v>
      </c>
    </row>
    <row r="821" spans="1:10" x14ac:dyDescent="0.3">
      <c r="A821" t="s">
        <v>689</v>
      </c>
      <c r="B821">
        <v>41</v>
      </c>
    </row>
    <row r="822" spans="1:10" x14ac:dyDescent="0.3">
      <c r="A822" t="s">
        <v>690</v>
      </c>
      <c r="B822">
        <v>41</v>
      </c>
      <c r="G822" t="b">
        <v>0</v>
      </c>
    </row>
    <row r="823" spans="1:10" x14ac:dyDescent="0.3">
      <c r="A823" t="s">
        <v>691</v>
      </c>
      <c r="B823">
        <v>41</v>
      </c>
      <c r="G823" t="b">
        <v>0</v>
      </c>
    </row>
    <row r="824" spans="1:10" x14ac:dyDescent="0.3">
      <c r="A824" t="s">
        <v>677</v>
      </c>
      <c r="B824">
        <v>42</v>
      </c>
      <c r="J824">
        <v>39</v>
      </c>
    </row>
    <row r="825" spans="1:10" x14ac:dyDescent="0.3">
      <c r="A825" t="s">
        <v>36</v>
      </c>
      <c r="B825">
        <v>42</v>
      </c>
      <c r="J825">
        <v>2</v>
      </c>
    </row>
    <row r="826" spans="1:10" x14ac:dyDescent="0.3">
      <c r="A826" t="s">
        <v>503</v>
      </c>
      <c r="B826">
        <v>42</v>
      </c>
      <c r="J826" t="s">
        <v>762</v>
      </c>
    </row>
    <row r="827" spans="1:10" x14ac:dyDescent="0.3">
      <c r="A827" t="s">
        <v>678</v>
      </c>
      <c r="B827">
        <v>42</v>
      </c>
      <c r="J827">
        <v>610</v>
      </c>
    </row>
    <row r="828" spans="1:10" x14ac:dyDescent="0.3">
      <c r="A828" t="s">
        <v>42</v>
      </c>
      <c r="B828">
        <v>42</v>
      </c>
      <c r="J828">
        <v>30</v>
      </c>
    </row>
    <row r="829" spans="1:10" x14ac:dyDescent="0.3">
      <c r="A829" t="s">
        <v>679</v>
      </c>
      <c r="B829">
        <v>42</v>
      </c>
      <c r="J829">
        <v>13.9</v>
      </c>
    </row>
    <row r="830" spans="1:10" x14ac:dyDescent="0.3">
      <c r="A830" t="s">
        <v>41</v>
      </c>
      <c r="B830">
        <v>42</v>
      </c>
      <c r="J830">
        <v>0</v>
      </c>
    </row>
    <row r="831" spans="1:10" x14ac:dyDescent="0.3">
      <c r="A831" t="s">
        <v>680</v>
      </c>
      <c r="B831">
        <v>42</v>
      </c>
      <c r="J831">
        <v>0</v>
      </c>
    </row>
    <row r="832" spans="1:10" x14ac:dyDescent="0.3">
      <c r="A832" t="s">
        <v>563</v>
      </c>
      <c r="B832">
        <v>42</v>
      </c>
      <c r="J832">
        <v>0</v>
      </c>
    </row>
    <row r="833" spans="1:10" x14ac:dyDescent="0.3">
      <c r="A833" t="s">
        <v>681</v>
      </c>
      <c r="B833">
        <v>42</v>
      </c>
      <c r="J833">
        <v>0</v>
      </c>
    </row>
    <row r="834" spans="1:10" x14ac:dyDescent="0.3">
      <c r="A834" t="s">
        <v>682</v>
      </c>
      <c r="B834">
        <v>42</v>
      </c>
      <c r="J834">
        <v>16</v>
      </c>
    </row>
    <row r="835" spans="1:10" x14ac:dyDescent="0.3">
      <c r="A835" t="s">
        <v>683</v>
      </c>
      <c r="B835">
        <v>42</v>
      </c>
      <c r="J835">
        <v>200</v>
      </c>
    </row>
    <row r="836" spans="1:10" x14ac:dyDescent="0.3">
      <c r="A836" t="s">
        <v>684</v>
      </c>
      <c r="B836">
        <v>42</v>
      </c>
      <c r="J836">
        <v>1320</v>
      </c>
    </row>
    <row r="837" spans="1:10" x14ac:dyDescent="0.3">
      <c r="A837" t="s">
        <v>685</v>
      </c>
      <c r="B837">
        <v>42</v>
      </c>
      <c r="J837">
        <v>880</v>
      </c>
    </row>
    <row r="838" spans="1:10" x14ac:dyDescent="0.3">
      <c r="A838" t="s">
        <v>686</v>
      </c>
      <c r="B838">
        <v>42</v>
      </c>
      <c r="J838">
        <v>1760</v>
      </c>
    </row>
    <row r="839" spans="1:10" x14ac:dyDescent="0.3">
      <c r="A839" t="s">
        <v>687</v>
      </c>
      <c r="B839">
        <v>42</v>
      </c>
    </row>
    <row r="840" spans="1:10" x14ac:dyDescent="0.3">
      <c r="A840" t="s">
        <v>688</v>
      </c>
      <c r="B840">
        <v>42</v>
      </c>
    </row>
    <row r="841" spans="1:10" x14ac:dyDescent="0.3">
      <c r="A841" t="s">
        <v>689</v>
      </c>
      <c r="B841">
        <v>42</v>
      </c>
    </row>
    <row r="842" spans="1:10" x14ac:dyDescent="0.3">
      <c r="A842" t="s">
        <v>690</v>
      </c>
      <c r="B842">
        <v>42</v>
      </c>
      <c r="J842" t="b">
        <v>0</v>
      </c>
    </row>
    <row r="843" spans="1:10" x14ac:dyDescent="0.3">
      <c r="A843" t="s">
        <v>691</v>
      </c>
      <c r="B843">
        <v>42</v>
      </c>
      <c r="J843" t="b">
        <v>0</v>
      </c>
    </row>
    <row r="844" spans="1:10" x14ac:dyDescent="0.3">
      <c r="A844" t="s">
        <v>677</v>
      </c>
      <c r="B844">
        <v>43</v>
      </c>
      <c r="G844">
        <v>45</v>
      </c>
      <c r="H844">
        <v>39</v>
      </c>
      <c r="I844">
        <v>44</v>
      </c>
    </row>
    <row r="845" spans="1:10" x14ac:dyDescent="0.3">
      <c r="A845" t="s">
        <v>36</v>
      </c>
      <c r="B845">
        <v>43</v>
      </c>
      <c r="G845">
        <v>3</v>
      </c>
      <c r="H845">
        <v>5</v>
      </c>
      <c r="I845">
        <v>4</v>
      </c>
    </row>
    <row r="846" spans="1:10" x14ac:dyDescent="0.3">
      <c r="A846" t="s">
        <v>503</v>
      </c>
      <c r="B846">
        <v>43</v>
      </c>
      <c r="G846" t="s">
        <v>763</v>
      </c>
      <c r="H846" t="s">
        <v>741</v>
      </c>
      <c r="I846" t="s">
        <v>741</v>
      </c>
    </row>
    <row r="847" spans="1:10" x14ac:dyDescent="0.3">
      <c r="A847" t="s">
        <v>678</v>
      </c>
      <c r="B847">
        <v>43</v>
      </c>
      <c r="G847">
        <v>666</v>
      </c>
      <c r="H847">
        <v>1361</v>
      </c>
      <c r="I847">
        <v>2677</v>
      </c>
    </row>
    <row r="848" spans="1:10" x14ac:dyDescent="0.3">
      <c r="A848" t="s">
        <v>42</v>
      </c>
      <c r="B848">
        <v>43</v>
      </c>
      <c r="G848">
        <v>45</v>
      </c>
      <c r="H848">
        <v>55</v>
      </c>
      <c r="I848">
        <v>55</v>
      </c>
    </row>
    <row r="849" spans="1:10" x14ac:dyDescent="0.3">
      <c r="A849" t="s">
        <v>679</v>
      </c>
      <c r="B849">
        <v>43</v>
      </c>
      <c r="G849">
        <v>10.1</v>
      </c>
      <c r="H849">
        <v>16.899999999999999</v>
      </c>
      <c r="I849">
        <v>33.200000000000003</v>
      </c>
    </row>
    <row r="850" spans="1:10" x14ac:dyDescent="0.3">
      <c r="A850" t="s">
        <v>41</v>
      </c>
      <c r="B850">
        <v>43</v>
      </c>
      <c r="G850">
        <v>0</v>
      </c>
      <c r="H850">
        <v>0</v>
      </c>
      <c r="I850">
        <v>0</v>
      </c>
    </row>
    <row r="851" spans="1:10" x14ac:dyDescent="0.3">
      <c r="A851" t="s">
        <v>680</v>
      </c>
      <c r="B851">
        <v>43</v>
      </c>
      <c r="G851">
        <v>24</v>
      </c>
      <c r="H851">
        <v>24</v>
      </c>
      <c r="I851">
        <v>24</v>
      </c>
    </row>
    <row r="852" spans="1:10" x14ac:dyDescent="0.3">
      <c r="A852" t="s">
        <v>563</v>
      </c>
      <c r="B852">
        <v>43</v>
      </c>
      <c r="G852">
        <v>0</v>
      </c>
      <c r="H852">
        <v>0</v>
      </c>
      <c r="I852">
        <v>0</v>
      </c>
    </row>
    <row r="853" spans="1:10" x14ac:dyDescent="0.3">
      <c r="A853" t="s">
        <v>681</v>
      </c>
      <c r="B853">
        <v>43</v>
      </c>
      <c r="G853">
        <v>0</v>
      </c>
      <c r="H853">
        <v>0</v>
      </c>
      <c r="I853">
        <v>0</v>
      </c>
    </row>
    <row r="854" spans="1:10" x14ac:dyDescent="0.3">
      <c r="A854" t="s">
        <v>682</v>
      </c>
      <c r="B854">
        <v>43</v>
      </c>
      <c r="G854">
        <v>16</v>
      </c>
      <c r="H854">
        <v>16</v>
      </c>
      <c r="I854">
        <v>16</v>
      </c>
    </row>
    <row r="855" spans="1:10" x14ac:dyDescent="0.3">
      <c r="A855" t="s">
        <v>683</v>
      </c>
      <c r="B855">
        <v>43</v>
      </c>
      <c r="G855">
        <v>583</v>
      </c>
      <c r="H855">
        <v>583</v>
      </c>
      <c r="I855">
        <v>583</v>
      </c>
    </row>
    <row r="856" spans="1:10" x14ac:dyDescent="0.3">
      <c r="A856" t="s">
        <v>684</v>
      </c>
      <c r="B856">
        <v>43</v>
      </c>
      <c r="G856">
        <v>1980</v>
      </c>
      <c r="H856">
        <v>2421</v>
      </c>
      <c r="I856">
        <v>2421</v>
      </c>
    </row>
    <row r="857" spans="1:10" x14ac:dyDescent="0.3">
      <c r="A857" t="s">
        <v>685</v>
      </c>
      <c r="B857">
        <v>43</v>
      </c>
      <c r="G857">
        <v>1320</v>
      </c>
      <c r="H857">
        <v>1614</v>
      </c>
      <c r="I857">
        <v>1614</v>
      </c>
    </row>
    <row r="858" spans="1:10" x14ac:dyDescent="0.3">
      <c r="A858" t="s">
        <v>686</v>
      </c>
      <c r="B858">
        <v>43</v>
      </c>
      <c r="G858">
        <v>2640</v>
      </c>
      <c r="H858">
        <v>3228</v>
      </c>
      <c r="I858">
        <v>3228</v>
      </c>
    </row>
    <row r="859" spans="1:10" x14ac:dyDescent="0.3">
      <c r="A859" t="s">
        <v>687</v>
      </c>
      <c r="B859">
        <v>43</v>
      </c>
    </row>
    <row r="860" spans="1:10" x14ac:dyDescent="0.3">
      <c r="A860" t="s">
        <v>688</v>
      </c>
      <c r="B860">
        <v>43</v>
      </c>
    </row>
    <row r="861" spans="1:10" x14ac:dyDescent="0.3">
      <c r="A861" t="s">
        <v>689</v>
      </c>
      <c r="B861">
        <v>43</v>
      </c>
    </row>
    <row r="862" spans="1:10" x14ac:dyDescent="0.3">
      <c r="A862" t="s">
        <v>690</v>
      </c>
      <c r="B862">
        <v>43</v>
      </c>
      <c r="G862" t="b">
        <v>0</v>
      </c>
      <c r="H862" t="b">
        <v>0</v>
      </c>
      <c r="I862" t="b">
        <v>0</v>
      </c>
    </row>
    <row r="863" spans="1:10" x14ac:dyDescent="0.3">
      <c r="A863" t="s">
        <v>691</v>
      </c>
      <c r="B863">
        <v>43</v>
      </c>
      <c r="G863" t="b">
        <v>0</v>
      </c>
      <c r="H863" t="b">
        <v>0</v>
      </c>
      <c r="I863" t="b">
        <v>0</v>
      </c>
    </row>
    <row r="864" spans="1:10" x14ac:dyDescent="0.3">
      <c r="A864" t="s">
        <v>677</v>
      </c>
      <c r="B864">
        <v>44</v>
      </c>
      <c r="G864">
        <v>51</v>
      </c>
      <c r="H864">
        <v>43</v>
      </c>
      <c r="I864">
        <v>52</v>
      </c>
      <c r="J864">
        <v>53</v>
      </c>
    </row>
    <row r="865" spans="1:10" x14ac:dyDescent="0.3">
      <c r="A865" t="s">
        <v>36</v>
      </c>
      <c r="B865">
        <v>44</v>
      </c>
      <c r="G865">
        <v>2</v>
      </c>
      <c r="H865">
        <v>4</v>
      </c>
      <c r="I865">
        <v>3</v>
      </c>
      <c r="J865">
        <v>4</v>
      </c>
    </row>
    <row r="866" spans="1:10" x14ac:dyDescent="0.3">
      <c r="A866" t="s">
        <v>503</v>
      </c>
      <c r="B866">
        <v>44</v>
      </c>
      <c r="G866" t="s">
        <v>764</v>
      </c>
      <c r="H866" t="s">
        <v>741</v>
      </c>
      <c r="I866" t="s">
        <v>741</v>
      </c>
      <c r="J866" t="s">
        <v>764</v>
      </c>
    </row>
    <row r="867" spans="1:10" x14ac:dyDescent="0.3">
      <c r="A867" t="s">
        <v>678</v>
      </c>
      <c r="B867">
        <v>44</v>
      </c>
      <c r="G867">
        <v>385</v>
      </c>
      <c r="H867">
        <v>2677</v>
      </c>
      <c r="I867">
        <v>809</v>
      </c>
      <c r="J867">
        <v>601</v>
      </c>
    </row>
    <row r="868" spans="1:10" x14ac:dyDescent="0.3">
      <c r="A868" t="s">
        <v>42</v>
      </c>
      <c r="B868">
        <v>44</v>
      </c>
      <c r="G868">
        <v>30</v>
      </c>
      <c r="H868">
        <v>55</v>
      </c>
      <c r="I868">
        <v>55</v>
      </c>
      <c r="J868">
        <v>45</v>
      </c>
    </row>
    <row r="869" spans="1:10" x14ac:dyDescent="0.3">
      <c r="A869" t="s">
        <v>679</v>
      </c>
      <c r="B869">
        <v>44</v>
      </c>
      <c r="G869">
        <v>8.8000000000000007</v>
      </c>
      <c r="H869">
        <v>33.200000000000003</v>
      </c>
      <c r="I869">
        <v>10</v>
      </c>
      <c r="J869">
        <v>9.1</v>
      </c>
    </row>
    <row r="870" spans="1:10" x14ac:dyDescent="0.3">
      <c r="A870" t="s">
        <v>41</v>
      </c>
      <c r="B870">
        <v>44</v>
      </c>
      <c r="G870">
        <v>0</v>
      </c>
      <c r="H870">
        <v>0</v>
      </c>
      <c r="I870">
        <v>0</v>
      </c>
      <c r="J870">
        <v>0</v>
      </c>
    </row>
    <row r="871" spans="1:10" x14ac:dyDescent="0.3">
      <c r="A871" t="s">
        <v>680</v>
      </c>
      <c r="B871">
        <v>44</v>
      </c>
      <c r="G871">
        <v>24</v>
      </c>
      <c r="H871">
        <v>12</v>
      </c>
      <c r="I871">
        <v>12</v>
      </c>
      <c r="J871">
        <v>24</v>
      </c>
    </row>
    <row r="872" spans="1:10" x14ac:dyDescent="0.3">
      <c r="A872" t="s">
        <v>563</v>
      </c>
      <c r="B872">
        <v>44</v>
      </c>
      <c r="G872">
        <v>0</v>
      </c>
      <c r="H872">
        <v>0</v>
      </c>
      <c r="I872">
        <v>0</v>
      </c>
      <c r="J872">
        <v>0</v>
      </c>
    </row>
    <row r="873" spans="1:10" x14ac:dyDescent="0.3">
      <c r="A873" t="s">
        <v>681</v>
      </c>
      <c r="B873">
        <v>44</v>
      </c>
      <c r="G873">
        <v>0</v>
      </c>
      <c r="H873">
        <v>0</v>
      </c>
      <c r="I873">
        <v>0</v>
      </c>
      <c r="J873">
        <v>0</v>
      </c>
    </row>
    <row r="874" spans="1:10" x14ac:dyDescent="0.3">
      <c r="A874" t="s">
        <v>682</v>
      </c>
      <c r="B874">
        <v>44</v>
      </c>
      <c r="G874">
        <v>16</v>
      </c>
      <c r="H874">
        <v>16</v>
      </c>
      <c r="I874">
        <v>16</v>
      </c>
      <c r="J874">
        <v>16</v>
      </c>
    </row>
    <row r="875" spans="1:10" x14ac:dyDescent="0.3">
      <c r="A875" t="s">
        <v>683</v>
      </c>
      <c r="B875">
        <v>44</v>
      </c>
      <c r="G875">
        <v>708</v>
      </c>
      <c r="H875">
        <v>708</v>
      </c>
      <c r="I875">
        <v>708</v>
      </c>
      <c r="J875">
        <v>708</v>
      </c>
    </row>
    <row r="876" spans="1:10" x14ac:dyDescent="0.3">
      <c r="A876" t="s">
        <v>684</v>
      </c>
      <c r="B876">
        <v>44</v>
      </c>
      <c r="G876">
        <v>1320</v>
      </c>
      <c r="H876">
        <v>2421</v>
      </c>
      <c r="I876">
        <v>2421</v>
      </c>
      <c r="J876">
        <v>1980</v>
      </c>
    </row>
    <row r="877" spans="1:10" x14ac:dyDescent="0.3">
      <c r="A877" t="s">
        <v>685</v>
      </c>
      <c r="B877">
        <v>44</v>
      </c>
      <c r="G877">
        <v>880</v>
      </c>
      <c r="H877">
        <v>1614</v>
      </c>
      <c r="I877">
        <v>1614</v>
      </c>
      <c r="J877">
        <v>1320</v>
      </c>
    </row>
    <row r="878" spans="1:10" x14ac:dyDescent="0.3">
      <c r="A878" t="s">
        <v>686</v>
      </c>
      <c r="B878">
        <v>44</v>
      </c>
      <c r="G878">
        <v>1760</v>
      </c>
      <c r="H878">
        <v>3228</v>
      </c>
      <c r="I878">
        <v>3228</v>
      </c>
      <c r="J878">
        <v>2640</v>
      </c>
    </row>
    <row r="879" spans="1:10" x14ac:dyDescent="0.3">
      <c r="A879" t="s">
        <v>687</v>
      </c>
      <c r="B879">
        <v>44</v>
      </c>
    </row>
    <row r="880" spans="1:10" x14ac:dyDescent="0.3">
      <c r="A880" t="s">
        <v>688</v>
      </c>
      <c r="B880">
        <v>44</v>
      </c>
    </row>
    <row r="881" spans="1:10" x14ac:dyDescent="0.3">
      <c r="A881" t="s">
        <v>689</v>
      </c>
      <c r="B881">
        <v>44</v>
      </c>
    </row>
    <row r="882" spans="1:10" x14ac:dyDescent="0.3">
      <c r="A882" t="s">
        <v>690</v>
      </c>
      <c r="B882">
        <v>44</v>
      </c>
      <c r="G882" t="b">
        <v>0</v>
      </c>
      <c r="H882" t="b">
        <v>0</v>
      </c>
      <c r="I882" t="b">
        <v>0</v>
      </c>
      <c r="J882" t="b">
        <v>0</v>
      </c>
    </row>
    <row r="883" spans="1:10" x14ac:dyDescent="0.3">
      <c r="A883" t="s">
        <v>691</v>
      </c>
      <c r="B883">
        <v>44</v>
      </c>
      <c r="G883" t="b">
        <v>0</v>
      </c>
      <c r="H883" t="b">
        <v>0</v>
      </c>
      <c r="I883" t="b">
        <v>0</v>
      </c>
      <c r="J883" t="b">
        <v>0</v>
      </c>
    </row>
    <row r="884" spans="1:10" x14ac:dyDescent="0.3">
      <c r="A884" t="s">
        <v>677</v>
      </c>
      <c r="B884">
        <v>45</v>
      </c>
      <c r="J884">
        <v>43</v>
      </c>
    </row>
    <row r="885" spans="1:10" x14ac:dyDescent="0.3">
      <c r="A885" t="s">
        <v>36</v>
      </c>
      <c r="B885">
        <v>45</v>
      </c>
      <c r="J885">
        <v>2</v>
      </c>
    </row>
    <row r="886" spans="1:10" x14ac:dyDescent="0.3">
      <c r="A886" t="s">
        <v>503</v>
      </c>
      <c r="B886">
        <v>45</v>
      </c>
      <c r="J886" t="s">
        <v>763</v>
      </c>
    </row>
    <row r="887" spans="1:10" x14ac:dyDescent="0.3">
      <c r="A887" t="s">
        <v>678</v>
      </c>
      <c r="B887">
        <v>45</v>
      </c>
      <c r="J887">
        <v>666</v>
      </c>
    </row>
    <row r="888" spans="1:10" x14ac:dyDescent="0.3">
      <c r="A888" t="s">
        <v>42</v>
      </c>
      <c r="B888">
        <v>45</v>
      </c>
      <c r="J888">
        <v>30</v>
      </c>
    </row>
    <row r="889" spans="1:10" x14ac:dyDescent="0.3">
      <c r="A889" t="s">
        <v>679</v>
      </c>
      <c r="B889">
        <v>45</v>
      </c>
      <c r="J889">
        <v>15.1</v>
      </c>
    </row>
    <row r="890" spans="1:10" x14ac:dyDescent="0.3">
      <c r="A890" t="s">
        <v>41</v>
      </c>
      <c r="B890">
        <v>45</v>
      </c>
      <c r="J890">
        <v>0</v>
      </c>
    </row>
    <row r="891" spans="1:10" x14ac:dyDescent="0.3">
      <c r="A891" t="s">
        <v>680</v>
      </c>
      <c r="B891">
        <v>45</v>
      </c>
      <c r="J891">
        <v>0</v>
      </c>
    </row>
    <row r="892" spans="1:10" x14ac:dyDescent="0.3">
      <c r="A892" t="s">
        <v>563</v>
      </c>
      <c r="B892">
        <v>45</v>
      </c>
      <c r="J892">
        <v>0</v>
      </c>
    </row>
    <row r="893" spans="1:10" x14ac:dyDescent="0.3">
      <c r="A893" t="s">
        <v>681</v>
      </c>
      <c r="B893">
        <v>45</v>
      </c>
      <c r="J893">
        <v>0</v>
      </c>
    </row>
    <row r="894" spans="1:10" x14ac:dyDescent="0.3">
      <c r="A894" t="s">
        <v>682</v>
      </c>
      <c r="B894">
        <v>45</v>
      </c>
      <c r="J894">
        <v>16</v>
      </c>
    </row>
    <row r="895" spans="1:10" x14ac:dyDescent="0.3">
      <c r="A895" t="s">
        <v>683</v>
      </c>
      <c r="B895">
        <v>45</v>
      </c>
      <c r="J895">
        <v>200</v>
      </c>
    </row>
    <row r="896" spans="1:10" x14ac:dyDescent="0.3">
      <c r="A896" t="s">
        <v>684</v>
      </c>
      <c r="B896">
        <v>45</v>
      </c>
      <c r="J896">
        <v>1320</v>
      </c>
    </row>
    <row r="897" spans="1:10" x14ac:dyDescent="0.3">
      <c r="A897" t="s">
        <v>685</v>
      </c>
      <c r="B897">
        <v>45</v>
      </c>
      <c r="J897">
        <v>880</v>
      </c>
    </row>
    <row r="898" spans="1:10" x14ac:dyDescent="0.3">
      <c r="A898" t="s">
        <v>686</v>
      </c>
      <c r="B898">
        <v>45</v>
      </c>
      <c r="J898">
        <v>1760</v>
      </c>
    </row>
    <row r="899" spans="1:10" x14ac:dyDescent="0.3">
      <c r="A899" t="s">
        <v>687</v>
      </c>
      <c r="B899">
        <v>45</v>
      </c>
    </row>
    <row r="900" spans="1:10" x14ac:dyDescent="0.3">
      <c r="A900" t="s">
        <v>688</v>
      </c>
      <c r="B900">
        <v>45</v>
      </c>
    </row>
    <row r="901" spans="1:10" x14ac:dyDescent="0.3">
      <c r="A901" t="s">
        <v>689</v>
      </c>
      <c r="B901">
        <v>45</v>
      </c>
    </row>
    <row r="902" spans="1:10" x14ac:dyDescent="0.3">
      <c r="A902" t="s">
        <v>690</v>
      </c>
      <c r="B902">
        <v>45</v>
      </c>
      <c r="J902" t="b">
        <v>0</v>
      </c>
    </row>
    <row r="903" spans="1:10" x14ac:dyDescent="0.3">
      <c r="A903" t="s">
        <v>691</v>
      </c>
      <c r="B903">
        <v>45</v>
      </c>
      <c r="J903" t="b">
        <v>0</v>
      </c>
    </row>
    <row r="904" spans="1:10" x14ac:dyDescent="0.3">
      <c r="A904" t="s">
        <v>677</v>
      </c>
      <c r="B904">
        <v>46</v>
      </c>
      <c r="G904">
        <v>47</v>
      </c>
      <c r="H904">
        <v>21</v>
      </c>
      <c r="I904">
        <v>28</v>
      </c>
    </row>
    <row r="905" spans="1:10" x14ac:dyDescent="0.3">
      <c r="A905" t="s">
        <v>36</v>
      </c>
      <c r="B905">
        <v>46</v>
      </c>
      <c r="G905">
        <v>3</v>
      </c>
      <c r="H905">
        <v>4</v>
      </c>
      <c r="I905">
        <v>4</v>
      </c>
    </row>
    <row r="906" spans="1:10" x14ac:dyDescent="0.3">
      <c r="A906" t="s">
        <v>503</v>
      </c>
      <c r="B906">
        <v>46</v>
      </c>
      <c r="G906" t="s">
        <v>765</v>
      </c>
      <c r="H906" t="s">
        <v>741</v>
      </c>
      <c r="I906" t="s">
        <v>741</v>
      </c>
    </row>
    <row r="907" spans="1:10" x14ac:dyDescent="0.3">
      <c r="A907" t="s">
        <v>678</v>
      </c>
      <c r="B907">
        <v>46</v>
      </c>
      <c r="G907">
        <v>276</v>
      </c>
      <c r="H907">
        <v>906</v>
      </c>
      <c r="I907">
        <v>1161</v>
      </c>
    </row>
    <row r="908" spans="1:10" x14ac:dyDescent="0.3">
      <c r="A908" t="s">
        <v>42</v>
      </c>
      <c r="B908">
        <v>46</v>
      </c>
      <c r="G908">
        <v>25</v>
      </c>
      <c r="H908">
        <v>45</v>
      </c>
      <c r="I908">
        <v>45</v>
      </c>
    </row>
    <row r="909" spans="1:10" x14ac:dyDescent="0.3">
      <c r="A909" t="s">
        <v>679</v>
      </c>
      <c r="B909">
        <v>46</v>
      </c>
      <c r="G909">
        <v>7.5</v>
      </c>
      <c r="H909">
        <v>13.7</v>
      </c>
      <c r="I909">
        <v>17.600000000000001</v>
      </c>
    </row>
    <row r="910" spans="1:10" x14ac:dyDescent="0.3">
      <c r="A910" t="s">
        <v>41</v>
      </c>
      <c r="B910">
        <v>46</v>
      </c>
      <c r="G910">
        <v>0</v>
      </c>
      <c r="H910">
        <v>0</v>
      </c>
      <c r="I910">
        <v>0</v>
      </c>
    </row>
    <row r="911" spans="1:10" x14ac:dyDescent="0.3">
      <c r="A911" t="s">
        <v>680</v>
      </c>
      <c r="B911">
        <v>46</v>
      </c>
      <c r="G911">
        <v>24</v>
      </c>
      <c r="H911">
        <v>24</v>
      </c>
      <c r="I911">
        <v>24</v>
      </c>
    </row>
    <row r="912" spans="1:10" x14ac:dyDescent="0.3">
      <c r="A912" t="s">
        <v>563</v>
      </c>
      <c r="B912">
        <v>46</v>
      </c>
      <c r="G912">
        <v>0</v>
      </c>
      <c r="H912">
        <v>0</v>
      </c>
      <c r="I912">
        <v>0</v>
      </c>
    </row>
    <row r="913" spans="1:10" x14ac:dyDescent="0.3">
      <c r="A913" t="s">
        <v>681</v>
      </c>
      <c r="B913">
        <v>46</v>
      </c>
      <c r="G913">
        <v>0</v>
      </c>
      <c r="H913">
        <v>0</v>
      </c>
      <c r="I913">
        <v>0</v>
      </c>
    </row>
    <row r="914" spans="1:10" x14ac:dyDescent="0.3">
      <c r="A914" t="s">
        <v>682</v>
      </c>
      <c r="B914">
        <v>46</v>
      </c>
      <c r="G914">
        <v>16</v>
      </c>
      <c r="H914">
        <v>16</v>
      </c>
      <c r="I914">
        <v>16</v>
      </c>
    </row>
    <row r="915" spans="1:10" x14ac:dyDescent="0.3">
      <c r="A915" t="s">
        <v>683</v>
      </c>
      <c r="B915">
        <v>46</v>
      </c>
      <c r="G915">
        <v>583</v>
      </c>
      <c r="H915">
        <v>583</v>
      </c>
      <c r="I915">
        <v>583</v>
      </c>
    </row>
    <row r="916" spans="1:10" x14ac:dyDescent="0.3">
      <c r="A916" t="s">
        <v>684</v>
      </c>
      <c r="B916">
        <v>46</v>
      </c>
      <c r="G916">
        <v>1101</v>
      </c>
      <c r="H916">
        <v>1980</v>
      </c>
      <c r="I916">
        <v>1980</v>
      </c>
    </row>
    <row r="917" spans="1:10" x14ac:dyDescent="0.3">
      <c r="A917" t="s">
        <v>685</v>
      </c>
      <c r="B917">
        <v>46</v>
      </c>
      <c r="G917">
        <v>734</v>
      </c>
      <c r="H917">
        <v>1320</v>
      </c>
      <c r="I917">
        <v>1320</v>
      </c>
    </row>
    <row r="918" spans="1:10" x14ac:dyDescent="0.3">
      <c r="A918" t="s">
        <v>686</v>
      </c>
      <c r="B918">
        <v>46</v>
      </c>
      <c r="G918">
        <v>1468</v>
      </c>
      <c r="H918">
        <v>2640</v>
      </c>
      <c r="I918">
        <v>2640</v>
      </c>
    </row>
    <row r="919" spans="1:10" x14ac:dyDescent="0.3">
      <c r="A919" t="s">
        <v>687</v>
      </c>
      <c r="B919">
        <v>46</v>
      </c>
    </row>
    <row r="920" spans="1:10" x14ac:dyDescent="0.3">
      <c r="A920" t="s">
        <v>688</v>
      </c>
      <c r="B920">
        <v>46</v>
      </c>
    </row>
    <row r="921" spans="1:10" x14ac:dyDescent="0.3">
      <c r="A921" t="s">
        <v>689</v>
      </c>
      <c r="B921">
        <v>46</v>
      </c>
    </row>
    <row r="922" spans="1:10" x14ac:dyDescent="0.3">
      <c r="A922" t="s">
        <v>690</v>
      </c>
      <c r="B922">
        <v>46</v>
      </c>
      <c r="G922" t="b">
        <v>0</v>
      </c>
      <c r="H922" t="b">
        <v>0</v>
      </c>
      <c r="I922" t="b">
        <v>0</v>
      </c>
    </row>
    <row r="923" spans="1:10" x14ac:dyDescent="0.3">
      <c r="A923" t="s">
        <v>691</v>
      </c>
      <c r="B923">
        <v>46</v>
      </c>
      <c r="G923" t="b">
        <v>0</v>
      </c>
      <c r="H923" t="b">
        <v>0</v>
      </c>
      <c r="I923" t="b">
        <v>0</v>
      </c>
    </row>
    <row r="924" spans="1:10" x14ac:dyDescent="0.3">
      <c r="A924" t="s">
        <v>677</v>
      </c>
      <c r="B924">
        <v>47</v>
      </c>
      <c r="J924">
        <v>46</v>
      </c>
    </row>
    <row r="925" spans="1:10" x14ac:dyDescent="0.3">
      <c r="A925" t="s">
        <v>36</v>
      </c>
      <c r="B925">
        <v>47</v>
      </c>
      <c r="J925" t="s">
        <v>692</v>
      </c>
    </row>
    <row r="926" spans="1:10" x14ac:dyDescent="0.3">
      <c r="A926" t="s">
        <v>503</v>
      </c>
      <c r="B926">
        <v>47</v>
      </c>
      <c r="J926" t="s">
        <v>765</v>
      </c>
    </row>
    <row r="927" spans="1:10" x14ac:dyDescent="0.3">
      <c r="A927" t="s">
        <v>678</v>
      </c>
      <c r="B927">
        <v>47</v>
      </c>
      <c r="J927">
        <v>276</v>
      </c>
    </row>
    <row r="928" spans="1:10" x14ac:dyDescent="0.3">
      <c r="A928" t="s">
        <v>42</v>
      </c>
      <c r="B928">
        <v>47</v>
      </c>
      <c r="J928">
        <v>30</v>
      </c>
    </row>
    <row r="929" spans="1:10" x14ac:dyDescent="0.3">
      <c r="A929" t="s">
        <v>679</v>
      </c>
      <c r="B929">
        <v>47</v>
      </c>
      <c r="J929">
        <v>6.3</v>
      </c>
    </row>
    <row r="930" spans="1:10" x14ac:dyDescent="0.3">
      <c r="A930" t="s">
        <v>41</v>
      </c>
      <c r="B930">
        <v>47</v>
      </c>
      <c r="J930">
        <v>0</v>
      </c>
    </row>
    <row r="931" spans="1:10" x14ac:dyDescent="0.3">
      <c r="A931" t="s">
        <v>680</v>
      </c>
      <c r="B931">
        <v>47</v>
      </c>
      <c r="J931">
        <v>0</v>
      </c>
    </row>
    <row r="932" spans="1:10" x14ac:dyDescent="0.3">
      <c r="A932" t="s">
        <v>563</v>
      </c>
      <c r="B932">
        <v>47</v>
      </c>
      <c r="J932">
        <v>0</v>
      </c>
    </row>
    <row r="933" spans="1:10" x14ac:dyDescent="0.3">
      <c r="A933" t="s">
        <v>681</v>
      </c>
      <c r="B933">
        <v>47</v>
      </c>
      <c r="J933">
        <v>0</v>
      </c>
    </row>
    <row r="934" spans="1:10" x14ac:dyDescent="0.3">
      <c r="A934" t="s">
        <v>682</v>
      </c>
      <c r="B934">
        <v>47</v>
      </c>
      <c r="J934">
        <v>16</v>
      </c>
    </row>
    <row r="935" spans="1:10" x14ac:dyDescent="0.3">
      <c r="A935" t="s">
        <v>683</v>
      </c>
      <c r="B935">
        <v>47</v>
      </c>
      <c r="J935">
        <v>200</v>
      </c>
    </row>
    <row r="936" spans="1:10" x14ac:dyDescent="0.3">
      <c r="A936" t="s">
        <v>684</v>
      </c>
      <c r="B936">
        <v>47</v>
      </c>
      <c r="J936">
        <v>1320</v>
      </c>
    </row>
    <row r="937" spans="1:10" x14ac:dyDescent="0.3">
      <c r="A937" t="s">
        <v>685</v>
      </c>
      <c r="B937">
        <v>47</v>
      </c>
      <c r="J937">
        <v>880</v>
      </c>
    </row>
    <row r="938" spans="1:10" x14ac:dyDescent="0.3">
      <c r="A938" t="s">
        <v>686</v>
      </c>
      <c r="B938">
        <v>47</v>
      </c>
      <c r="J938">
        <v>1760</v>
      </c>
    </row>
    <row r="939" spans="1:10" x14ac:dyDescent="0.3">
      <c r="A939" t="s">
        <v>687</v>
      </c>
      <c r="B939">
        <v>47</v>
      </c>
    </row>
    <row r="940" spans="1:10" x14ac:dyDescent="0.3">
      <c r="A940" t="s">
        <v>688</v>
      </c>
      <c r="B940">
        <v>47</v>
      </c>
    </row>
    <row r="941" spans="1:10" x14ac:dyDescent="0.3">
      <c r="A941" t="s">
        <v>689</v>
      </c>
      <c r="B941">
        <v>47</v>
      </c>
    </row>
    <row r="942" spans="1:10" x14ac:dyDescent="0.3">
      <c r="A942" t="s">
        <v>690</v>
      </c>
      <c r="B942">
        <v>47</v>
      </c>
      <c r="J942" t="b">
        <v>0</v>
      </c>
    </row>
    <row r="943" spans="1:10" x14ac:dyDescent="0.3">
      <c r="A943" t="s">
        <v>691</v>
      </c>
      <c r="B943">
        <v>47</v>
      </c>
      <c r="J943" t="b">
        <v>0</v>
      </c>
    </row>
    <row r="944" spans="1:10" x14ac:dyDescent="0.3">
      <c r="A944" t="s">
        <v>677</v>
      </c>
      <c r="B944">
        <v>48</v>
      </c>
      <c r="D944">
        <v>25</v>
      </c>
    </row>
    <row r="945" spans="1:4" x14ac:dyDescent="0.3">
      <c r="A945" t="s">
        <v>36</v>
      </c>
      <c r="B945">
        <v>48</v>
      </c>
      <c r="D945">
        <v>1</v>
      </c>
    </row>
    <row r="946" spans="1:4" x14ac:dyDescent="0.3">
      <c r="A946" t="s">
        <v>503</v>
      </c>
      <c r="B946">
        <v>48</v>
      </c>
      <c r="D946" t="s">
        <v>753</v>
      </c>
    </row>
    <row r="947" spans="1:4" x14ac:dyDescent="0.3">
      <c r="A947" t="s">
        <v>678</v>
      </c>
      <c r="B947">
        <v>48</v>
      </c>
      <c r="D947">
        <v>656</v>
      </c>
    </row>
    <row r="948" spans="1:4" x14ac:dyDescent="0.3">
      <c r="A948" t="s">
        <v>42</v>
      </c>
      <c r="B948">
        <v>48</v>
      </c>
      <c r="D948">
        <v>30</v>
      </c>
    </row>
    <row r="949" spans="1:4" x14ac:dyDescent="0.3">
      <c r="A949" t="s">
        <v>679</v>
      </c>
      <c r="B949">
        <v>48</v>
      </c>
      <c r="D949">
        <v>14.9</v>
      </c>
    </row>
    <row r="950" spans="1:4" x14ac:dyDescent="0.3">
      <c r="A950" t="s">
        <v>41</v>
      </c>
      <c r="B950">
        <v>48</v>
      </c>
      <c r="D950">
        <v>0</v>
      </c>
    </row>
    <row r="951" spans="1:4" x14ac:dyDescent="0.3">
      <c r="A951" t="s">
        <v>680</v>
      </c>
      <c r="B951">
        <v>48</v>
      </c>
      <c r="D951">
        <v>0</v>
      </c>
    </row>
    <row r="952" spans="1:4" x14ac:dyDescent="0.3">
      <c r="A952" t="s">
        <v>563</v>
      </c>
      <c r="B952">
        <v>48</v>
      </c>
      <c r="D952">
        <v>0</v>
      </c>
    </row>
    <row r="953" spans="1:4" x14ac:dyDescent="0.3">
      <c r="A953" t="s">
        <v>681</v>
      </c>
      <c r="B953">
        <v>48</v>
      </c>
      <c r="D953">
        <v>0</v>
      </c>
    </row>
    <row r="954" spans="1:4" x14ac:dyDescent="0.3">
      <c r="A954" t="s">
        <v>682</v>
      </c>
      <c r="B954">
        <v>48</v>
      </c>
      <c r="D954">
        <v>16</v>
      </c>
    </row>
    <row r="955" spans="1:4" x14ac:dyDescent="0.3">
      <c r="A955" t="s">
        <v>683</v>
      </c>
      <c r="B955">
        <v>48</v>
      </c>
      <c r="D955">
        <v>200</v>
      </c>
    </row>
    <row r="956" spans="1:4" x14ac:dyDescent="0.3">
      <c r="A956" t="s">
        <v>684</v>
      </c>
      <c r="B956">
        <v>48</v>
      </c>
      <c r="D956">
        <v>1320</v>
      </c>
    </row>
    <row r="957" spans="1:4" x14ac:dyDescent="0.3">
      <c r="A957" t="s">
        <v>685</v>
      </c>
      <c r="B957">
        <v>48</v>
      </c>
      <c r="D957">
        <v>880</v>
      </c>
    </row>
    <row r="958" spans="1:4" x14ac:dyDescent="0.3">
      <c r="A958" t="s">
        <v>686</v>
      </c>
      <c r="B958">
        <v>48</v>
      </c>
      <c r="D958">
        <v>1760</v>
      </c>
    </row>
    <row r="959" spans="1:4" x14ac:dyDescent="0.3">
      <c r="A959" t="s">
        <v>687</v>
      </c>
      <c r="B959">
        <v>48</v>
      </c>
    </row>
    <row r="960" spans="1:4" x14ac:dyDescent="0.3">
      <c r="A960" t="s">
        <v>688</v>
      </c>
      <c r="B960">
        <v>48</v>
      </c>
    </row>
    <row r="961" spans="1:9" x14ac:dyDescent="0.3">
      <c r="A961" t="s">
        <v>689</v>
      </c>
      <c r="B961">
        <v>48</v>
      </c>
    </row>
    <row r="962" spans="1:9" x14ac:dyDescent="0.3">
      <c r="A962" t="s">
        <v>690</v>
      </c>
      <c r="B962">
        <v>48</v>
      </c>
      <c r="D962" t="b">
        <v>0</v>
      </c>
    </row>
    <row r="963" spans="1:9" x14ac:dyDescent="0.3">
      <c r="A963" t="s">
        <v>691</v>
      </c>
      <c r="B963">
        <v>48</v>
      </c>
      <c r="D963" t="b">
        <v>0</v>
      </c>
    </row>
    <row r="964" spans="1:9" x14ac:dyDescent="0.3">
      <c r="A964" t="s">
        <v>677</v>
      </c>
      <c r="B964">
        <v>49</v>
      </c>
      <c r="G964">
        <v>50</v>
      </c>
      <c r="H964">
        <v>13</v>
      </c>
      <c r="I964">
        <v>17</v>
      </c>
    </row>
    <row r="965" spans="1:9" x14ac:dyDescent="0.3">
      <c r="A965" t="s">
        <v>36</v>
      </c>
      <c r="B965">
        <v>49</v>
      </c>
      <c r="G965">
        <v>2</v>
      </c>
      <c r="H965">
        <v>4</v>
      </c>
      <c r="I965">
        <v>3</v>
      </c>
    </row>
    <row r="966" spans="1:9" x14ac:dyDescent="0.3">
      <c r="A966" t="s">
        <v>503</v>
      </c>
      <c r="B966">
        <v>49</v>
      </c>
      <c r="G966" t="s">
        <v>766</v>
      </c>
      <c r="H966" t="s">
        <v>741</v>
      </c>
      <c r="I966" t="s">
        <v>741</v>
      </c>
    </row>
    <row r="967" spans="1:9" x14ac:dyDescent="0.3">
      <c r="A967" t="s">
        <v>678</v>
      </c>
      <c r="B967">
        <v>49</v>
      </c>
      <c r="G967">
        <v>299</v>
      </c>
      <c r="H967">
        <v>2934</v>
      </c>
      <c r="I967">
        <v>4063</v>
      </c>
    </row>
    <row r="968" spans="1:9" x14ac:dyDescent="0.3">
      <c r="A968" t="s">
        <v>42</v>
      </c>
      <c r="B968">
        <v>49</v>
      </c>
      <c r="G968">
        <v>30</v>
      </c>
      <c r="H968">
        <v>45</v>
      </c>
      <c r="I968">
        <v>45</v>
      </c>
    </row>
    <row r="969" spans="1:9" x14ac:dyDescent="0.3">
      <c r="A969" t="s">
        <v>679</v>
      </c>
      <c r="B969">
        <v>49</v>
      </c>
      <c r="G969">
        <v>6.8</v>
      </c>
      <c r="H969">
        <v>44.5</v>
      </c>
      <c r="I969">
        <v>61.6</v>
      </c>
    </row>
    <row r="970" spans="1:9" x14ac:dyDescent="0.3">
      <c r="A970" t="s">
        <v>41</v>
      </c>
      <c r="B970">
        <v>49</v>
      </c>
      <c r="G970">
        <v>0</v>
      </c>
      <c r="H970">
        <v>0</v>
      </c>
      <c r="I970">
        <v>0</v>
      </c>
    </row>
    <row r="971" spans="1:9" x14ac:dyDescent="0.3">
      <c r="A971" t="s">
        <v>680</v>
      </c>
      <c r="B971">
        <v>49</v>
      </c>
      <c r="G971">
        <v>12</v>
      </c>
      <c r="H971">
        <v>24</v>
      </c>
      <c r="I971">
        <v>24</v>
      </c>
    </row>
    <row r="972" spans="1:9" x14ac:dyDescent="0.3">
      <c r="A972" t="s">
        <v>563</v>
      </c>
      <c r="B972">
        <v>49</v>
      </c>
      <c r="G972">
        <v>0</v>
      </c>
      <c r="H972">
        <v>0</v>
      </c>
      <c r="I972">
        <v>0</v>
      </c>
    </row>
    <row r="973" spans="1:9" x14ac:dyDescent="0.3">
      <c r="A973" t="s">
        <v>681</v>
      </c>
      <c r="B973">
        <v>49</v>
      </c>
      <c r="G973">
        <v>0</v>
      </c>
      <c r="H973">
        <v>0</v>
      </c>
      <c r="I973">
        <v>0</v>
      </c>
    </row>
    <row r="974" spans="1:9" x14ac:dyDescent="0.3">
      <c r="A974" t="s">
        <v>682</v>
      </c>
      <c r="B974">
        <v>49</v>
      </c>
      <c r="G974">
        <v>16</v>
      </c>
      <c r="H974">
        <v>16</v>
      </c>
      <c r="I974">
        <v>16</v>
      </c>
    </row>
    <row r="975" spans="1:9" x14ac:dyDescent="0.3">
      <c r="A975" t="s">
        <v>683</v>
      </c>
      <c r="B975">
        <v>49</v>
      </c>
      <c r="G975">
        <v>583</v>
      </c>
      <c r="H975">
        <v>583</v>
      </c>
      <c r="I975">
        <v>583</v>
      </c>
    </row>
    <row r="976" spans="1:9" x14ac:dyDescent="0.3">
      <c r="A976" t="s">
        <v>684</v>
      </c>
      <c r="B976">
        <v>49</v>
      </c>
      <c r="G976">
        <v>1320</v>
      </c>
      <c r="H976">
        <v>1980</v>
      </c>
      <c r="I976">
        <v>1980</v>
      </c>
    </row>
    <row r="977" spans="1:10" x14ac:dyDescent="0.3">
      <c r="A977" t="s">
        <v>685</v>
      </c>
      <c r="B977">
        <v>49</v>
      </c>
      <c r="G977">
        <v>880</v>
      </c>
      <c r="H977">
        <v>1320</v>
      </c>
      <c r="I977">
        <v>1320</v>
      </c>
    </row>
    <row r="978" spans="1:10" x14ac:dyDescent="0.3">
      <c r="A978" t="s">
        <v>686</v>
      </c>
      <c r="B978">
        <v>49</v>
      </c>
      <c r="G978">
        <v>1760</v>
      </c>
      <c r="H978">
        <v>2640</v>
      </c>
      <c r="I978">
        <v>2640</v>
      </c>
    </row>
    <row r="979" spans="1:10" x14ac:dyDescent="0.3">
      <c r="A979" t="s">
        <v>687</v>
      </c>
      <c r="B979">
        <v>49</v>
      </c>
      <c r="G979">
        <v>-361676</v>
      </c>
    </row>
    <row r="980" spans="1:10" x14ac:dyDescent="0.3">
      <c r="A980" t="s">
        <v>688</v>
      </c>
      <c r="B980">
        <v>49</v>
      </c>
      <c r="G980">
        <v>16455</v>
      </c>
    </row>
    <row r="981" spans="1:10" x14ac:dyDescent="0.3">
      <c r="A981" t="s">
        <v>689</v>
      </c>
      <c r="B981">
        <v>49</v>
      </c>
      <c r="G981">
        <v>0</v>
      </c>
    </row>
    <row r="982" spans="1:10" x14ac:dyDescent="0.3">
      <c r="A982" t="s">
        <v>690</v>
      </c>
      <c r="B982">
        <v>49</v>
      </c>
      <c r="G982" t="b">
        <v>0</v>
      </c>
      <c r="H982" t="b">
        <v>0</v>
      </c>
      <c r="I982" t="b">
        <v>0</v>
      </c>
    </row>
    <row r="983" spans="1:10" x14ac:dyDescent="0.3">
      <c r="A983" t="s">
        <v>691</v>
      </c>
      <c r="B983">
        <v>49</v>
      </c>
      <c r="G983" t="b">
        <v>0</v>
      </c>
      <c r="H983" t="b">
        <v>0</v>
      </c>
      <c r="I983" t="b">
        <v>0</v>
      </c>
    </row>
    <row r="984" spans="1:10" x14ac:dyDescent="0.3">
      <c r="A984" t="s">
        <v>677</v>
      </c>
      <c r="B984">
        <v>50</v>
      </c>
      <c r="J984">
        <v>49</v>
      </c>
    </row>
    <row r="985" spans="1:10" x14ac:dyDescent="0.3">
      <c r="A985" t="s">
        <v>36</v>
      </c>
      <c r="B985">
        <v>50</v>
      </c>
      <c r="J985">
        <v>1</v>
      </c>
    </row>
    <row r="986" spans="1:10" x14ac:dyDescent="0.3">
      <c r="A986" t="s">
        <v>503</v>
      </c>
      <c r="B986">
        <v>50</v>
      </c>
      <c r="J986" t="s">
        <v>766</v>
      </c>
    </row>
    <row r="987" spans="1:10" x14ac:dyDescent="0.3">
      <c r="A987" t="s">
        <v>678</v>
      </c>
      <c r="B987">
        <v>50</v>
      </c>
      <c r="J987">
        <v>299</v>
      </c>
    </row>
    <row r="988" spans="1:10" x14ac:dyDescent="0.3">
      <c r="A988" t="s">
        <v>42</v>
      </c>
      <c r="B988">
        <v>50</v>
      </c>
      <c r="J988">
        <v>30</v>
      </c>
    </row>
    <row r="989" spans="1:10" x14ac:dyDescent="0.3">
      <c r="A989" t="s">
        <v>679</v>
      </c>
      <c r="B989">
        <v>50</v>
      </c>
      <c r="J989">
        <v>6.8</v>
      </c>
    </row>
    <row r="990" spans="1:10" x14ac:dyDescent="0.3">
      <c r="A990" t="s">
        <v>41</v>
      </c>
      <c r="B990">
        <v>50</v>
      </c>
      <c r="J990">
        <v>0</v>
      </c>
    </row>
    <row r="991" spans="1:10" x14ac:dyDescent="0.3">
      <c r="A991" t="s">
        <v>680</v>
      </c>
      <c r="B991">
        <v>50</v>
      </c>
      <c r="J991">
        <v>12</v>
      </c>
    </row>
    <row r="992" spans="1:10" x14ac:dyDescent="0.3">
      <c r="A992" t="s">
        <v>563</v>
      </c>
      <c r="B992">
        <v>50</v>
      </c>
      <c r="J992">
        <v>0</v>
      </c>
    </row>
    <row r="993" spans="1:10" x14ac:dyDescent="0.3">
      <c r="A993" t="s">
        <v>681</v>
      </c>
      <c r="B993">
        <v>50</v>
      </c>
      <c r="J993">
        <v>0</v>
      </c>
    </row>
    <row r="994" spans="1:10" x14ac:dyDescent="0.3">
      <c r="A994" t="s">
        <v>682</v>
      </c>
      <c r="B994">
        <v>50</v>
      </c>
      <c r="J994">
        <v>16</v>
      </c>
    </row>
    <row r="995" spans="1:10" x14ac:dyDescent="0.3">
      <c r="A995" t="s">
        <v>683</v>
      </c>
      <c r="B995">
        <v>50</v>
      </c>
      <c r="J995">
        <v>200</v>
      </c>
    </row>
    <row r="996" spans="1:10" x14ac:dyDescent="0.3">
      <c r="A996" t="s">
        <v>684</v>
      </c>
      <c r="B996">
        <v>50</v>
      </c>
      <c r="J996">
        <v>1320</v>
      </c>
    </row>
    <row r="997" spans="1:10" x14ac:dyDescent="0.3">
      <c r="A997" t="s">
        <v>685</v>
      </c>
      <c r="B997">
        <v>50</v>
      </c>
      <c r="J997">
        <v>880</v>
      </c>
    </row>
    <row r="998" spans="1:10" x14ac:dyDescent="0.3">
      <c r="A998" t="s">
        <v>686</v>
      </c>
      <c r="B998">
        <v>50</v>
      </c>
      <c r="J998">
        <v>1760</v>
      </c>
    </row>
    <row r="999" spans="1:10" x14ac:dyDescent="0.3">
      <c r="A999" t="s">
        <v>687</v>
      </c>
      <c r="B999">
        <v>50</v>
      </c>
      <c r="J999">
        <v>-361742</v>
      </c>
    </row>
    <row r="1000" spans="1:10" x14ac:dyDescent="0.3">
      <c r="A1000" t="s">
        <v>688</v>
      </c>
      <c r="B1000">
        <v>50</v>
      </c>
      <c r="J1000">
        <v>16380</v>
      </c>
    </row>
    <row r="1001" spans="1:10" x14ac:dyDescent="0.3">
      <c r="A1001" t="s">
        <v>689</v>
      </c>
      <c r="B1001">
        <v>50</v>
      </c>
      <c r="J1001">
        <v>0</v>
      </c>
    </row>
    <row r="1002" spans="1:10" x14ac:dyDescent="0.3">
      <c r="A1002" t="s">
        <v>690</v>
      </c>
      <c r="B1002">
        <v>50</v>
      </c>
      <c r="J1002" t="b">
        <v>0</v>
      </c>
    </row>
    <row r="1003" spans="1:10" x14ac:dyDescent="0.3">
      <c r="A1003" t="s">
        <v>691</v>
      </c>
      <c r="B1003">
        <v>50</v>
      </c>
      <c r="J1003" t="b">
        <v>0</v>
      </c>
    </row>
    <row r="1004" spans="1:10" x14ac:dyDescent="0.3">
      <c r="A1004" t="s">
        <v>677</v>
      </c>
      <c r="B1004">
        <v>51</v>
      </c>
      <c r="J1004">
        <v>44</v>
      </c>
    </row>
    <row r="1005" spans="1:10" x14ac:dyDescent="0.3">
      <c r="A1005" t="s">
        <v>36</v>
      </c>
      <c r="B1005">
        <v>51</v>
      </c>
      <c r="J1005">
        <v>1</v>
      </c>
    </row>
    <row r="1006" spans="1:10" x14ac:dyDescent="0.3">
      <c r="A1006" t="s">
        <v>503</v>
      </c>
      <c r="B1006">
        <v>51</v>
      </c>
      <c r="J1006" t="s">
        <v>764</v>
      </c>
    </row>
    <row r="1007" spans="1:10" x14ac:dyDescent="0.3">
      <c r="A1007" t="s">
        <v>678</v>
      </c>
      <c r="B1007">
        <v>51</v>
      </c>
      <c r="J1007">
        <v>385</v>
      </c>
    </row>
    <row r="1008" spans="1:10" x14ac:dyDescent="0.3">
      <c r="A1008" t="s">
        <v>42</v>
      </c>
      <c r="B1008">
        <v>51</v>
      </c>
      <c r="J1008">
        <v>30</v>
      </c>
    </row>
    <row r="1009" spans="1:10" x14ac:dyDescent="0.3">
      <c r="A1009" t="s">
        <v>679</v>
      </c>
      <c r="B1009">
        <v>51</v>
      </c>
      <c r="J1009">
        <v>8.8000000000000007</v>
      </c>
    </row>
    <row r="1010" spans="1:10" x14ac:dyDescent="0.3">
      <c r="A1010" t="s">
        <v>41</v>
      </c>
      <c r="B1010">
        <v>51</v>
      </c>
      <c r="J1010">
        <v>0</v>
      </c>
    </row>
    <row r="1011" spans="1:10" x14ac:dyDescent="0.3">
      <c r="A1011" t="s">
        <v>680</v>
      </c>
      <c r="B1011">
        <v>51</v>
      </c>
      <c r="J1011">
        <v>12</v>
      </c>
    </row>
    <row r="1012" spans="1:10" x14ac:dyDescent="0.3">
      <c r="A1012" t="s">
        <v>563</v>
      </c>
      <c r="B1012">
        <v>51</v>
      </c>
      <c r="J1012">
        <v>0</v>
      </c>
    </row>
    <row r="1013" spans="1:10" x14ac:dyDescent="0.3">
      <c r="A1013" t="s">
        <v>681</v>
      </c>
      <c r="B1013">
        <v>51</v>
      </c>
      <c r="J1013">
        <v>0</v>
      </c>
    </row>
    <row r="1014" spans="1:10" x14ac:dyDescent="0.3">
      <c r="A1014" t="s">
        <v>682</v>
      </c>
      <c r="B1014">
        <v>51</v>
      </c>
      <c r="J1014">
        <v>16</v>
      </c>
    </row>
    <row r="1015" spans="1:10" x14ac:dyDescent="0.3">
      <c r="A1015" t="s">
        <v>683</v>
      </c>
      <c r="B1015">
        <v>51</v>
      </c>
      <c r="J1015">
        <v>200</v>
      </c>
    </row>
    <row r="1016" spans="1:10" x14ac:dyDescent="0.3">
      <c r="A1016" t="s">
        <v>684</v>
      </c>
      <c r="B1016">
        <v>51</v>
      </c>
      <c r="J1016">
        <v>1320</v>
      </c>
    </row>
    <row r="1017" spans="1:10" x14ac:dyDescent="0.3">
      <c r="A1017" t="s">
        <v>685</v>
      </c>
      <c r="B1017">
        <v>51</v>
      </c>
      <c r="J1017">
        <v>880</v>
      </c>
    </row>
    <row r="1018" spans="1:10" x14ac:dyDescent="0.3">
      <c r="A1018" t="s">
        <v>686</v>
      </c>
      <c r="B1018">
        <v>51</v>
      </c>
      <c r="J1018">
        <v>1760</v>
      </c>
    </row>
    <row r="1019" spans="1:10" x14ac:dyDescent="0.3">
      <c r="A1019" t="s">
        <v>687</v>
      </c>
      <c r="B1019">
        <v>51</v>
      </c>
    </row>
    <row r="1020" spans="1:10" x14ac:dyDescent="0.3">
      <c r="A1020" t="s">
        <v>688</v>
      </c>
      <c r="B1020">
        <v>51</v>
      </c>
    </row>
    <row r="1021" spans="1:10" x14ac:dyDescent="0.3">
      <c r="A1021" t="s">
        <v>689</v>
      </c>
      <c r="B1021">
        <v>51</v>
      </c>
    </row>
    <row r="1022" spans="1:10" x14ac:dyDescent="0.3">
      <c r="A1022" t="s">
        <v>690</v>
      </c>
      <c r="B1022">
        <v>51</v>
      </c>
      <c r="J1022" t="b">
        <v>0</v>
      </c>
    </row>
    <row r="1023" spans="1:10" x14ac:dyDescent="0.3">
      <c r="A1023" t="s">
        <v>691</v>
      </c>
      <c r="B1023">
        <v>51</v>
      </c>
      <c r="J1023" t="b">
        <v>0</v>
      </c>
    </row>
    <row r="1024" spans="1:10" x14ac:dyDescent="0.3">
      <c r="A1024" t="s">
        <v>677</v>
      </c>
      <c r="B1024">
        <v>52</v>
      </c>
      <c r="H1024">
        <v>44</v>
      </c>
    </row>
    <row r="1025" spans="1:8" x14ac:dyDescent="0.3">
      <c r="A1025" t="s">
        <v>36</v>
      </c>
      <c r="B1025">
        <v>52</v>
      </c>
      <c r="H1025">
        <v>2</v>
      </c>
    </row>
    <row r="1026" spans="1:8" x14ac:dyDescent="0.3">
      <c r="A1026" t="s">
        <v>503</v>
      </c>
      <c r="B1026">
        <v>52</v>
      </c>
      <c r="H1026" t="s">
        <v>741</v>
      </c>
    </row>
    <row r="1027" spans="1:8" x14ac:dyDescent="0.3">
      <c r="A1027" t="s">
        <v>678</v>
      </c>
      <c r="B1027">
        <v>52</v>
      </c>
      <c r="H1027">
        <v>809</v>
      </c>
    </row>
    <row r="1028" spans="1:8" x14ac:dyDescent="0.3">
      <c r="A1028" t="s">
        <v>42</v>
      </c>
      <c r="B1028">
        <v>52</v>
      </c>
      <c r="H1028">
        <v>30</v>
      </c>
    </row>
    <row r="1029" spans="1:8" x14ac:dyDescent="0.3">
      <c r="A1029" t="s">
        <v>679</v>
      </c>
      <c r="B1029">
        <v>52</v>
      </c>
      <c r="H1029">
        <v>18.399999999999999</v>
      </c>
    </row>
    <row r="1030" spans="1:8" x14ac:dyDescent="0.3">
      <c r="A1030" t="s">
        <v>41</v>
      </c>
      <c r="B1030">
        <v>52</v>
      </c>
      <c r="H1030">
        <v>0</v>
      </c>
    </row>
    <row r="1031" spans="1:8" x14ac:dyDescent="0.3">
      <c r="A1031" t="s">
        <v>680</v>
      </c>
      <c r="B1031">
        <v>52</v>
      </c>
      <c r="H1031">
        <v>12</v>
      </c>
    </row>
    <row r="1032" spans="1:8" x14ac:dyDescent="0.3">
      <c r="A1032" t="s">
        <v>563</v>
      </c>
      <c r="B1032">
        <v>52</v>
      </c>
      <c r="H1032">
        <v>0</v>
      </c>
    </row>
    <row r="1033" spans="1:8" x14ac:dyDescent="0.3">
      <c r="A1033" t="s">
        <v>681</v>
      </c>
      <c r="B1033">
        <v>52</v>
      </c>
      <c r="H1033">
        <v>0</v>
      </c>
    </row>
    <row r="1034" spans="1:8" x14ac:dyDescent="0.3">
      <c r="A1034" t="s">
        <v>682</v>
      </c>
      <c r="B1034">
        <v>52</v>
      </c>
      <c r="H1034">
        <v>16</v>
      </c>
    </row>
    <row r="1035" spans="1:8" x14ac:dyDescent="0.3">
      <c r="A1035" t="s">
        <v>683</v>
      </c>
      <c r="B1035">
        <v>52</v>
      </c>
      <c r="H1035">
        <v>200</v>
      </c>
    </row>
    <row r="1036" spans="1:8" x14ac:dyDescent="0.3">
      <c r="A1036" t="s">
        <v>684</v>
      </c>
      <c r="B1036">
        <v>52</v>
      </c>
      <c r="H1036">
        <v>1320</v>
      </c>
    </row>
    <row r="1037" spans="1:8" x14ac:dyDescent="0.3">
      <c r="A1037" t="s">
        <v>685</v>
      </c>
      <c r="B1037">
        <v>52</v>
      </c>
      <c r="H1037">
        <v>880</v>
      </c>
    </row>
    <row r="1038" spans="1:8" x14ac:dyDescent="0.3">
      <c r="A1038" t="s">
        <v>686</v>
      </c>
      <c r="B1038">
        <v>52</v>
      </c>
      <c r="H1038">
        <v>1760</v>
      </c>
    </row>
    <row r="1039" spans="1:8" x14ac:dyDescent="0.3">
      <c r="A1039" t="s">
        <v>687</v>
      </c>
      <c r="B1039">
        <v>52</v>
      </c>
    </row>
    <row r="1040" spans="1:8" x14ac:dyDescent="0.3">
      <c r="A1040" t="s">
        <v>688</v>
      </c>
      <c r="B1040">
        <v>52</v>
      </c>
    </row>
    <row r="1041" spans="1:8" x14ac:dyDescent="0.3">
      <c r="A1041" t="s">
        <v>689</v>
      </c>
      <c r="B1041">
        <v>52</v>
      </c>
    </row>
    <row r="1042" spans="1:8" x14ac:dyDescent="0.3">
      <c r="A1042" t="s">
        <v>690</v>
      </c>
      <c r="B1042">
        <v>52</v>
      </c>
      <c r="H1042" t="b">
        <v>0</v>
      </c>
    </row>
    <row r="1043" spans="1:8" x14ac:dyDescent="0.3">
      <c r="A1043" t="s">
        <v>691</v>
      </c>
      <c r="B1043">
        <v>52</v>
      </c>
      <c r="H1043" t="b">
        <v>0</v>
      </c>
    </row>
    <row r="1044" spans="1:8" x14ac:dyDescent="0.3">
      <c r="A1044" t="s">
        <v>677</v>
      </c>
      <c r="B1044">
        <v>53</v>
      </c>
      <c r="G1044">
        <v>44</v>
      </c>
    </row>
    <row r="1045" spans="1:8" x14ac:dyDescent="0.3">
      <c r="A1045" t="s">
        <v>36</v>
      </c>
      <c r="B1045">
        <v>53</v>
      </c>
      <c r="G1045" t="s">
        <v>692</v>
      </c>
    </row>
    <row r="1046" spans="1:8" x14ac:dyDescent="0.3">
      <c r="A1046" t="s">
        <v>503</v>
      </c>
      <c r="B1046">
        <v>53</v>
      </c>
      <c r="G1046" t="s">
        <v>764</v>
      </c>
    </row>
    <row r="1047" spans="1:8" x14ac:dyDescent="0.3">
      <c r="A1047" t="s">
        <v>678</v>
      </c>
      <c r="B1047">
        <v>53</v>
      </c>
      <c r="G1047">
        <v>601</v>
      </c>
    </row>
    <row r="1048" spans="1:8" x14ac:dyDescent="0.3">
      <c r="A1048" t="s">
        <v>42</v>
      </c>
      <c r="B1048">
        <v>53</v>
      </c>
      <c r="G1048">
        <v>30</v>
      </c>
    </row>
    <row r="1049" spans="1:8" x14ac:dyDescent="0.3">
      <c r="A1049" t="s">
        <v>679</v>
      </c>
      <c r="B1049">
        <v>53</v>
      </c>
      <c r="G1049">
        <v>13.7</v>
      </c>
    </row>
    <row r="1050" spans="1:8" x14ac:dyDescent="0.3">
      <c r="A1050" t="s">
        <v>41</v>
      </c>
      <c r="B1050">
        <v>53</v>
      </c>
      <c r="G1050">
        <v>0</v>
      </c>
    </row>
    <row r="1051" spans="1:8" x14ac:dyDescent="0.3">
      <c r="A1051" t="s">
        <v>680</v>
      </c>
      <c r="B1051">
        <v>53</v>
      </c>
      <c r="G1051">
        <v>12</v>
      </c>
    </row>
    <row r="1052" spans="1:8" x14ac:dyDescent="0.3">
      <c r="A1052" t="s">
        <v>563</v>
      </c>
      <c r="B1052">
        <v>53</v>
      </c>
      <c r="G1052">
        <v>0</v>
      </c>
    </row>
    <row r="1053" spans="1:8" x14ac:dyDescent="0.3">
      <c r="A1053" t="s">
        <v>681</v>
      </c>
      <c r="B1053">
        <v>53</v>
      </c>
      <c r="G1053">
        <v>0</v>
      </c>
    </row>
    <row r="1054" spans="1:8" x14ac:dyDescent="0.3">
      <c r="A1054" t="s">
        <v>682</v>
      </c>
      <c r="B1054">
        <v>53</v>
      </c>
      <c r="G1054">
        <v>16</v>
      </c>
    </row>
    <row r="1055" spans="1:8" x14ac:dyDescent="0.3">
      <c r="A1055" t="s">
        <v>683</v>
      </c>
      <c r="B1055">
        <v>53</v>
      </c>
      <c r="G1055">
        <v>200</v>
      </c>
    </row>
    <row r="1056" spans="1:8" x14ac:dyDescent="0.3">
      <c r="A1056" t="s">
        <v>684</v>
      </c>
      <c r="B1056">
        <v>53</v>
      </c>
      <c r="G1056">
        <v>1320</v>
      </c>
    </row>
    <row r="1057" spans="1:7" x14ac:dyDescent="0.3">
      <c r="A1057" t="s">
        <v>685</v>
      </c>
      <c r="B1057">
        <v>53</v>
      </c>
      <c r="G1057">
        <v>880</v>
      </c>
    </row>
    <row r="1058" spans="1:7" x14ac:dyDescent="0.3">
      <c r="A1058" t="s">
        <v>686</v>
      </c>
      <c r="B1058">
        <v>53</v>
      </c>
      <c r="G1058">
        <v>1760</v>
      </c>
    </row>
    <row r="1059" spans="1:7" x14ac:dyDescent="0.3">
      <c r="A1059" t="s">
        <v>687</v>
      </c>
      <c r="B1059">
        <v>53</v>
      </c>
    </row>
    <row r="1060" spans="1:7" x14ac:dyDescent="0.3">
      <c r="A1060" t="s">
        <v>688</v>
      </c>
      <c r="B1060">
        <v>53</v>
      </c>
    </row>
    <row r="1061" spans="1:7" x14ac:dyDescent="0.3">
      <c r="A1061" t="s">
        <v>689</v>
      </c>
      <c r="B1061">
        <v>53</v>
      </c>
    </row>
    <row r="1062" spans="1:7" x14ac:dyDescent="0.3">
      <c r="A1062" t="s">
        <v>690</v>
      </c>
      <c r="B1062">
        <v>53</v>
      </c>
      <c r="G1062" t="b">
        <v>0</v>
      </c>
    </row>
    <row r="1063" spans="1:7" x14ac:dyDescent="0.3">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1024"/>
  <sheetViews>
    <sheetView workbookViewId="0"/>
  </sheetViews>
  <sheetFormatPr defaultRowHeight="14.4" x14ac:dyDescent="0.3"/>
  <sheetData>
    <row r="1" spans="1:30" x14ac:dyDescent="0.3">
      <c r="A1" t="s">
        <v>564</v>
      </c>
    </row>
    <row r="2" spans="1:30" x14ac:dyDescent="0.3">
      <c r="A2" t="s">
        <v>694</v>
      </c>
    </row>
    <row r="3" spans="1:30" x14ac:dyDescent="0.3">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3">
      <c r="A4" t="s">
        <v>34</v>
      </c>
      <c r="B4">
        <v>1</v>
      </c>
      <c r="C4">
        <v>5</v>
      </c>
      <c r="D4">
        <v>5</v>
      </c>
      <c r="E4">
        <v>5</v>
      </c>
      <c r="F4">
        <v>3</v>
      </c>
      <c r="G4">
        <v>3</v>
      </c>
      <c r="H4">
        <v>3</v>
      </c>
      <c r="J4">
        <v>9</v>
      </c>
      <c r="K4">
        <v>9</v>
      </c>
      <c r="L4">
        <v>9</v>
      </c>
      <c r="M4">
        <v>2</v>
      </c>
      <c r="N4">
        <v>2</v>
      </c>
      <c r="O4">
        <v>2</v>
      </c>
    </row>
    <row r="5" spans="1:30" x14ac:dyDescent="0.3">
      <c r="A5" t="s">
        <v>35</v>
      </c>
      <c r="B5">
        <v>1</v>
      </c>
      <c r="C5">
        <v>9</v>
      </c>
      <c r="D5">
        <v>3</v>
      </c>
      <c r="E5">
        <v>2</v>
      </c>
      <c r="F5">
        <v>2</v>
      </c>
      <c r="G5">
        <v>5</v>
      </c>
      <c r="H5">
        <v>9</v>
      </c>
      <c r="J5">
        <v>3</v>
      </c>
      <c r="K5">
        <v>2</v>
      </c>
      <c r="L5">
        <v>5</v>
      </c>
      <c r="M5">
        <v>5</v>
      </c>
      <c r="N5">
        <v>9</v>
      </c>
      <c r="O5">
        <v>3</v>
      </c>
    </row>
    <row r="6" spans="1:30" x14ac:dyDescent="0.3">
      <c r="A6" t="s">
        <v>36</v>
      </c>
      <c r="B6">
        <v>1</v>
      </c>
      <c r="C6">
        <v>1</v>
      </c>
      <c r="D6">
        <v>2</v>
      </c>
      <c r="E6">
        <v>1</v>
      </c>
      <c r="F6">
        <v>1</v>
      </c>
      <c r="G6">
        <v>2</v>
      </c>
      <c r="H6">
        <v>1</v>
      </c>
      <c r="J6">
        <v>1</v>
      </c>
      <c r="K6">
        <v>3</v>
      </c>
      <c r="L6">
        <v>0</v>
      </c>
      <c r="M6">
        <v>1</v>
      </c>
      <c r="N6">
        <v>3</v>
      </c>
      <c r="O6">
        <v>0</v>
      </c>
    </row>
    <row r="7" spans="1:30" x14ac:dyDescent="0.3">
      <c r="A7" t="s">
        <v>37</v>
      </c>
      <c r="B7">
        <v>1</v>
      </c>
      <c r="C7">
        <v>0</v>
      </c>
      <c r="D7">
        <v>0</v>
      </c>
      <c r="F7">
        <v>0</v>
      </c>
      <c r="G7">
        <v>0</v>
      </c>
      <c r="J7">
        <v>0</v>
      </c>
      <c r="K7">
        <v>2</v>
      </c>
      <c r="M7">
        <v>0</v>
      </c>
      <c r="N7">
        <v>2</v>
      </c>
    </row>
    <row r="8" spans="1:30" x14ac:dyDescent="0.3">
      <c r="A8" t="s">
        <v>38</v>
      </c>
      <c r="B8">
        <v>1</v>
      </c>
      <c r="C8">
        <v>12</v>
      </c>
      <c r="D8">
        <v>12</v>
      </c>
      <c r="E8">
        <v>12</v>
      </c>
      <c r="F8">
        <v>12</v>
      </c>
      <c r="G8">
        <v>12</v>
      </c>
      <c r="H8">
        <v>12</v>
      </c>
      <c r="J8">
        <v>12</v>
      </c>
      <c r="K8">
        <v>12</v>
      </c>
      <c r="L8">
        <v>12</v>
      </c>
      <c r="M8">
        <v>12</v>
      </c>
      <c r="N8">
        <v>12</v>
      </c>
      <c r="O8">
        <v>12</v>
      </c>
    </row>
    <row r="9" spans="1:30" x14ac:dyDescent="0.3">
      <c r="A9" t="s">
        <v>39</v>
      </c>
      <c r="B9">
        <v>1</v>
      </c>
      <c r="C9">
        <v>140</v>
      </c>
      <c r="E9">
        <v>140</v>
      </c>
      <c r="F9">
        <v>150</v>
      </c>
      <c r="H9">
        <v>150</v>
      </c>
      <c r="J9">
        <v>410</v>
      </c>
      <c r="M9">
        <v>395</v>
      </c>
    </row>
    <row r="10" spans="1:30" x14ac:dyDescent="0.3">
      <c r="A10" t="s">
        <v>695</v>
      </c>
      <c r="B10">
        <v>1</v>
      </c>
      <c r="C10">
        <v>90</v>
      </c>
      <c r="E10">
        <v>90</v>
      </c>
      <c r="F10">
        <v>100</v>
      </c>
      <c r="H10">
        <v>100</v>
      </c>
      <c r="J10">
        <v>95</v>
      </c>
      <c r="M10">
        <v>80</v>
      </c>
    </row>
    <row r="11" spans="1:30" x14ac:dyDescent="0.3">
      <c r="A11" t="s">
        <v>40</v>
      </c>
      <c r="B11">
        <v>1</v>
      </c>
      <c r="C11">
        <v>1</v>
      </c>
      <c r="E11">
        <v>1</v>
      </c>
      <c r="F11">
        <v>1</v>
      </c>
      <c r="H11">
        <v>1</v>
      </c>
      <c r="J11">
        <v>1</v>
      </c>
      <c r="M11">
        <v>1</v>
      </c>
    </row>
    <row r="12" spans="1:30" x14ac:dyDescent="0.3">
      <c r="A12" t="s">
        <v>41</v>
      </c>
      <c r="B12">
        <v>1</v>
      </c>
    </row>
    <row r="13" spans="1:30" x14ac:dyDescent="0.3">
      <c r="A13" t="s">
        <v>42</v>
      </c>
      <c r="B13">
        <v>1</v>
      </c>
      <c r="D13">
        <v>40</v>
      </c>
      <c r="G13">
        <v>40</v>
      </c>
      <c r="K13">
        <v>45</v>
      </c>
      <c r="N13">
        <v>45</v>
      </c>
    </row>
    <row r="14" spans="1:30" x14ac:dyDescent="0.3">
      <c r="A14" t="s">
        <v>45</v>
      </c>
      <c r="B14">
        <v>1</v>
      </c>
      <c r="C14">
        <v>3</v>
      </c>
      <c r="D14">
        <v>8</v>
      </c>
      <c r="F14">
        <v>7</v>
      </c>
      <c r="G14">
        <v>4</v>
      </c>
      <c r="J14">
        <v>1</v>
      </c>
      <c r="K14">
        <v>6</v>
      </c>
      <c r="M14">
        <v>5</v>
      </c>
      <c r="N14">
        <v>2</v>
      </c>
    </row>
    <row r="15" spans="1:30" x14ac:dyDescent="0.3">
      <c r="A15" t="s">
        <v>46</v>
      </c>
      <c r="B15">
        <v>1</v>
      </c>
      <c r="E15">
        <v>8</v>
      </c>
      <c r="H15">
        <v>4</v>
      </c>
    </row>
    <row r="16" spans="1:30" x14ac:dyDescent="0.3">
      <c r="A16" t="s">
        <v>49</v>
      </c>
      <c r="B16">
        <v>1</v>
      </c>
      <c r="C16">
        <v>6.8</v>
      </c>
      <c r="D16">
        <v>6.6</v>
      </c>
      <c r="E16">
        <v>6.6</v>
      </c>
      <c r="F16">
        <v>6.8</v>
      </c>
      <c r="G16">
        <v>6.6</v>
      </c>
      <c r="H16">
        <v>6.6</v>
      </c>
      <c r="J16">
        <v>7</v>
      </c>
      <c r="K16">
        <v>6.8</v>
      </c>
      <c r="L16">
        <v>4</v>
      </c>
      <c r="M16">
        <v>7</v>
      </c>
      <c r="N16">
        <v>6.8</v>
      </c>
      <c r="O16">
        <v>4</v>
      </c>
    </row>
    <row r="17" spans="1:15" x14ac:dyDescent="0.3">
      <c r="A17" t="s">
        <v>696</v>
      </c>
      <c r="B17">
        <v>1</v>
      </c>
      <c r="C17">
        <v>0</v>
      </c>
      <c r="D17">
        <v>0</v>
      </c>
      <c r="E17">
        <v>0</v>
      </c>
      <c r="F17">
        <v>0</v>
      </c>
      <c r="G17">
        <v>0</v>
      </c>
      <c r="H17">
        <v>0</v>
      </c>
      <c r="J17">
        <v>0</v>
      </c>
      <c r="K17">
        <v>0</v>
      </c>
      <c r="L17">
        <v>0</v>
      </c>
      <c r="M17">
        <v>0</v>
      </c>
      <c r="N17">
        <v>0</v>
      </c>
      <c r="O17">
        <v>0</v>
      </c>
    </row>
    <row r="18" spans="1:15" x14ac:dyDescent="0.3">
      <c r="A18" t="s">
        <v>48</v>
      </c>
      <c r="B18">
        <v>1</v>
      </c>
      <c r="C18">
        <v>1900</v>
      </c>
      <c r="D18">
        <v>1900</v>
      </c>
      <c r="E18">
        <v>1900</v>
      </c>
      <c r="F18">
        <v>1900</v>
      </c>
      <c r="G18">
        <v>1900</v>
      </c>
      <c r="H18">
        <v>1900</v>
      </c>
      <c r="J18">
        <v>1900</v>
      </c>
      <c r="K18">
        <v>1900</v>
      </c>
      <c r="L18">
        <v>1900</v>
      </c>
      <c r="M18">
        <v>1900</v>
      </c>
      <c r="N18">
        <v>1900</v>
      </c>
      <c r="O18">
        <v>1900</v>
      </c>
    </row>
    <row r="19" spans="1:15" x14ac:dyDescent="0.3">
      <c r="A19" t="s">
        <v>697</v>
      </c>
      <c r="B19">
        <v>1</v>
      </c>
      <c r="C19">
        <v>1770</v>
      </c>
      <c r="D19">
        <v>3539</v>
      </c>
      <c r="E19">
        <v>1583</v>
      </c>
      <c r="F19">
        <v>1770</v>
      </c>
      <c r="G19">
        <v>3539</v>
      </c>
      <c r="H19">
        <v>1583</v>
      </c>
      <c r="J19">
        <v>1770</v>
      </c>
      <c r="K19">
        <v>5065</v>
      </c>
      <c r="L19">
        <v>0</v>
      </c>
      <c r="M19">
        <v>1770</v>
      </c>
      <c r="N19">
        <v>4999</v>
      </c>
      <c r="O19">
        <v>0</v>
      </c>
    </row>
    <row r="20" spans="1:15" x14ac:dyDescent="0.3">
      <c r="A20" t="s">
        <v>50</v>
      </c>
      <c r="B20">
        <v>1</v>
      </c>
      <c r="C20">
        <v>1770</v>
      </c>
      <c r="D20">
        <v>3539</v>
      </c>
      <c r="E20">
        <v>1583</v>
      </c>
      <c r="F20">
        <v>1770</v>
      </c>
      <c r="G20">
        <v>3539</v>
      </c>
      <c r="H20">
        <v>1583</v>
      </c>
      <c r="J20">
        <v>1770</v>
      </c>
      <c r="K20">
        <v>5065</v>
      </c>
      <c r="L20">
        <v>0</v>
      </c>
      <c r="M20">
        <v>1770</v>
      </c>
      <c r="N20">
        <v>4999</v>
      </c>
      <c r="O20">
        <v>0</v>
      </c>
    </row>
    <row r="21" spans="1:15" x14ac:dyDescent="0.3">
      <c r="A21" t="s">
        <v>698</v>
      </c>
      <c r="B21">
        <v>1</v>
      </c>
      <c r="C21">
        <v>1</v>
      </c>
      <c r="D21">
        <v>1</v>
      </c>
      <c r="E21">
        <v>1</v>
      </c>
      <c r="F21">
        <v>1</v>
      </c>
      <c r="G21">
        <v>1</v>
      </c>
      <c r="H21">
        <v>1</v>
      </c>
      <c r="J21">
        <v>1</v>
      </c>
      <c r="K21">
        <v>1</v>
      </c>
      <c r="L21">
        <v>1</v>
      </c>
      <c r="M21">
        <v>1</v>
      </c>
      <c r="N21">
        <v>1</v>
      </c>
      <c r="O21">
        <v>1</v>
      </c>
    </row>
    <row r="22" spans="1:15" x14ac:dyDescent="0.3">
      <c r="A22" t="s">
        <v>51</v>
      </c>
      <c r="B22">
        <v>1</v>
      </c>
      <c r="C22">
        <v>0</v>
      </c>
      <c r="D22">
        <v>0</v>
      </c>
      <c r="E22">
        <v>192</v>
      </c>
      <c r="F22">
        <v>0</v>
      </c>
      <c r="G22">
        <v>0</v>
      </c>
      <c r="H22">
        <v>192</v>
      </c>
      <c r="J22">
        <v>0</v>
      </c>
      <c r="K22">
        <v>3</v>
      </c>
      <c r="L22">
        <v>0</v>
      </c>
      <c r="M22">
        <v>0</v>
      </c>
      <c r="N22">
        <v>17</v>
      </c>
      <c r="O22">
        <v>0</v>
      </c>
    </row>
    <row r="23" spans="1:15" x14ac:dyDescent="0.3">
      <c r="A23" t="s">
        <v>53</v>
      </c>
      <c r="B23">
        <v>1</v>
      </c>
      <c r="C23">
        <v>39</v>
      </c>
      <c r="D23">
        <v>236</v>
      </c>
      <c r="E23">
        <v>61</v>
      </c>
      <c r="F23">
        <v>94</v>
      </c>
      <c r="G23">
        <v>128</v>
      </c>
      <c r="H23">
        <v>71</v>
      </c>
      <c r="J23">
        <v>201</v>
      </c>
      <c r="K23">
        <v>1490</v>
      </c>
      <c r="L23">
        <v>41</v>
      </c>
      <c r="M23">
        <v>17</v>
      </c>
      <c r="N23">
        <v>1326</v>
      </c>
      <c r="O23">
        <v>166</v>
      </c>
    </row>
    <row r="24" spans="1:15" x14ac:dyDescent="0.3">
      <c r="A24" t="s">
        <v>54</v>
      </c>
      <c r="B24">
        <v>1</v>
      </c>
      <c r="C24">
        <v>0</v>
      </c>
      <c r="D24">
        <v>0</v>
      </c>
      <c r="E24">
        <v>0</v>
      </c>
      <c r="F24">
        <v>0</v>
      </c>
      <c r="G24">
        <v>0</v>
      </c>
      <c r="H24">
        <v>0</v>
      </c>
      <c r="J24">
        <v>0</v>
      </c>
      <c r="K24">
        <v>0</v>
      </c>
      <c r="L24">
        <v>0</v>
      </c>
      <c r="M24">
        <v>0</v>
      </c>
      <c r="N24">
        <v>0</v>
      </c>
      <c r="O24">
        <v>0</v>
      </c>
    </row>
    <row r="25" spans="1:15" x14ac:dyDescent="0.3">
      <c r="A25" t="s">
        <v>55</v>
      </c>
      <c r="B25">
        <v>1</v>
      </c>
      <c r="C25">
        <v>0</v>
      </c>
      <c r="D25">
        <v>0</v>
      </c>
      <c r="E25">
        <v>0</v>
      </c>
      <c r="F25">
        <v>0</v>
      </c>
      <c r="G25">
        <v>0</v>
      </c>
      <c r="H25">
        <v>0</v>
      </c>
      <c r="J25">
        <v>0</v>
      </c>
      <c r="K25">
        <v>0</v>
      </c>
      <c r="L25">
        <v>0</v>
      </c>
      <c r="M25">
        <v>0</v>
      </c>
      <c r="N25">
        <v>0</v>
      </c>
      <c r="O25">
        <v>0</v>
      </c>
    </row>
    <row r="26" spans="1:15" x14ac:dyDescent="0.3">
      <c r="A26" t="s">
        <v>56</v>
      </c>
      <c r="B26">
        <v>1</v>
      </c>
      <c r="C26">
        <v>0.92</v>
      </c>
      <c r="D26">
        <v>0.92</v>
      </c>
      <c r="E26">
        <v>0.92</v>
      </c>
      <c r="F26">
        <v>0.92</v>
      </c>
      <c r="G26">
        <v>0.92</v>
      </c>
      <c r="H26">
        <v>0.92</v>
      </c>
      <c r="J26">
        <v>0.92</v>
      </c>
      <c r="K26">
        <v>0.92</v>
      </c>
      <c r="L26">
        <v>0.92</v>
      </c>
      <c r="M26">
        <v>0.92</v>
      </c>
      <c r="N26">
        <v>0.92</v>
      </c>
      <c r="O26">
        <v>0.92</v>
      </c>
    </row>
    <row r="27" spans="1:15" x14ac:dyDescent="0.3">
      <c r="A27" t="s">
        <v>57</v>
      </c>
      <c r="B27">
        <v>1</v>
      </c>
      <c r="C27">
        <v>100</v>
      </c>
      <c r="D27">
        <v>100</v>
      </c>
      <c r="E27">
        <v>100</v>
      </c>
      <c r="F27">
        <v>100</v>
      </c>
      <c r="G27">
        <v>100</v>
      </c>
      <c r="H27">
        <v>100</v>
      </c>
      <c r="J27">
        <v>100</v>
      </c>
      <c r="K27">
        <v>100</v>
      </c>
      <c r="L27">
        <v>100</v>
      </c>
      <c r="M27">
        <v>100</v>
      </c>
      <c r="N27">
        <v>100</v>
      </c>
      <c r="O27">
        <v>100</v>
      </c>
    </row>
    <row r="28" spans="1:15" x14ac:dyDescent="0.3">
      <c r="A28" t="s">
        <v>58</v>
      </c>
      <c r="B28">
        <v>1</v>
      </c>
      <c r="C28">
        <v>2</v>
      </c>
      <c r="D28">
        <v>2</v>
      </c>
      <c r="E28">
        <v>2</v>
      </c>
      <c r="F28">
        <v>2</v>
      </c>
      <c r="G28">
        <v>2</v>
      </c>
      <c r="H28">
        <v>2</v>
      </c>
      <c r="J28">
        <v>2</v>
      </c>
      <c r="K28">
        <v>2</v>
      </c>
      <c r="L28">
        <v>2</v>
      </c>
      <c r="M28">
        <v>2</v>
      </c>
      <c r="N28">
        <v>2</v>
      </c>
      <c r="O28">
        <v>2</v>
      </c>
    </row>
    <row r="29" spans="1:15" x14ac:dyDescent="0.3">
      <c r="A29" t="s">
        <v>59</v>
      </c>
      <c r="B29">
        <v>1</v>
      </c>
      <c r="C29">
        <v>0</v>
      </c>
      <c r="D29">
        <v>0</v>
      </c>
      <c r="E29">
        <v>0</v>
      </c>
      <c r="F29">
        <v>0</v>
      </c>
      <c r="G29">
        <v>0</v>
      </c>
      <c r="H29">
        <v>0</v>
      </c>
      <c r="J29">
        <v>0</v>
      </c>
      <c r="K29">
        <v>0</v>
      </c>
      <c r="L29">
        <v>0</v>
      </c>
      <c r="M29">
        <v>0</v>
      </c>
      <c r="N29">
        <v>0</v>
      </c>
      <c r="O29">
        <v>0</v>
      </c>
    </row>
    <row r="30" spans="1:15" x14ac:dyDescent="0.3">
      <c r="A30" t="s">
        <v>699</v>
      </c>
      <c r="B30">
        <v>1</v>
      </c>
      <c r="D30">
        <v>0</v>
      </c>
      <c r="G30">
        <v>0</v>
      </c>
      <c r="K30">
        <v>0</v>
      </c>
      <c r="N30">
        <v>0</v>
      </c>
    </row>
    <row r="31" spans="1:15" x14ac:dyDescent="0.3">
      <c r="A31" t="s">
        <v>678</v>
      </c>
      <c r="B31">
        <v>1</v>
      </c>
      <c r="D31">
        <v>526</v>
      </c>
      <c r="G31">
        <v>579</v>
      </c>
      <c r="K31">
        <v>2966</v>
      </c>
      <c r="N31">
        <v>739</v>
      </c>
    </row>
    <row r="32" spans="1:15" x14ac:dyDescent="0.3">
      <c r="A32" t="s">
        <v>78</v>
      </c>
      <c r="B32">
        <v>1</v>
      </c>
      <c r="D32">
        <v>9</v>
      </c>
      <c r="G32">
        <v>9.9</v>
      </c>
      <c r="K32">
        <v>44.9</v>
      </c>
      <c r="N32">
        <v>11.2</v>
      </c>
    </row>
    <row r="33" spans="1:15" x14ac:dyDescent="0.3">
      <c r="A33" t="s">
        <v>700</v>
      </c>
      <c r="B33">
        <v>1</v>
      </c>
      <c r="E33">
        <v>0</v>
      </c>
      <c r="H33">
        <v>0</v>
      </c>
      <c r="L33">
        <v>0</v>
      </c>
      <c r="O33">
        <v>0</v>
      </c>
    </row>
    <row r="34" spans="1:15" x14ac:dyDescent="0.3">
      <c r="A34" t="s">
        <v>701</v>
      </c>
      <c r="B34">
        <v>1</v>
      </c>
      <c r="C34">
        <v>0</v>
      </c>
      <c r="D34">
        <v>0</v>
      </c>
      <c r="E34">
        <v>1</v>
      </c>
      <c r="F34">
        <v>0</v>
      </c>
      <c r="G34">
        <v>0</v>
      </c>
      <c r="H34">
        <v>1</v>
      </c>
      <c r="J34">
        <v>0</v>
      </c>
      <c r="K34">
        <v>0</v>
      </c>
      <c r="L34">
        <v>1</v>
      </c>
      <c r="M34">
        <v>0</v>
      </c>
      <c r="N34">
        <v>0</v>
      </c>
      <c r="O34">
        <v>1</v>
      </c>
    </row>
    <row r="35" spans="1:15" x14ac:dyDescent="0.3">
      <c r="A35" t="s">
        <v>702</v>
      </c>
      <c r="B35">
        <v>1</v>
      </c>
      <c r="C35">
        <v>0</v>
      </c>
      <c r="D35">
        <v>0</v>
      </c>
      <c r="E35">
        <v>0</v>
      </c>
      <c r="F35">
        <v>0</v>
      </c>
      <c r="G35">
        <v>0</v>
      </c>
      <c r="H35">
        <v>0</v>
      </c>
      <c r="J35">
        <v>0</v>
      </c>
      <c r="K35">
        <v>0</v>
      </c>
      <c r="L35">
        <v>0</v>
      </c>
      <c r="M35">
        <v>0</v>
      </c>
      <c r="N35">
        <v>0</v>
      </c>
      <c r="O35">
        <v>0</v>
      </c>
    </row>
    <row r="36" spans="1:15" x14ac:dyDescent="0.3">
      <c r="A36" t="s">
        <v>52</v>
      </c>
      <c r="B36">
        <v>1</v>
      </c>
      <c r="C36">
        <v>1</v>
      </c>
      <c r="D36">
        <v>1</v>
      </c>
      <c r="E36">
        <v>1</v>
      </c>
      <c r="F36">
        <v>1</v>
      </c>
      <c r="G36">
        <v>1</v>
      </c>
      <c r="H36">
        <v>1</v>
      </c>
      <c r="J36">
        <v>1</v>
      </c>
      <c r="K36">
        <v>1</v>
      </c>
      <c r="L36">
        <v>1</v>
      </c>
      <c r="M36">
        <v>1</v>
      </c>
      <c r="N36">
        <v>1</v>
      </c>
      <c r="O36">
        <v>1</v>
      </c>
    </row>
    <row r="37" spans="1:15" x14ac:dyDescent="0.3">
      <c r="A37" t="s">
        <v>703</v>
      </c>
      <c r="B37">
        <v>1</v>
      </c>
      <c r="C37">
        <v>15</v>
      </c>
      <c r="D37">
        <v>60</v>
      </c>
      <c r="E37">
        <v>9</v>
      </c>
      <c r="F37">
        <v>15</v>
      </c>
      <c r="G37">
        <v>60</v>
      </c>
      <c r="H37">
        <v>9</v>
      </c>
      <c r="J37">
        <v>15</v>
      </c>
      <c r="K37">
        <v>60</v>
      </c>
      <c r="L37">
        <v>9</v>
      </c>
      <c r="M37">
        <v>15</v>
      </c>
      <c r="N37">
        <v>60</v>
      </c>
      <c r="O37">
        <v>9</v>
      </c>
    </row>
    <row r="38" spans="1:15" x14ac:dyDescent="0.3">
      <c r="A38" t="s">
        <v>43</v>
      </c>
      <c r="B38">
        <v>1</v>
      </c>
      <c r="C38">
        <v>20</v>
      </c>
      <c r="D38">
        <v>100</v>
      </c>
      <c r="E38">
        <v>20</v>
      </c>
      <c r="F38">
        <v>20</v>
      </c>
      <c r="G38">
        <v>100</v>
      </c>
      <c r="H38">
        <v>20</v>
      </c>
      <c r="J38">
        <v>20</v>
      </c>
      <c r="K38">
        <v>100</v>
      </c>
      <c r="M38">
        <v>20</v>
      </c>
      <c r="N38">
        <v>100</v>
      </c>
    </row>
    <row r="39" spans="1:15" x14ac:dyDescent="0.3">
      <c r="A39" t="s">
        <v>44</v>
      </c>
      <c r="B39">
        <v>1</v>
      </c>
      <c r="C39">
        <v>0</v>
      </c>
      <c r="D39">
        <v>0</v>
      </c>
      <c r="E39">
        <v>0</v>
      </c>
      <c r="F39">
        <v>0</v>
      </c>
      <c r="G39">
        <v>0</v>
      </c>
      <c r="H39">
        <v>0</v>
      </c>
      <c r="J39">
        <v>0</v>
      </c>
      <c r="K39">
        <v>0</v>
      </c>
      <c r="M39">
        <v>0</v>
      </c>
      <c r="N39">
        <v>0</v>
      </c>
    </row>
    <row r="40" spans="1:15" x14ac:dyDescent="0.3">
      <c r="A40" t="s">
        <v>47</v>
      </c>
      <c r="B40">
        <v>1</v>
      </c>
      <c r="C40">
        <v>3</v>
      </c>
      <c r="D40">
        <v>8</v>
      </c>
      <c r="E40">
        <v>8</v>
      </c>
      <c r="F40">
        <v>7</v>
      </c>
      <c r="G40">
        <v>4</v>
      </c>
      <c r="H40">
        <v>4</v>
      </c>
      <c r="J40">
        <v>1</v>
      </c>
      <c r="K40">
        <v>6</v>
      </c>
      <c r="M40">
        <v>5</v>
      </c>
      <c r="N40">
        <v>2</v>
      </c>
    </row>
    <row r="41" spans="1:15" x14ac:dyDescent="0.3">
      <c r="A41" t="s">
        <v>704</v>
      </c>
      <c r="B41">
        <v>1</v>
      </c>
      <c r="C41">
        <v>0</v>
      </c>
      <c r="D41">
        <v>0</v>
      </c>
      <c r="E41">
        <v>0</v>
      </c>
      <c r="F41">
        <v>0</v>
      </c>
      <c r="G41">
        <v>0</v>
      </c>
      <c r="H41">
        <v>0</v>
      </c>
      <c r="J41">
        <v>0</v>
      </c>
      <c r="K41">
        <v>0</v>
      </c>
      <c r="M41">
        <v>0</v>
      </c>
      <c r="N41">
        <v>0</v>
      </c>
    </row>
    <row r="42" spans="1:15" x14ac:dyDescent="0.3">
      <c r="A42" t="s">
        <v>705</v>
      </c>
      <c r="B42">
        <v>1</v>
      </c>
      <c r="C42">
        <v>0</v>
      </c>
      <c r="D42">
        <v>0</v>
      </c>
      <c r="E42">
        <v>0</v>
      </c>
      <c r="F42">
        <v>0</v>
      </c>
      <c r="G42">
        <v>0</v>
      </c>
      <c r="H42">
        <v>0</v>
      </c>
      <c r="J42">
        <v>0</v>
      </c>
      <c r="K42">
        <v>0</v>
      </c>
      <c r="M42">
        <v>0</v>
      </c>
      <c r="N42">
        <v>0</v>
      </c>
    </row>
    <row r="43" spans="1:15" x14ac:dyDescent="0.3">
      <c r="A43" t="s">
        <v>706</v>
      </c>
      <c r="B43">
        <v>1</v>
      </c>
      <c r="C43">
        <v>0</v>
      </c>
      <c r="D43">
        <v>0</v>
      </c>
      <c r="E43">
        <v>0</v>
      </c>
      <c r="F43">
        <v>0</v>
      </c>
      <c r="G43">
        <v>0</v>
      </c>
      <c r="H43">
        <v>0</v>
      </c>
      <c r="J43">
        <v>0</v>
      </c>
      <c r="K43">
        <v>0</v>
      </c>
      <c r="M43">
        <v>0</v>
      </c>
      <c r="N43">
        <v>0</v>
      </c>
    </row>
    <row r="44" spans="1:15" x14ac:dyDescent="0.3">
      <c r="A44" t="s">
        <v>707</v>
      </c>
      <c r="B44">
        <v>1</v>
      </c>
      <c r="C44">
        <v>0</v>
      </c>
      <c r="D44">
        <v>0</v>
      </c>
      <c r="E44">
        <v>0</v>
      </c>
      <c r="F44">
        <v>0</v>
      </c>
      <c r="G44">
        <v>0</v>
      </c>
      <c r="H44">
        <v>0</v>
      </c>
      <c r="J44">
        <v>0</v>
      </c>
      <c r="K44">
        <v>0</v>
      </c>
      <c r="M44">
        <v>0</v>
      </c>
      <c r="N44">
        <v>0</v>
      </c>
    </row>
    <row r="45" spans="1:15" x14ac:dyDescent="0.3">
      <c r="A45" t="s">
        <v>708</v>
      </c>
      <c r="B45">
        <v>1</v>
      </c>
      <c r="C45">
        <v>1</v>
      </c>
      <c r="D45">
        <v>2</v>
      </c>
      <c r="E45">
        <v>1</v>
      </c>
      <c r="F45">
        <v>1</v>
      </c>
      <c r="G45">
        <v>2</v>
      </c>
      <c r="H45">
        <v>1</v>
      </c>
      <c r="J45">
        <v>1</v>
      </c>
      <c r="K45">
        <v>2</v>
      </c>
      <c r="M45">
        <v>1</v>
      </c>
      <c r="N45">
        <v>2</v>
      </c>
    </row>
    <row r="46" spans="1:15" x14ac:dyDescent="0.3">
      <c r="A46" t="s">
        <v>709</v>
      </c>
      <c r="B46">
        <v>1</v>
      </c>
      <c r="C46">
        <v>0</v>
      </c>
      <c r="D46">
        <v>0</v>
      </c>
      <c r="E46">
        <v>0</v>
      </c>
      <c r="F46">
        <v>0</v>
      </c>
      <c r="G46">
        <v>0</v>
      </c>
      <c r="H46">
        <v>0</v>
      </c>
      <c r="J46">
        <v>0</v>
      </c>
      <c r="K46">
        <v>0</v>
      </c>
      <c r="M46">
        <v>0</v>
      </c>
      <c r="N46">
        <v>0</v>
      </c>
    </row>
    <row r="47" spans="1:15" x14ac:dyDescent="0.3">
      <c r="A47" t="s">
        <v>710</v>
      </c>
      <c r="B47">
        <v>1</v>
      </c>
      <c r="C47">
        <v>20</v>
      </c>
      <c r="D47">
        <v>6</v>
      </c>
      <c r="E47">
        <v>20</v>
      </c>
      <c r="F47">
        <v>20</v>
      </c>
      <c r="G47">
        <v>6</v>
      </c>
      <c r="H47">
        <v>20</v>
      </c>
      <c r="J47">
        <v>20</v>
      </c>
      <c r="K47">
        <v>6</v>
      </c>
      <c r="M47">
        <v>20</v>
      </c>
      <c r="N47">
        <v>6</v>
      </c>
    </row>
    <row r="48" spans="1:15" x14ac:dyDescent="0.3">
      <c r="A48" t="s">
        <v>711</v>
      </c>
      <c r="B48">
        <v>1</v>
      </c>
      <c r="C48">
        <v>3</v>
      </c>
      <c r="D48">
        <v>3</v>
      </c>
      <c r="E48">
        <v>3</v>
      </c>
      <c r="F48">
        <v>3</v>
      </c>
      <c r="G48">
        <v>3</v>
      </c>
      <c r="H48">
        <v>3</v>
      </c>
      <c r="J48">
        <v>3</v>
      </c>
      <c r="K48">
        <v>3</v>
      </c>
      <c r="M48">
        <v>3</v>
      </c>
      <c r="N48">
        <v>3</v>
      </c>
    </row>
    <row r="49" spans="1:15" x14ac:dyDescent="0.3">
      <c r="A49" t="s">
        <v>712</v>
      </c>
      <c r="B49">
        <v>1</v>
      </c>
      <c r="C49">
        <v>0</v>
      </c>
      <c r="D49">
        <v>0</v>
      </c>
      <c r="E49">
        <v>0</v>
      </c>
      <c r="F49">
        <v>0</v>
      </c>
      <c r="G49">
        <v>0</v>
      </c>
      <c r="H49">
        <v>0</v>
      </c>
      <c r="J49">
        <v>0</v>
      </c>
      <c r="K49">
        <v>0</v>
      </c>
      <c r="M49">
        <v>0</v>
      </c>
      <c r="N49">
        <v>0</v>
      </c>
    </row>
    <row r="50" spans="1:15" x14ac:dyDescent="0.3">
      <c r="A50" t="s">
        <v>713</v>
      </c>
      <c r="B50">
        <v>1</v>
      </c>
      <c r="C50">
        <v>0</v>
      </c>
      <c r="D50">
        <v>0</v>
      </c>
      <c r="E50">
        <v>0</v>
      </c>
      <c r="F50">
        <v>0</v>
      </c>
      <c r="G50">
        <v>0</v>
      </c>
      <c r="H50">
        <v>0</v>
      </c>
      <c r="J50">
        <v>0</v>
      </c>
      <c r="K50">
        <v>0</v>
      </c>
      <c r="M50">
        <v>0</v>
      </c>
      <c r="N50">
        <v>0</v>
      </c>
    </row>
    <row r="51" spans="1:15" x14ac:dyDescent="0.3">
      <c r="A51" t="s">
        <v>714</v>
      </c>
      <c r="B51">
        <v>1</v>
      </c>
      <c r="C51">
        <v>0</v>
      </c>
      <c r="D51">
        <v>0</v>
      </c>
      <c r="E51">
        <v>0</v>
      </c>
      <c r="F51">
        <v>0</v>
      </c>
      <c r="G51">
        <v>0</v>
      </c>
      <c r="H51">
        <v>0</v>
      </c>
      <c r="J51">
        <v>0</v>
      </c>
      <c r="K51">
        <v>0</v>
      </c>
      <c r="M51">
        <v>0</v>
      </c>
      <c r="N51">
        <v>0</v>
      </c>
    </row>
    <row r="52" spans="1:15" x14ac:dyDescent="0.3">
      <c r="A52" t="s">
        <v>715</v>
      </c>
      <c r="B52">
        <v>1</v>
      </c>
      <c r="D52">
        <v>94</v>
      </c>
      <c r="G52">
        <v>94</v>
      </c>
      <c r="K52">
        <v>94</v>
      </c>
      <c r="N52">
        <v>94</v>
      </c>
    </row>
    <row r="53" spans="1:15" x14ac:dyDescent="0.3">
      <c r="A53" t="s">
        <v>716</v>
      </c>
      <c r="B53">
        <v>1</v>
      </c>
      <c r="D53">
        <v>6</v>
      </c>
      <c r="G53">
        <v>6</v>
      </c>
      <c r="K53">
        <v>6</v>
      </c>
      <c r="N53">
        <v>6</v>
      </c>
    </row>
    <row r="54" spans="1:15" x14ac:dyDescent="0.3">
      <c r="A54" t="s">
        <v>717</v>
      </c>
      <c r="B54">
        <v>1</v>
      </c>
      <c r="D54">
        <v>3</v>
      </c>
      <c r="G54">
        <v>3</v>
      </c>
      <c r="K54">
        <v>3</v>
      </c>
      <c r="N54">
        <v>3</v>
      </c>
    </row>
    <row r="55" spans="1:15" x14ac:dyDescent="0.3">
      <c r="A55" t="s">
        <v>718</v>
      </c>
      <c r="B55">
        <v>1</v>
      </c>
      <c r="D55">
        <v>0</v>
      </c>
      <c r="G55">
        <v>0</v>
      </c>
      <c r="K55">
        <v>0</v>
      </c>
      <c r="N55">
        <v>0</v>
      </c>
    </row>
    <row r="56" spans="1:15" x14ac:dyDescent="0.3">
      <c r="A56" t="s">
        <v>719</v>
      </c>
      <c r="B56">
        <v>1</v>
      </c>
      <c r="D56">
        <v>0</v>
      </c>
      <c r="G56">
        <v>0</v>
      </c>
      <c r="K56">
        <v>0</v>
      </c>
      <c r="N56">
        <v>0</v>
      </c>
    </row>
    <row r="57" spans="1:15" x14ac:dyDescent="0.3">
      <c r="A57" t="s">
        <v>405</v>
      </c>
      <c r="B57">
        <v>1</v>
      </c>
      <c r="D57">
        <v>0</v>
      </c>
    </row>
    <row r="58" spans="1:15" x14ac:dyDescent="0.3">
      <c r="A58" t="s">
        <v>720</v>
      </c>
      <c r="B58">
        <v>1</v>
      </c>
      <c r="C58">
        <v>42</v>
      </c>
      <c r="D58">
        <v>257</v>
      </c>
      <c r="E58">
        <v>66</v>
      </c>
      <c r="F58">
        <v>102</v>
      </c>
      <c r="G58">
        <v>139</v>
      </c>
      <c r="H58">
        <v>77</v>
      </c>
      <c r="J58">
        <v>218</v>
      </c>
      <c r="K58">
        <v>1665</v>
      </c>
      <c r="L58">
        <v>0</v>
      </c>
      <c r="M58">
        <v>18</v>
      </c>
      <c r="N58">
        <v>1621</v>
      </c>
      <c r="O58">
        <v>0</v>
      </c>
    </row>
    <row r="59" spans="1:15" x14ac:dyDescent="0.3">
      <c r="A59" t="s">
        <v>34</v>
      </c>
      <c r="B59">
        <v>7</v>
      </c>
      <c r="C59">
        <v>10</v>
      </c>
      <c r="D59">
        <v>10</v>
      </c>
      <c r="E59">
        <v>10</v>
      </c>
      <c r="F59">
        <v>8</v>
      </c>
      <c r="G59">
        <v>8</v>
      </c>
      <c r="H59">
        <v>8</v>
      </c>
      <c r="J59">
        <v>11</v>
      </c>
      <c r="K59">
        <v>11</v>
      </c>
      <c r="L59">
        <v>11</v>
      </c>
      <c r="M59">
        <v>9</v>
      </c>
      <c r="N59">
        <v>9</v>
      </c>
      <c r="O59">
        <v>9</v>
      </c>
    </row>
    <row r="60" spans="1:15" x14ac:dyDescent="0.3">
      <c r="A60" t="s">
        <v>35</v>
      </c>
      <c r="B60">
        <v>7</v>
      </c>
      <c r="C60">
        <v>11</v>
      </c>
      <c r="D60">
        <v>8</v>
      </c>
      <c r="E60">
        <v>9</v>
      </c>
      <c r="F60">
        <v>9</v>
      </c>
      <c r="G60">
        <v>10</v>
      </c>
      <c r="H60">
        <v>11</v>
      </c>
      <c r="J60">
        <v>8</v>
      </c>
      <c r="K60">
        <v>9</v>
      </c>
      <c r="L60">
        <v>10</v>
      </c>
      <c r="M60">
        <v>10</v>
      </c>
      <c r="N60">
        <v>11</v>
      </c>
      <c r="O60">
        <v>8</v>
      </c>
    </row>
    <row r="61" spans="1:15" x14ac:dyDescent="0.3">
      <c r="A61" t="s">
        <v>36</v>
      </c>
      <c r="B61">
        <v>7</v>
      </c>
      <c r="C61">
        <v>1</v>
      </c>
      <c r="D61">
        <v>2</v>
      </c>
      <c r="E61">
        <v>1</v>
      </c>
      <c r="F61">
        <v>1</v>
      </c>
      <c r="G61">
        <v>2</v>
      </c>
      <c r="H61">
        <v>0</v>
      </c>
      <c r="J61">
        <v>1</v>
      </c>
      <c r="K61">
        <v>3</v>
      </c>
      <c r="L61">
        <v>0</v>
      </c>
      <c r="M61">
        <v>1</v>
      </c>
      <c r="N61">
        <v>3</v>
      </c>
      <c r="O61">
        <v>0</v>
      </c>
    </row>
    <row r="62" spans="1:15" x14ac:dyDescent="0.3">
      <c r="A62" t="s">
        <v>37</v>
      </c>
      <c r="B62">
        <v>7</v>
      </c>
      <c r="C62">
        <v>0</v>
      </c>
      <c r="D62">
        <v>0</v>
      </c>
      <c r="F62">
        <v>0</v>
      </c>
      <c r="G62">
        <v>2</v>
      </c>
      <c r="J62">
        <v>0</v>
      </c>
      <c r="K62">
        <v>2</v>
      </c>
      <c r="M62">
        <v>0</v>
      </c>
      <c r="N62">
        <v>2</v>
      </c>
    </row>
    <row r="63" spans="1:15" x14ac:dyDescent="0.3">
      <c r="A63" t="s">
        <v>38</v>
      </c>
      <c r="B63">
        <v>7</v>
      </c>
      <c r="C63">
        <v>12</v>
      </c>
      <c r="D63">
        <v>12</v>
      </c>
      <c r="E63">
        <v>12</v>
      </c>
      <c r="F63">
        <v>12</v>
      </c>
      <c r="G63">
        <v>12</v>
      </c>
      <c r="H63">
        <v>12</v>
      </c>
      <c r="J63">
        <v>12</v>
      </c>
      <c r="K63">
        <v>12</v>
      </c>
      <c r="L63">
        <v>12</v>
      </c>
      <c r="M63">
        <v>12</v>
      </c>
      <c r="N63">
        <v>12</v>
      </c>
      <c r="O63">
        <v>12</v>
      </c>
    </row>
    <row r="64" spans="1:15" x14ac:dyDescent="0.3">
      <c r="A64" t="s">
        <v>39</v>
      </c>
      <c r="B64">
        <v>7</v>
      </c>
      <c r="C64">
        <v>75</v>
      </c>
      <c r="E64">
        <v>165</v>
      </c>
      <c r="F64">
        <v>120</v>
      </c>
      <c r="J64">
        <v>310</v>
      </c>
      <c r="M64">
        <v>310</v>
      </c>
    </row>
    <row r="65" spans="1:15" x14ac:dyDescent="0.3">
      <c r="A65" t="s">
        <v>695</v>
      </c>
      <c r="B65">
        <v>7</v>
      </c>
      <c r="C65">
        <v>55</v>
      </c>
      <c r="E65">
        <v>50</v>
      </c>
      <c r="F65">
        <v>90</v>
      </c>
      <c r="J65">
        <v>90</v>
      </c>
      <c r="M65">
        <v>85</v>
      </c>
    </row>
    <row r="66" spans="1:15" x14ac:dyDescent="0.3">
      <c r="A66" t="s">
        <v>40</v>
      </c>
      <c r="B66">
        <v>7</v>
      </c>
      <c r="C66">
        <v>1</v>
      </c>
      <c r="E66">
        <v>1</v>
      </c>
      <c r="F66">
        <v>1</v>
      </c>
      <c r="J66">
        <v>1</v>
      </c>
      <c r="M66">
        <v>1</v>
      </c>
    </row>
    <row r="67" spans="1:15" x14ac:dyDescent="0.3">
      <c r="A67" t="s">
        <v>41</v>
      </c>
      <c r="B67">
        <v>7</v>
      </c>
    </row>
    <row r="68" spans="1:15" x14ac:dyDescent="0.3">
      <c r="A68" t="s">
        <v>42</v>
      </c>
      <c r="B68">
        <v>7</v>
      </c>
      <c r="D68">
        <v>30</v>
      </c>
      <c r="G68">
        <v>30</v>
      </c>
      <c r="K68">
        <v>45</v>
      </c>
      <c r="N68">
        <v>45</v>
      </c>
    </row>
    <row r="69" spans="1:15" x14ac:dyDescent="0.3">
      <c r="A69" t="s">
        <v>45</v>
      </c>
      <c r="B69">
        <v>7</v>
      </c>
      <c r="C69">
        <v>3</v>
      </c>
      <c r="D69">
        <v>8</v>
      </c>
      <c r="F69">
        <v>7</v>
      </c>
      <c r="G69">
        <v>4</v>
      </c>
      <c r="J69">
        <v>1</v>
      </c>
      <c r="K69">
        <v>6</v>
      </c>
      <c r="M69">
        <v>5</v>
      </c>
      <c r="N69">
        <v>2</v>
      </c>
    </row>
    <row r="70" spans="1:15" x14ac:dyDescent="0.3">
      <c r="A70" t="s">
        <v>46</v>
      </c>
      <c r="B70">
        <v>7</v>
      </c>
      <c r="E70">
        <v>8</v>
      </c>
    </row>
    <row r="71" spans="1:15" x14ac:dyDescent="0.3">
      <c r="A71" t="s">
        <v>49</v>
      </c>
      <c r="B71">
        <v>7</v>
      </c>
      <c r="C71">
        <v>7.7</v>
      </c>
      <c r="D71">
        <v>7</v>
      </c>
      <c r="E71">
        <v>7</v>
      </c>
      <c r="F71">
        <v>7.7</v>
      </c>
      <c r="G71">
        <v>6.6</v>
      </c>
      <c r="H71">
        <v>4</v>
      </c>
      <c r="J71">
        <v>6.8</v>
      </c>
      <c r="K71">
        <v>7.1</v>
      </c>
      <c r="L71">
        <v>4</v>
      </c>
      <c r="M71">
        <v>7.1</v>
      </c>
      <c r="N71">
        <v>7</v>
      </c>
      <c r="O71">
        <v>4</v>
      </c>
    </row>
    <row r="72" spans="1:15" x14ac:dyDescent="0.3">
      <c r="A72" t="s">
        <v>696</v>
      </c>
      <c r="B72">
        <v>7</v>
      </c>
      <c r="C72">
        <v>0</v>
      </c>
      <c r="D72">
        <v>0</v>
      </c>
      <c r="E72">
        <v>0</v>
      </c>
      <c r="F72">
        <v>0</v>
      </c>
      <c r="G72">
        <v>0</v>
      </c>
      <c r="H72">
        <v>0</v>
      </c>
      <c r="J72">
        <v>0</v>
      </c>
      <c r="K72">
        <v>0</v>
      </c>
      <c r="L72">
        <v>0</v>
      </c>
      <c r="M72">
        <v>0</v>
      </c>
      <c r="N72">
        <v>0</v>
      </c>
      <c r="O72">
        <v>0</v>
      </c>
    </row>
    <row r="73" spans="1:15" x14ac:dyDescent="0.3">
      <c r="A73" t="s">
        <v>48</v>
      </c>
      <c r="B73">
        <v>7</v>
      </c>
      <c r="C73">
        <v>1900</v>
      </c>
      <c r="D73">
        <v>1900</v>
      </c>
      <c r="E73">
        <v>1900</v>
      </c>
      <c r="F73">
        <v>1900</v>
      </c>
      <c r="G73">
        <v>1900</v>
      </c>
      <c r="H73">
        <v>1900</v>
      </c>
      <c r="J73">
        <v>1900</v>
      </c>
      <c r="K73">
        <v>1900</v>
      </c>
      <c r="L73">
        <v>1900</v>
      </c>
      <c r="M73">
        <v>1900</v>
      </c>
      <c r="N73">
        <v>1900</v>
      </c>
      <c r="O73">
        <v>1900</v>
      </c>
    </row>
    <row r="74" spans="1:15" x14ac:dyDescent="0.3">
      <c r="A74" t="s">
        <v>697</v>
      </c>
      <c r="B74">
        <v>7</v>
      </c>
      <c r="C74">
        <v>1770</v>
      </c>
      <c r="D74">
        <v>3539</v>
      </c>
      <c r="E74">
        <v>1583</v>
      </c>
      <c r="F74">
        <v>1770</v>
      </c>
      <c r="G74">
        <v>3295</v>
      </c>
      <c r="H74">
        <v>0</v>
      </c>
      <c r="J74">
        <v>1770</v>
      </c>
      <c r="K74">
        <v>5080</v>
      </c>
      <c r="L74">
        <v>0</v>
      </c>
      <c r="M74">
        <v>1770</v>
      </c>
      <c r="N74">
        <v>5029</v>
      </c>
      <c r="O74">
        <v>0</v>
      </c>
    </row>
    <row r="75" spans="1:15" x14ac:dyDescent="0.3">
      <c r="A75" t="s">
        <v>50</v>
      </c>
      <c r="B75">
        <v>7</v>
      </c>
      <c r="C75">
        <v>1770</v>
      </c>
      <c r="D75">
        <v>3539</v>
      </c>
      <c r="E75">
        <v>1583</v>
      </c>
      <c r="F75">
        <v>1770</v>
      </c>
      <c r="G75">
        <v>3295</v>
      </c>
      <c r="H75">
        <v>0</v>
      </c>
      <c r="J75">
        <v>1770</v>
      </c>
      <c r="K75">
        <v>5080</v>
      </c>
      <c r="L75">
        <v>0</v>
      </c>
      <c r="M75">
        <v>1770</v>
      </c>
      <c r="N75">
        <v>5029</v>
      </c>
      <c r="O75">
        <v>0</v>
      </c>
    </row>
    <row r="76" spans="1:15" x14ac:dyDescent="0.3">
      <c r="A76" t="s">
        <v>698</v>
      </c>
      <c r="B76">
        <v>7</v>
      </c>
      <c r="C76">
        <v>1</v>
      </c>
      <c r="D76">
        <v>1</v>
      </c>
      <c r="E76">
        <v>1</v>
      </c>
      <c r="F76">
        <v>1</v>
      </c>
      <c r="G76">
        <v>1</v>
      </c>
      <c r="H76">
        <v>1</v>
      </c>
      <c r="J76">
        <v>1</v>
      </c>
      <c r="K76">
        <v>1</v>
      </c>
      <c r="L76">
        <v>1</v>
      </c>
      <c r="M76">
        <v>1</v>
      </c>
      <c r="N76">
        <v>1</v>
      </c>
      <c r="O76">
        <v>1</v>
      </c>
    </row>
    <row r="77" spans="1:15" x14ac:dyDescent="0.3">
      <c r="A77" t="s">
        <v>51</v>
      </c>
      <c r="B77">
        <v>7</v>
      </c>
      <c r="C77">
        <v>0</v>
      </c>
      <c r="D77">
        <v>0</v>
      </c>
      <c r="E77">
        <v>200</v>
      </c>
      <c r="F77">
        <v>0</v>
      </c>
      <c r="G77">
        <v>92</v>
      </c>
      <c r="H77">
        <v>0</v>
      </c>
      <c r="J77">
        <v>0</v>
      </c>
      <c r="K77">
        <v>1</v>
      </c>
      <c r="L77">
        <v>0</v>
      </c>
      <c r="M77">
        <v>0</v>
      </c>
      <c r="N77">
        <v>9</v>
      </c>
      <c r="O77">
        <v>0</v>
      </c>
    </row>
    <row r="78" spans="1:15" x14ac:dyDescent="0.3">
      <c r="A78" t="s">
        <v>53</v>
      </c>
      <c r="B78">
        <v>7</v>
      </c>
      <c r="C78">
        <v>57</v>
      </c>
      <c r="D78">
        <v>153</v>
      </c>
      <c r="E78">
        <v>39</v>
      </c>
      <c r="F78">
        <v>50</v>
      </c>
      <c r="G78">
        <v>100</v>
      </c>
      <c r="H78">
        <v>85</v>
      </c>
      <c r="J78">
        <v>173</v>
      </c>
      <c r="K78">
        <v>1715</v>
      </c>
      <c r="L78">
        <v>15</v>
      </c>
      <c r="M78">
        <v>37</v>
      </c>
      <c r="N78">
        <v>1132</v>
      </c>
      <c r="O78">
        <v>87</v>
      </c>
    </row>
    <row r="79" spans="1:15" x14ac:dyDescent="0.3">
      <c r="A79" t="s">
        <v>54</v>
      </c>
      <c r="B79">
        <v>7</v>
      </c>
      <c r="C79">
        <v>0</v>
      </c>
      <c r="D79">
        <v>0</v>
      </c>
      <c r="E79">
        <v>0</v>
      </c>
      <c r="F79">
        <v>0</v>
      </c>
      <c r="G79">
        <v>0</v>
      </c>
      <c r="H79">
        <v>0</v>
      </c>
      <c r="J79">
        <v>0</v>
      </c>
      <c r="K79">
        <v>0</v>
      </c>
      <c r="L79">
        <v>0</v>
      </c>
      <c r="M79">
        <v>0</v>
      </c>
      <c r="N79">
        <v>0</v>
      </c>
      <c r="O79">
        <v>0</v>
      </c>
    </row>
    <row r="80" spans="1:15" x14ac:dyDescent="0.3">
      <c r="A80" t="s">
        <v>55</v>
      </c>
      <c r="B80">
        <v>7</v>
      </c>
      <c r="C80">
        <v>0</v>
      </c>
      <c r="D80">
        <v>0</v>
      </c>
      <c r="E80">
        <v>0</v>
      </c>
      <c r="F80">
        <v>0</v>
      </c>
      <c r="G80">
        <v>0</v>
      </c>
      <c r="H80">
        <v>0</v>
      </c>
      <c r="J80">
        <v>0</v>
      </c>
      <c r="K80">
        <v>0</v>
      </c>
      <c r="L80">
        <v>0</v>
      </c>
      <c r="M80">
        <v>0</v>
      </c>
      <c r="N80">
        <v>0</v>
      </c>
      <c r="O80">
        <v>0</v>
      </c>
    </row>
    <row r="81" spans="1:15" x14ac:dyDescent="0.3">
      <c r="A81" t="s">
        <v>56</v>
      </c>
      <c r="B81">
        <v>7</v>
      </c>
      <c r="C81">
        <v>0.92</v>
      </c>
      <c r="D81">
        <v>0.92</v>
      </c>
      <c r="E81">
        <v>0.92</v>
      </c>
      <c r="F81">
        <v>0.92</v>
      </c>
      <c r="G81">
        <v>0.92</v>
      </c>
      <c r="H81">
        <v>0.92</v>
      </c>
      <c r="J81">
        <v>0.92</v>
      </c>
      <c r="K81">
        <v>0.92</v>
      </c>
      <c r="L81">
        <v>0.92</v>
      </c>
      <c r="M81">
        <v>0.92</v>
      </c>
      <c r="N81">
        <v>0.92</v>
      </c>
      <c r="O81">
        <v>0.92</v>
      </c>
    </row>
    <row r="82" spans="1:15" x14ac:dyDescent="0.3">
      <c r="A82" t="s">
        <v>57</v>
      </c>
      <c r="B82">
        <v>7</v>
      </c>
      <c r="C82">
        <v>100</v>
      </c>
      <c r="D82">
        <v>100</v>
      </c>
      <c r="E82">
        <v>100</v>
      </c>
      <c r="F82">
        <v>100</v>
      </c>
      <c r="G82">
        <v>100</v>
      </c>
      <c r="H82">
        <v>100</v>
      </c>
      <c r="J82">
        <v>100</v>
      </c>
      <c r="K82">
        <v>100</v>
      </c>
      <c r="L82">
        <v>100</v>
      </c>
      <c r="M82">
        <v>100</v>
      </c>
      <c r="N82">
        <v>100</v>
      </c>
      <c r="O82">
        <v>100</v>
      </c>
    </row>
    <row r="83" spans="1:15" x14ac:dyDescent="0.3">
      <c r="A83" t="s">
        <v>58</v>
      </c>
      <c r="B83">
        <v>7</v>
      </c>
      <c r="C83">
        <v>2</v>
      </c>
      <c r="D83">
        <v>2</v>
      </c>
      <c r="E83">
        <v>2</v>
      </c>
      <c r="F83">
        <v>2</v>
      </c>
      <c r="G83">
        <v>2</v>
      </c>
      <c r="H83">
        <v>2</v>
      </c>
      <c r="J83">
        <v>2</v>
      </c>
      <c r="K83">
        <v>2</v>
      </c>
      <c r="L83">
        <v>2</v>
      </c>
      <c r="M83">
        <v>2</v>
      </c>
      <c r="N83">
        <v>2</v>
      </c>
      <c r="O83">
        <v>2</v>
      </c>
    </row>
    <row r="84" spans="1:15" x14ac:dyDescent="0.3">
      <c r="A84" t="s">
        <v>59</v>
      </c>
      <c r="B84">
        <v>7</v>
      </c>
      <c r="C84">
        <v>0</v>
      </c>
      <c r="D84">
        <v>0</v>
      </c>
      <c r="E84">
        <v>0</v>
      </c>
      <c r="F84">
        <v>0</v>
      </c>
      <c r="G84">
        <v>0</v>
      </c>
      <c r="H84">
        <v>0</v>
      </c>
      <c r="J84">
        <v>0</v>
      </c>
      <c r="K84">
        <v>0</v>
      </c>
      <c r="L84">
        <v>0</v>
      </c>
      <c r="M84">
        <v>0</v>
      </c>
      <c r="N84">
        <v>0</v>
      </c>
      <c r="O84">
        <v>0</v>
      </c>
    </row>
    <row r="85" spans="1:15" x14ac:dyDescent="0.3">
      <c r="A85" t="s">
        <v>699</v>
      </c>
      <c r="B85">
        <v>7</v>
      </c>
      <c r="D85">
        <v>0</v>
      </c>
      <c r="G85">
        <v>0</v>
      </c>
      <c r="K85">
        <v>0</v>
      </c>
      <c r="N85">
        <v>0</v>
      </c>
    </row>
    <row r="86" spans="1:15" x14ac:dyDescent="0.3">
      <c r="A86" t="s">
        <v>678</v>
      </c>
      <c r="B86">
        <v>7</v>
      </c>
      <c r="D86">
        <v>512</v>
      </c>
      <c r="G86">
        <v>667</v>
      </c>
      <c r="K86">
        <v>2820</v>
      </c>
      <c r="N86">
        <v>2784</v>
      </c>
    </row>
    <row r="87" spans="1:15" x14ac:dyDescent="0.3">
      <c r="A87" t="s">
        <v>78</v>
      </c>
      <c r="B87">
        <v>7</v>
      </c>
      <c r="D87">
        <v>11.6</v>
      </c>
      <c r="G87">
        <v>15.2</v>
      </c>
      <c r="K87">
        <v>42.7</v>
      </c>
      <c r="N87">
        <v>42.2</v>
      </c>
    </row>
    <row r="88" spans="1:15" x14ac:dyDescent="0.3">
      <c r="A88" t="s">
        <v>700</v>
      </c>
      <c r="B88">
        <v>7</v>
      </c>
      <c r="E88">
        <v>0</v>
      </c>
      <c r="H88">
        <v>0</v>
      </c>
      <c r="L88">
        <v>0</v>
      </c>
      <c r="O88">
        <v>0</v>
      </c>
    </row>
    <row r="89" spans="1:15" x14ac:dyDescent="0.3">
      <c r="A89" t="s">
        <v>701</v>
      </c>
      <c r="B89">
        <v>7</v>
      </c>
      <c r="C89">
        <v>0</v>
      </c>
      <c r="D89">
        <v>0</v>
      </c>
      <c r="E89">
        <v>1</v>
      </c>
      <c r="F89">
        <v>0</v>
      </c>
      <c r="G89">
        <v>0</v>
      </c>
      <c r="H89">
        <v>1</v>
      </c>
      <c r="J89">
        <v>0</v>
      </c>
      <c r="K89">
        <v>0</v>
      </c>
      <c r="L89">
        <v>1</v>
      </c>
      <c r="M89">
        <v>0</v>
      </c>
      <c r="N89">
        <v>0</v>
      </c>
      <c r="O89">
        <v>1</v>
      </c>
    </row>
    <row r="90" spans="1:15" x14ac:dyDescent="0.3">
      <c r="A90" t="s">
        <v>702</v>
      </c>
      <c r="B90">
        <v>7</v>
      </c>
      <c r="C90">
        <v>0</v>
      </c>
      <c r="D90">
        <v>0</v>
      </c>
      <c r="E90">
        <v>0</v>
      </c>
      <c r="F90">
        <v>0</v>
      </c>
      <c r="G90">
        <v>0</v>
      </c>
      <c r="H90">
        <v>0</v>
      </c>
      <c r="J90">
        <v>0</v>
      </c>
      <c r="K90">
        <v>0</v>
      </c>
      <c r="L90">
        <v>0</v>
      </c>
      <c r="M90">
        <v>0</v>
      </c>
      <c r="N90">
        <v>0</v>
      </c>
      <c r="O90">
        <v>0</v>
      </c>
    </row>
    <row r="91" spans="1:15" x14ac:dyDescent="0.3">
      <c r="A91" t="s">
        <v>52</v>
      </c>
      <c r="B91">
        <v>7</v>
      </c>
      <c r="C91">
        <v>1</v>
      </c>
      <c r="D91">
        <v>1</v>
      </c>
      <c r="E91">
        <v>1</v>
      </c>
      <c r="F91">
        <v>1</v>
      </c>
      <c r="G91">
        <v>1</v>
      </c>
      <c r="H91">
        <v>1</v>
      </c>
      <c r="J91">
        <v>1</v>
      </c>
      <c r="K91">
        <v>1</v>
      </c>
      <c r="L91">
        <v>1</v>
      </c>
      <c r="M91">
        <v>1</v>
      </c>
      <c r="N91">
        <v>1</v>
      </c>
      <c r="O91">
        <v>1</v>
      </c>
    </row>
    <row r="92" spans="1:15" x14ac:dyDescent="0.3">
      <c r="A92" t="s">
        <v>703</v>
      </c>
      <c r="B92">
        <v>7</v>
      </c>
      <c r="C92">
        <v>15</v>
      </c>
      <c r="D92">
        <v>60</v>
      </c>
      <c r="E92">
        <v>9</v>
      </c>
      <c r="F92">
        <v>15</v>
      </c>
      <c r="G92">
        <v>60</v>
      </c>
      <c r="H92">
        <v>9</v>
      </c>
      <c r="J92">
        <v>15</v>
      </c>
      <c r="K92">
        <v>60</v>
      </c>
      <c r="L92">
        <v>9</v>
      </c>
      <c r="M92">
        <v>15</v>
      </c>
      <c r="N92">
        <v>60</v>
      </c>
      <c r="O92">
        <v>9</v>
      </c>
    </row>
    <row r="93" spans="1:15" x14ac:dyDescent="0.3">
      <c r="A93" t="s">
        <v>43</v>
      </c>
      <c r="B93">
        <v>7</v>
      </c>
      <c r="C93">
        <v>0</v>
      </c>
      <c r="D93">
        <v>0</v>
      </c>
      <c r="E93">
        <v>0</v>
      </c>
      <c r="F93">
        <v>0</v>
      </c>
      <c r="G93">
        <v>0</v>
      </c>
      <c r="J93">
        <v>0</v>
      </c>
      <c r="K93">
        <v>0</v>
      </c>
      <c r="M93">
        <v>0</v>
      </c>
      <c r="N93">
        <v>0</v>
      </c>
    </row>
    <row r="94" spans="1:15" x14ac:dyDescent="0.3">
      <c r="A94" t="s">
        <v>44</v>
      </c>
      <c r="B94">
        <v>7</v>
      </c>
      <c r="C94">
        <v>0</v>
      </c>
      <c r="D94">
        <v>0</v>
      </c>
      <c r="E94">
        <v>0</v>
      </c>
      <c r="F94">
        <v>0</v>
      </c>
      <c r="G94">
        <v>0</v>
      </c>
      <c r="J94">
        <v>0</v>
      </c>
      <c r="K94">
        <v>0</v>
      </c>
      <c r="M94">
        <v>0</v>
      </c>
      <c r="N94">
        <v>0</v>
      </c>
    </row>
    <row r="95" spans="1:15" x14ac:dyDescent="0.3">
      <c r="A95" t="s">
        <v>47</v>
      </c>
      <c r="B95">
        <v>7</v>
      </c>
      <c r="C95">
        <v>3</v>
      </c>
      <c r="D95">
        <v>8</v>
      </c>
      <c r="E95">
        <v>8</v>
      </c>
      <c r="F95">
        <v>7</v>
      </c>
      <c r="G95">
        <v>4</v>
      </c>
      <c r="J95">
        <v>1</v>
      </c>
      <c r="K95">
        <v>6</v>
      </c>
      <c r="M95">
        <v>5</v>
      </c>
      <c r="N95">
        <v>2</v>
      </c>
    </row>
    <row r="96" spans="1:15" x14ac:dyDescent="0.3">
      <c r="A96" t="s">
        <v>704</v>
      </c>
      <c r="B96">
        <v>7</v>
      </c>
      <c r="C96">
        <v>0</v>
      </c>
      <c r="D96">
        <v>0</v>
      </c>
      <c r="E96">
        <v>0</v>
      </c>
      <c r="F96">
        <v>0</v>
      </c>
      <c r="G96">
        <v>0</v>
      </c>
      <c r="J96">
        <v>0</v>
      </c>
      <c r="K96">
        <v>0</v>
      </c>
      <c r="M96">
        <v>0</v>
      </c>
      <c r="N96">
        <v>0</v>
      </c>
    </row>
    <row r="97" spans="1:15" x14ac:dyDescent="0.3">
      <c r="A97" t="s">
        <v>705</v>
      </c>
      <c r="B97">
        <v>7</v>
      </c>
      <c r="C97">
        <v>0</v>
      </c>
      <c r="D97">
        <v>0</v>
      </c>
      <c r="E97">
        <v>0</v>
      </c>
      <c r="F97">
        <v>0</v>
      </c>
      <c r="G97">
        <v>0</v>
      </c>
      <c r="J97">
        <v>0</v>
      </c>
      <c r="K97">
        <v>0</v>
      </c>
      <c r="M97">
        <v>0</v>
      </c>
      <c r="N97">
        <v>0</v>
      </c>
    </row>
    <row r="98" spans="1:15" x14ac:dyDescent="0.3">
      <c r="A98" t="s">
        <v>706</v>
      </c>
      <c r="B98">
        <v>7</v>
      </c>
      <c r="C98">
        <v>0</v>
      </c>
      <c r="D98">
        <v>0</v>
      </c>
      <c r="E98">
        <v>0</v>
      </c>
      <c r="F98">
        <v>0</v>
      </c>
      <c r="G98">
        <v>0</v>
      </c>
      <c r="J98">
        <v>0</v>
      </c>
      <c r="K98">
        <v>0</v>
      </c>
      <c r="M98">
        <v>0</v>
      </c>
      <c r="N98">
        <v>0</v>
      </c>
    </row>
    <row r="99" spans="1:15" x14ac:dyDescent="0.3">
      <c r="A99" t="s">
        <v>707</v>
      </c>
      <c r="B99">
        <v>7</v>
      </c>
      <c r="C99">
        <v>0</v>
      </c>
      <c r="D99">
        <v>0</v>
      </c>
      <c r="E99">
        <v>0</v>
      </c>
      <c r="F99">
        <v>0</v>
      </c>
      <c r="G99">
        <v>0</v>
      </c>
      <c r="J99">
        <v>0</v>
      </c>
      <c r="K99">
        <v>0</v>
      </c>
      <c r="M99">
        <v>0</v>
      </c>
      <c r="N99">
        <v>0</v>
      </c>
    </row>
    <row r="100" spans="1:15" x14ac:dyDescent="0.3">
      <c r="A100" t="s">
        <v>708</v>
      </c>
      <c r="B100">
        <v>7</v>
      </c>
      <c r="C100">
        <v>0</v>
      </c>
      <c r="D100">
        <v>0</v>
      </c>
      <c r="E100">
        <v>0</v>
      </c>
      <c r="F100">
        <v>0</v>
      </c>
      <c r="G100">
        <v>0</v>
      </c>
      <c r="J100">
        <v>0</v>
      </c>
      <c r="K100">
        <v>0</v>
      </c>
      <c r="M100">
        <v>0</v>
      </c>
      <c r="N100">
        <v>0</v>
      </c>
    </row>
    <row r="101" spans="1:15" x14ac:dyDescent="0.3">
      <c r="A101" t="s">
        <v>719</v>
      </c>
      <c r="B101">
        <v>7</v>
      </c>
      <c r="D101">
        <v>0</v>
      </c>
      <c r="G101">
        <v>0</v>
      </c>
      <c r="K101">
        <v>0</v>
      </c>
      <c r="N101">
        <v>0</v>
      </c>
    </row>
    <row r="102" spans="1:15" x14ac:dyDescent="0.3">
      <c r="A102" t="s">
        <v>405</v>
      </c>
      <c r="B102">
        <v>7</v>
      </c>
      <c r="D102">
        <v>0</v>
      </c>
    </row>
    <row r="103" spans="1:15" x14ac:dyDescent="0.3">
      <c r="A103" t="s">
        <v>720</v>
      </c>
      <c r="B103">
        <v>7</v>
      </c>
      <c r="C103">
        <v>62</v>
      </c>
      <c r="D103">
        <v>166</v>
      </c>
      <c r="E103">
        <v>42</v>
      </c>
      <c r="F103">
        <v>54</v>
      </c>
      <c r="G103">
        <v>201</v>
      </c>
      <c r="H103">
        <v>0</v>
      </c>
      <c r="J103">
        <v>188</v>
      </c>
      <c r="K103">
        <v>1880</v>
      </c>
      <c r="L103">
        <v>0</v>
      </c>
      <c r="M103">
        <v>40</v>
      </c>
      <c r="N103">
        <v>1325</v>
      </c>
      <c r="O103">
        <v>0</v>
      </c>
    </row>
    <row r="104" spans="1:15" x14ac:dyDescent="0.3">
      <c r="A104" t="s">
        <v>34</v>
      </c>
      <c r="B104">
        <v>9</v>
      </c>
      <c r="C104">
        <v>6</v>
      </c>
      <c r="D104">
        <v>6</v>
      </c>
      <c r="E104">
        <v>6</v>
      </c>
      <c r="F104">
        <v>4</v>
      </c>
      <c r="G104">
        <v>4</v>
      </c>
      <c r="H104">
        <v>4</v>
      </c>
      <c r="J104">
        <v>7</v>
      </c>
      <c r="K104">
        <v>7</v>
      </c>
      <c r="L104">
        <v>7</v>
      </c>
      <c r="M104">
        <v>1</v>
      </c>
      <c r="N104">
        <v>1</v>
      </c>
      <c r="O104">
        <v>1</v>
      </c>
    </row>
    <row r="105" spans="1:15" x14ac:dyDescent="0.3">
      <c r="A105" t="s">
        <v>35</v>
      </c>
      <c r="B105">
        <v>9</v>
      </c>
      <c r="C105">
        <v>7</v>
      </c>
      <c r="D105">
        <v>4</v>
      </c>
      <c r="E105">
        <v>1</v>
      </c>
      <c r="F105">
        <v>1</v>
      </c>
      <c r="G105">
        <v>6</v>
      </c>
      <c r="H105">
        <v>7</v>
      </c>
      <c r="J105">
        <v>4</v>
      </c>
      <c r="K105">
        <v>1</v>
      </c>
      <c r="L105">
        <v>6</v>
      </c>
      <c r="M105">
        <v>6</v>
      </c>
      <c r="N105">
        <v>7</v>
      </c>
      <c r="O105">
        <v>4</v>
      </c>
    </row>
    <row r="106" spans="1:15" x14ac:dyDescent="0.3">
      <c r="A106" t="s">
        <v>36</v>
      </c>
      <c r="B106">
        <v>9</v>
      </c>
      <c r="C106">
        <v>1</v>
      </c>
      <c r="D106">
        <v>1</v>
      </c>
      <c r="E106">
        <v>1</v>
      </c>
      <c r="F106">
        <v>1</v>
      </c>
      <c r="G106">
        <v>1</v>
      </c>
      <c r="H106">
        <v>1</v>
      </c>
      <c r="J106">
        <v>1</v>
      </c>
      <c r="K106">
        <v>3</v>
      </c>
      <c r="L106">
        <v>0</v>
      </c>
      <c r="M106">
        <v>1</v>
      </c>
      <c r="N106">
        <v>3</v>
      </c>
      <c r="O106">
        <v>0</v>
      </c>
    </row>
    <row r="107" spans="1:15" x14ac:dyDescent="0.3">
      <c r="A107" t="s">
        <v>37</v>
      </c>
      <c r="B107">
        <v>9</v>
      </c>
      <c r="C107">
        <v>0</v>
      </c>
      <c r="D107">
        <v>0</v>
      </c>
      <c r="F107">
        <v>0</v>
      </c>
      <c r="G107">
        <v>0</v>
      </c>
      <c r="J107">
        <v>0</v>
      </c>
      <c r="K107">
        <v>2</v>
      </c>
      <c r="M107">
        <v>0</v>
      </c>
      <c r="N107">
        <v>2</v>
      </c>
    </row>
    <row r="108" spans="1:15" x14ac:dyDescent="0.3">
      <c r="A108" t="s">
        <v>38</v>
      </c>
      <c r="B108">
        <v>9</v>
      </c>
      <c r="C108">
        <v>12</v>
      </c>
      <c r="D108">
        <v>12</v>
      </c>
      <c r="E108">
        <v>12</v>
      </c>
      <c r="F108">
        <v>12</v>
      </c>
      <c r="G108">
        <v>12</v>
      </c>
      <c r="H108">
        <v>12</v>
      </c>
      <c r="J108">
        <v>12</v>
      </c>
      <c r="K108">
        <v>12</v>
      </c>
      <c r="L108">
        <v>12</v>
      </c>
      <c r="M108">
        <v>12</v>
      </c>
      <c r="N108">
        <v>12</v>
      </c>
      <c r="O108">
        <v>12</v>
      </c>
    </row>
    <row r="109" spans="1:15" x14ac:dyDescent="0.3">
      <c r="A109" t="s">
        <v>39</v>
      </c>
      <c r="B109">
        <v>9</v>
      </c>
      <c r="C109">
        <v>90</v>
      </c>
      <c r="F109">
        <v>130</v>
      </c>
      <c r="H109">
        <v>130</v>
      </c>
      <c r="J109">
        <v>410</v>
      </c>
      <c r="M109">
        <v>400</v>
      </c>
    </row>
    <row r="110" spans="1:15" x14ac:dyDescent="0.3">
      <c r="A110" t="s">
        <v>695</v>
      </c>
      <c r="B110">
        <v>9</v>
      </c>
      <c r="C110">
        <v>290</v>
      </c>
      <c r="F110">
        <v>85</v>
      </c>
      <c r="H110">
        <v>85</v>
      </c>
      <c r="J110">
        <v>85</v>
      </c>
      <c r="M110">
        <v>95</v>
      </c>
    </row>
    <row r="111" spans="1:15" x14ac:dyDescent="0.3">
      <c r="A111" t="s">
        <v>40</v>
      </c>
      <c r="B111">
        <v>9</v>
      </c>
      <c r="C111">
        <v>1</v>
      </c>
      <c r="F111">
        <v>1</v>
      </c>
      <c r="H111">
        <v>1</v>
      </c>
      <c r="J111">
        <v>1</v>
      </c>
      <c r="M111">
        <v>1</v>
      </c>
    </row>
    <row r="112" spans="1:15" x14ac:dyDescent="0.3">
      <c r="A112" t="s">
        <v>41</v>
      </c>
      <c r="B112">
        <v>9</v>
      </c>
    </row>
    <row r="113" spans="1:15" x14ac:dyDescent="0.3">
      <c r="A113" t="s">
        <v>42</v>
      </c>
      <c r="B113">
        <v>9</v>
      </c>
      <c r="D113">
        <v>35</v>
      </c>
      <c r="G113">
        <v>30</v>
      </c>
      <c r="K113">
        <v>45</v>
      </c>
      <c r="N113">
        <v>45</v>
      </c>
    </row>
    <row r="114" spans="1:15" x14ac:dyDescent="0.3">
      <c r="A114" t="s">
        <v>45</v>
      </c>
      <c r="B114">
        <v>9</v>
      </c>
      <c r="C114">
        <v>3</v>
      </c>
      <c r="D114">
        <v>8</v>
      </c>
      <c r="F114">
        <v>7</v>
      </c>
      <c r="G114">
        <v>4</v>
      </c>
      <c r="J114">
        <v>1</v>
      </c>
      <c r="K114">
        <v>6</v>
      </c>
      <c r="M114">
        <v>5</v>
      </c>
      <c r="N114">
        <v>2</v>
      </c>
    </row>
    <row r="115" spans="1:15" x14ac:dyDescent="0.3">
      <c r="A115" t="s">
        <v>46</v>
      </c>
      <c r="B115">
        <v>9</v>
      </c>
      <c r="E115">
        <v>8</v>
      </c>
      <c r="H115">
        <v>4</v>
      </c>
    </row>
    <row r="116" spans="1:15" x14ac:dyDescent="0.3">
      <c r="A116" t="s">
        <v>49</v>
      </c>
      <c r="B116">
        <v>9</v>
      </c>
      <c r="C116">
        <v>6.9</v>
      </c>
      <c r="D116">
        <v>7</v>
      </c>
      <c r="E116">
        <v>7</v>
      </c>
      <c r="F116">
        <v>6.9</v>
      </c>
      <c r="G116">
        <v>6.8</v>
      </c>
      <c r="H116">
        <v>6.8</v>
      </c>
      <c r="J116">
        <v>6.7</v>
      </c>
      <c r="K116">
        <v>6.8</v>
      </c>
      <c r="L116">
        <v>4</v>
      </c>
      <c r="M116">
        <v>6.7</v>
      </c>
      <c r="N116">
        <v>6.4</v>
      </c>
      <c r="O116">
        <v>4</v>
      </c>
    </row>
    <row r="117" spans="1:15" x14ac:dyDescent="0.3">
      <c r="A117" t="s">
        <v>696</v>
      </c>
      <c r="B117">
        <v>9</v>
      </c>
      <c r="C117">
        <v>0</v>
      </c>
      <c r="D117">
        <v>0</v>
      </c>
      <c r="E117">
        <v>0</v>
      </c>
      <c r="F117">
        <v>0</v>
      </c>
      <c r="G117">
        <v>0</v>
      </c>
      <c r="H117">
        <v>0</v>
      </c>
      <c r="J117">
        <v>0</v>
      </c>
      <c r="K117">
        <v>0</v>
      </c>
      <c r="L117">
        <v>0</v>
      </c>
      <c r="M117">
        <v>0</v>
      </c>
      <c r="N117">
        <v>0</v>
      </c>
      <c r="O117">
        <v>0</v>
      </c>
    </row>
    <row r="118" spans="1:15" x14ac:dyDescent="0.3">
      <c r="A118" t="s">
        <v>48</v>
      </c>
      <c r="B118">
        <v>9</v>
      </c>
      <c r="C118">
        <v>1900</v>
      </c>
      <c r="D118">
        <v>1900</v>
      </c>
      <c r="E118">
        <v>1900</v>
      </c>
      <c r="F118">
        <v>1900</v>
      </c>
      <c r="G118">
        <v>1900</v>
      </c>
      <c r="H118">
        <v>1900</v>
      </c>
      <c r="J118">
        <v>1900</v>
      </c>
      <c r="K118">
        <v>1900</v>
      </c>
      <c r="L118">
        <v>1900</v>
      </c>
      <c r="M118">
        <v>1900</v>
      </c>
      <c r="N118">
        <v>1900</v>
      </c>
      <c r="O118">
        <v>1900</v>
      </c>
    </row>
    <row r="119" spans="1:15" x14ac:dyDescent="0.3">
      <c r="A119" t="s">
        <v>697</v>
      </c>
      <c r="B119">
        <v>9</v>
      </c>
      <c r="C119">
        <v>1770</v>
      </c>
      <c r="D119">
        <v>1863</v>
      </c>
      <c r="E119">
        <v>1583</v>
      </c>
      <c r="F119">
        <v>1770</v>
      </c>
      <c r="G119">
        <v>1863</v>
      </c>
      <c r="H119">
        <v>1583</v>
      </c>
      <c r="J119">
        <v>1770</v>
      </c>
      <c r="K119">
        <v>5075</v>
      </c>
      <c r="L119">
        <v>0</v>
      </c>
      <c r="M119">
        <v>1770</v>
      </c>
      <c r="N119">
        <v>4994</v>
      </c>
      <c r="O119">
        <v>0</v>
      </c>
    </row>
    <row r="120" spans="1:15" x14ac:dyDescent="0.3">
      <c r="A120" t="s">
        <v>50</v>
      </c>
      <c r="B120">
        <v>9</v>
      </c>
      <c r="C120">
        <v>1770</v>
      </c>
      <c r="D120">
        <v>1863</v>
      </c>
      <c r="E120">
        <v>1583</v>
      </c>
      <c r="F120">
        <v>1770</v>
      </c>
      <c r="G120">
        <v>1863</v>
      </c>
      <c r="H120">
        <v>1583</v>
      </c>
      <c r="J120">
        <v>1770</v>
      </c>
      <c r="K120">
        <v>5075</v>
      </c>
      <c r="L120">
        <v>0</v>
      </c>
      <c r="M120">
        <v>1770</v>
      </c>
      <c r="N120">
        <v>4994</v>
      </c>
      <c r="O120">
        <v>0</v>
      </c>
    </row>
    <row r="121" spans="1:15" x14ac:dyDescent="0.3">
      <c r="A121" t="s">
        <v>698</v>
      </c>
      <c r="B121">
        <v>9</v>
      </c>
      <c r="C121">
        <v>1</v>
      </c>
      <c r="D121">
        <v>1</v>
      </c>
      <c r="E121">
        <v>1</v>
      </c>
      <c r="F121">
        <v>1</v>
      </c>
      <c r="G121">
        <v>1</v>
      </c>
      <c r="H121">
        <v>1</v>
      </c>
      <c r="J121">
        <v>1</v>
      </c>
      <c r="K121">
        <v>1</v>
      </c>
      <c r="L121">
        <v>1</v>
      </c>
      <c r="M121">
        <v>1</v>
      </c>
      <c r="N121">
        <v>1</v>
      </c>
      <c r="O121">
        <v>1</v>
      </c>
    </row>
    <row r="122" spans="1:15" x14ac:dyDescent="0.3">
      <c r="A122" t="s">
        <v>51</v>
      </c>
      <c r="B122">
        <v>9</v>
      </c>
      <c r="C122">
        <v>0</v>
      </c>
      <c r="D122">
        <v>0</v>
      </c>
      <c r="E122">
        <v>188</v>
      </c>
      <c r="F122">
        <v>0</v>
      </c>
      <c r="G122">
        <v>0</v>
      </c>
      <c r="H122">
        <v>188</v>
      </c>
      <c r="J122">
        <v>0</v>
      </c>
      <c r="K122">
        <v>2</v>
      </c>
      <c r="L122">
        <v>0</v>
      </c>
      <c r="M122">
        <v>0</v>
      </c>
      <c r="N122">
        <v>19</v>
      </c>
      <c r="O122">
        <v>0</v>
      </c>
    </row>
    <row r="123" spans="1:15" x14ac:dyDescent="0.3">
      <c r="A123" t="s">
        <v>53</v>
      </c>
      <c r="B123">
        <v>9</v>
      </c>
      <c r="C123">
        <v>32</v>
      </c>
      <c r="D123">
        <v>100</v>
      </c>
      <c r="E123">
        <v>25</v>
      </c>
      <c r="F123">
        <v>63</v>
      </c>
      <c r="G123">
        <v>74</v>
      </c>
      <c r="H123">
        <v>53</v>
      </c>
      <c r="J123">
        <v>115</v>
      </c>
      <c r="K123">
        <v>1661</v>
      </c>
      <c r="L123">
        <v>22</v>
      </c>
      <c r="M123">
        <v>18</v>
      </c>
      <c r="N123">
        <v>1198</v>
      </c>
      <c r="O123">
        <v>159</v>
      </c>
    </row>
    <row r="124" spans="1:15" x14ac:dyDescent="0.3">
      <c r="A124" t="s">
        <v>54</v>
      </c>
      <c r="B124">
        <v>9</v>
      </c>
      <c r="C124">
        <v>0</v>
      </c>
      <c r="D124">
        <v>0</v>
      </c>
      <c r="E124">
        <v>0</v>
      </c>
      <c r="F124">
        <v>0</v>
      </c>
      <c r="G124">
        <v>0</v>
      </c>
      <c r="H124">
        <v>0</v>
      </c>
      <c r="J124">
        <v>0</v>
      </c>
      <c r="K124">
        <v>0</v>
      </c>
      <c r="L124">
        <v>0</v>
      </c>
      <c r="M124">
        <v>0</v>
      </c>
      <c r="N124">
        <v>0</v>
      </c>
      <c r="O124">
        <v>0</v>
      </c>
    </row>
    <row r="125" spans="1:15" x14ac:dyDescent="0.3">
      <c r="A125" t="s">
        <v>55</v>
      </c>
      <c r="B125">
        <v>9</v>
      </c>
      <c r="C125">
        <v>0</v>
      </c>
      <c r="D125">
        <v>0</v>
      </c>
      <c r="E125">
        <v>0</v>
      </c>
      <c r="F125">
        <v>0</v>
      </c>
      <c r="G125">
        <v>0</v>
      </c>
      <c r="H125">
        <v>0</v>
      </c>
      <c r="J125">
        <v>0</v>
      </c>
      <c r="K125">
        <v>0</v>
      </c>
      <c r="L125">
        <v>0</v>
      </c>
      <c r="M125">
        <v>0</v>
      </c>
      <c r="N125">
        <v>0</v>
      </c>
      <c r="O125">
        <v>0</v>
      </c>
    </row>
    <row r="126" spans="1:15" x14ac:dyDescent="0.3">
      <c r="A126" t="s">
        <v>56</v>
      </c>
      <c r="B126">
        <v>9</v>
      </c>
      <c r="C126">
        <v>0.92</v>
      </c>
      <c r="D126">
        <v>0.92</v>
      </c>
      <c r="E126">
        <v>0.92</v>
      </c>
      <c r="F126">
        <v>0.92</v>
      </c>
      <c r="G126">
        <v>0.92</v>
      </c>
      <c r="H126">
        <v>0.92</v>
      </c>
      <c r="J126">
        <v>0.92</v>
      </c>
      <c r="K126">
        <v>0.92</v>
      </c>
      <c r="L126">
        <v>0.92</v>
      </c>
      <c r="M126">
        <v>0.92</v>
      </c>
      <c r="N126">
        <v>0.92</v>
      </c>
      <c r="O126">
        <v>0.92</v>
      </c>
    </row>
    <row r="127" spans="1:15" x14ac:dyDescent="0.3">
      <c r="A127" t="s">
        <v>57</v>
      </c>
      <c r="B127">
        <v>9</v>
      </c>
      <c r="C127">
        <v>100</v>
      </c>
      <c r="D127">
        <v>100</v>
      </c>
      <c r="E127">
        <v>100</v>
      </c>
      <c r="F127">
        <v>100</v>
      </c>
      <c r="G127">
        <v>100</v>
      </c>
      <c r="H127">
        <v>100</v>
      </c>
      <c r="J127">
        <v>100</v>
      </c>
      <c r="K127">
        <v>100</v>
      </c>
      <c r="L127">
        <v>100</v>
      </c>
      <c r="M127">
        <v>100</v>
      </c>
      <c r="N127">
        <v>100</v>
      </c>
      <c r="O127">
        <v>100</v>
      </c>
    </row>
    <row r="128" spans="1:15" x14ac:dyDescent="0.3">
      <c r="A128" t="s">
        <v>58</v>
      </c>
      <c r="B128">
        <v>9</v>
      </c>
      <c r="C128">
        <v>2</v>
      </c>
      <c r="D128">
        <v>2</v>
      </c>
      <c r="E128">
        <v>2</v>
      </c>
      <c r="F128">
        <v>2</v>
      </c>
      <c r="G128">
        <v>2</v>
      </c>
      <c r="H128">
        <v>2</v>
      </c>
      <c r="J128">
        <v>2</v>
      </c>
      <c r="K128">
        <v>2</v>
      </c>
      <c r="L128">
        <v>2</v>
      </c>
      <c r="M128">
        <v>2</v>
      </c>
      <c r="N128">
        <v>2</v>
      </c>
      <c r="O128">
        <v>2</v>
      </c>
    </row>
    <row r="129" spans="1:15" x14ac:dyDescent="0.3">
      <c r="A129" t="s">
        <v>59</v>
      </c>
      <c r="B129">
        <v>9</v>
      </c>
      <c r="C129">
        <v>0</v>
      </c>
      <c r="D129">
        <v>0</v>
      </c>
      <c r="E129">
        <v>0</v>
      </c>
      <c r="F129">
        <v>0</v>
      </c>
      <c r="G129">
        <v>0</v>
      </c>
      <c r="H129">
        <v>0</v>
      </c>
      <c r="J129">
        <v>0</v>
      </c>
      <c r="K129">
        <v>0</v>
      </c>
      <c r="L129">
        <v>0</v>
      </c>
      <c r="M129">
        <v>0</v>
      </c>
      <c r="N129">
        <v>0</v>
      </c>
      <c r="O129">
        <v>0</v>
      </c>
    </row>
    <row r="130" spans="1:15" x14ac:dyDescent="0.3">
      <c r="A130" t="s">
        <v>699</v>
      </c>
      <c r="B130">
        <v>9</v>
      </c>
      <c r="D130">
        <v>0</v>
      </c>
      <c r="G130">
        <v>0</v>
      </c>
      <c r="K130">
        <v>0</v>
      </c>
      <c r="N130">
        <v>0</v>
      </c>
    </row>
    <row r="131" spans="1:15" x14ac:dyDescent="0.3">
      <c r="A131" t="s">
        <v>678</v>
      </c>
      <c r="B131">
        <v>9</v>
      </c>
      <c r="D131">
        <v>575</v>
      </c>
      <c r="G131">
        <v>365</v>
      </c>
      <c r="K131">
        <v>2784</v>
      </c>
      <c r="N131">
        <v>2966</v>
      </c>
    </row>
    <row r="132" spans="1:15" x14ac:dyDescent="0.3">
      <c r="A132" t="s">
        <v>78</v>
      </c>
      <c r="B132">
        <v>9</v>
      </c>
      <c r="D132">
        <v>11.2</v>
      </c>
      <c r="G132">
        <v>8.3000000000000007</v>
      </c>
      <c r="K132">
        <v>42.2</v>
      </c>
      <c r="N132">
        <v>44.9</v>
      </c>
    </row>
    <row r="133" spans="1:15" x14ac:dyDescent="0.3">
      <c r="A133" t="s">
        <v>700</v>
      </c>
      <c r="B133">
        <v>9</v>
      </c>
      <c r="E133">
        <v>0</v>
      </c>
      <c r="H133">
        <v>0</v>
      </c>
      <c r="L133">
        <v>0</v>
      </c>
      <c r="O133">
        <v>0</v>
      </c>
    </row>
    <row r="134" spans="1:15" x14ac:dyDescent="0.3">
      <c r="A134" t="s">
        <v>701</v>
      </c>
      <c r="B134">
        <v>9</v>
      </c>
      <c r="C134">
        <v>0</v>
      </c>
      <c r="D134">
        <v>0</v>
      </c>
      <c r="E134">
        <v>1</v>
      </c>
      <c r="F134">
        <v>0</v>
      </c>
      <c r="G134">
        <v>0</v>
      </c>
      <c r="H134">
        <v>1</v>
      </c>
      <c r="J134">
        <v>0</v>
      </c>
      <c r="K134">
        <v>0</v>
      </c>
      <c r="L134">
        <v>1</v>
      </c>
      <c r="M134">
        <v>0</v>
      </c>
      <c r="N134">
        <v>0</v>
      </c>
      <c r="O134">
        <v>1</v>
      </c>
    </row>
    <row r="135" spans="1:15" x14ac:dyDescent="0.3">
      <c r="A135" t="s">
        <v>702</v>
      </c>
      <c r="B135">
        <v>9</v>
      </c>
      <c r="C135">
        <v>0</v>
      </c>
      <c r="D135">
        <v>0</v>
      </c>
      <c r="E135">
        <v>0</v>
      </c>
      <c r="F135">
        <v>0</v>
      </c>
      <c r="G135">
        <v>0</v>
      </c>
      <c r="H135">
        <v>0</v>
      </c>
      <c r="J135">
        <v>0</v>
      </c>
      <c r="K135">
        <v>0</v>
      </c>
      <c r="L135">
        <v>0</v>
      </c>
      <c r="M135">
        <v>0</v>
      </c>
      <c r="N135">
        <v>0</v>
      </c>
      <c r="O135">
        <v>0</v>
      </c>
    </row>
    <row r="136" spans="1:15" x14ac:dyDescent="0.3">
      <c r="A136" t="s">
        <v>52</v>
      </c>
      <c r="B136">
        <v>9</v>
      </c>
      <c r="C136">
        <v>1</v>
      </c>
      <c r="D136">
        <v>1</v>
      </c>
      <c r="E136">
        <v>1</v>
      </c>
      <c r="F136">
        <v>1</v>
      </c>
      <c r="G136">
        <v>1</v>
      </c>
      <c r="H136">
        <v>1</v>
      </c>
      <c r="J136">
        <v>1</v>
      </c>
      <c r="K136">
        <v>1</v>
      </c>
      <c r="L136">
        <v>1</v>
      </c>
      <c r="M136">
        <v>1</v>
      </c>
      <c r="N136">
        <v>1</v>
      </c>
      <c r="O136">
        <v>1</v>
      </c>
    </row>
    <row r="137" spans="1:15" x14ac:dyDescent="0.3">
      <c r="A137" t="s">
        <v>703</v>
      </c>
      <c r="B137">
        <v>9</v>
      </c>
      <c r="C137">
        <v>15</v>
      </c>
      <c r="D137">
        <v>60</v>
      </c>
      <c r="E137">
        <v>9</v>
      </c>
      <c r="F137">
        <v>15</v>
      </c>
      <c r="G137">
        <v>60</v>
      </c>
      <c r="H137">
        <v>9</v>
      </c>
      <c r="J137">
        <v>15</v>
      </c>
      <c r="K137">
        <v>60</v>
      </c>
      <c r="L137">
        <v>9</v>
      </c>
      <c r="M137">
        <v>15</v>
      </c>
      <c r="N137">
        <v>60</v>
      </c>
      <c r="O137">
        <v>9</v>
      </c>
    </row>
    <row r="138" spans="1:15" x14ac:dyDescent="0.3">
      <c r="A138" t="s">
        <v>43</v>
      </c>
      <c r="B138">
        <v>9</v>
      </c>
      <c r="C138">
        <v>0</v>
      </c>
      <c r="D138">
        <v>0</v>
      </c>
      <c r="E138">
        <v>0</v>
      </c>
      <c r="F138">
        <v>0</v>
      </c>
      <c r="G138">
        <v>0</v>
      </c>
      <c r="H138">
        <v>0</v>
      </c>
      <c r="J138">
        <v>0</v>
      </c>
      <c r="K138">
        <v>0</v>
      </c>
      <c r="M138">
        <v>0</v>
      </c>
      <c r="N138">
        <v>0</v>
      </c>
    </row>
    <row r="139" spans="1:15" x14ac:dyDescent="0.3">
      <c r="A139" t="s">
        <v>44</v>
      </c>
      <c r="B139">
        <v>9</v>
      </c>
      <c r="C139">
        <v>0</v>
      </c>
      <c r="D139">
        <v>0</v>
      </c>
      <c r="E139">
        <v>0</v>
      </c>
      <c r="F139">
        <v>0</v>
      </c>
      <c r="G139">
        <v>0</v>
      </c>
      <c r="H139">
        <v>0</v>
      </c>
      <c r="J139">
        <v>0</v>
      </c>
      <c r="K139">
        <v>0</v>
      </c>
      <c r="M139">
        <v>0</v>
      </c>
      <c r="N139">
        <v>0</v>
      </c>
    </row>
    <row r="140" spans="1:15" x14ac:dyDescent="0.3">
      <c r="A140" t="s">
        <v>47</v>
      </c>
      <c r="B140">
        <v>9</v>
      </c>
      <c r="C140">
        <v>3</v>
      </c>
      <c r="D140">
        <v>8</v>
      </c>
      <c r="E140">
        <v>8</v>
      </c>
      <c r="F140">
        <v>7</v>
      </c>
      <c r="G140">
        <v>4</v>
      </c>
      <c r="H140">
        <v>4</v>
      </c>
      <c r="J140">
        <v>1</v>
      </c>
      <c r="K140">
        <v>6</v>
      </c>
      <c r="M140">
        <v>5</v>
      </c>
      <c r="N140">
        <v>2</v>
      </c>
    </row>
    <row r="141" spans="1:15" x14ac:dyDescent="0.3">
      <c r="A141" t="s">
        <v>704</v>
      </c>
      <c r="B141">
        <v>9</v>
      </c>
      <c r="C141">
        <v>0</v>
      </c>
      <c r="D141">
        <v>0</v>
      </c>
      <c r="E141">
        <v>0</v>
      </c>
      <c r="F141">
        <v>0</v>
      </c>
      <c r="G141">
        <v>0</v>
      </c>
      <c r="H141">
        <v>0</v>
      </c>
      <c r="J141">
        <v>0</v>
      </c>
      <c r="K141">
        <v>0</v>
      </c>
      <c r="M141">
        <v>0</v>
      </c>
      <c r="N141">
        <v>0</v>
      </c>
    </row>
    <row r="142" spans="1:15" x14ac:dyDescent="0.3">
      <c r="A142" t="s">
        <v>705</v>
      </c>
      <c r="B142">
        <v>9</v>
      </c>
      <c r="C142">
        <v>0</v>
      </c>
      <c r="D142">
        <v>0</v>
      </c>
      <c r="E142">
        <v>0</v>
      </c>
      <c r="F142">
        <v>0</v>
      </c>
      <c r="G142">
        <v>0</v>
      </c>
      <c r="H142">
        <v>0</v>
      </c>
      <c r="J142">
        <v>0</v>
      </c>
      <c r="K142">
        <v>0</v>
      </c>
      <c r="M142">
        <v>0</v>
      </c>
      <c r="N142">
        <v>0</v>
      </c>
    </row>
    <row r="143" spans="1:15" x14ac:dyDescent="0.3">
      <c r="A143" t="s">
        <v>706</v>
      </c>
      <c r="B143">
        <v>9</v>
      </c>
      <c r="C143">
        <v>0</v>
      </c>
      <c r="D143">
        <v>0</v>
      </c>
      <c r="E143">
        <v>0</v>
      </c>
      <c r="F143">
        <v>0</v>
      </c>
      <c r="G143">
        <v>0</v>
      </c>
      <c r="H143">
        <v>0</v>
      </c>
      <c r="J143">
        <v>0</v>
      </c>
      <c r="K143">
        <v>0</v>
      </c>
      <c r="M143">
        <v>0</v>
      </c>
      <c r="N143">
        <v>0</v>
      </c>
    </row>
    <row r="144" spans="1:15" x14ac:dyDescent="0.3">
      <c r="A144" t="s">
        <v>707</v>
      </c>
      <c r="B144">
        <v>9</v>
      </c>
      <c r="C144">
        <v>0</v>
      </c>
      <c r="D144">
        <v>0</v>
      </c>
      <c r="E144">
        <v>0</v>
      </c>
      <c r="F144">
        <v>0</v>
      </c>
      <c r="G144">
        <v>0</v>
      </c>
      <c r="H144">
        <v>0</v>
      </c>
      <c r="J144">
        <v>0</v>
      </c>
      <c r="K144">
        <v>0</v>
      </c>
      <c r="M144">
        <v>0</v>
      </c>
      <c r="N144">
        <v>0</v>
      </c>
    </row>
    <row r="145" spans="1:15" x14ac:dyDescent="0.3">
      <c r="A145" t="s">
        <v>708</v>
      </c>
      <c r="B145">
        <v>9</v>
      </c>
      <c r="C145">
        <v>0</v>
      </c>
      <c r="D145">
        <v>0</v>
      </c>
      <c r="E145">
        <v>0</v>
      </c>
      <c r="F145">
        <v>0</v>
      </c>
      <c r="G145">
        <v>0</v>
      </c>
      <c r="H145">
        <v>0</v>
      </c>
      <c r="J145">
        <v>0</v>
      </c>
      <c r="K145">
        <v>0</v>
      </c>
      <c r="M145">
        <v>0</v>
      </c>
      <c r="N145">
        <v>0</v>
      </c>
    </row>
    <row r="146" spans="1:15" x14ac:dyDescent="0.3">
      <c r="A146" t="s">
        <v>719</v>
      </c>
      <c r="B146">
        <v>9</v>
      </c>
      <c r="D146">
        <v>0</v>
      </c>
      <c r="G146">
        <v>0</v>
      </c>
      <c r="K146">
        <v>0</v>
      </c>
      <c r="N146">
        <v>0</v>
      </c>
    </row>
    <row r="147" spans="1:15" x14ac:dyDescent="0.3">
      <c r="A147" t="s">
        <v>405</v>
      </c>
      <c r="B147">
        <v>9</v>
      </c>
      <c r="D147">
        <v>0</v>
      </c>
    </row>
    <row r="148" spans="1:15" x14ac:dyDescent="0.3">
      <c r="A148" t="s">
        <v>720</v>
      </c>
      <c r="B148">
        <v>9</v>
      </c>
      <c r="C148">
        <v>35</v>
      </c>
      <c r="D148">
        <v>109</v>
      </c>
      <c r="E148">
        <v>27</v>
      </c>
      <c r="F148">
        <v>68</v>
      </c>
      <c r="G148">
        <v>80</v>
      </c>
      <c r="H148">
        <v>58</v>
      </c>
      <c r="J148">
        <v>125</v>
      </c>
      <c r="K148">
        <v>1829</v>
      </c>
      <c r="L148">
        <v>0</v>
      </c>
      <c r="M148">
        <v>20</v>
      </c>
      <c r="N148">
        <v>1475</v>
      </c>
      <c r="O148">
        <v>0</v>
      </c>
    </row>
    <row r="149" spans="1:15" x14ac:dyDescent="0.3">
      <c r="A149" t="s">
        <v>34</v>
      </c>
      <c r="B149">
        <v>11</v>
      </c>
      <c r="C149">
        <v>14</v>
      </c>
      <c r="D149">
        <v>14</v>
      </c>
      <c r="E149">
        <v>14</v>
      </c>
      <c r="F149">
        <v>12</v>
      </c>
      <c r="G149">
        <v>12</v>
      </c>
      <c r="H149">
        <v>12</v>
      </c>
      <c r="J149">
        <v>25</v>
      </c>
      <c r="K149">
        <v>25</v>
      </c>
      <c r="L149">
        <v>25</v>
      </c>
      <c r="M149">
        <v>7</v>
      </c>
      <c r="N149">
        <v>7</v>
      </c>
      <c r="O149">
        <v>7</v>
      </c>
    </row>
    <row r="150" spans="1:15" x14ac:dyDescent="0.3">
      <c r="A150" t="s">
        <v>35</v>
      </c>
      <c r="B150">
        <v>11</v>
      </c>
      <c r="C150">
        <v>25</v>
      </c>
      <c r="D150">
        <v>12</v>
      </c>
      <c r="E150">
        <v>7</v>
      </c>
      <c r="F150">
        <v>7</v>
      </c>
      <c r="G150">
        <v>14</v>
      </c>
      <c r="H150">
        <v>25</v>
      </c>
      <c r="J150">
        <v>12</v>
      </c>
      <c r="K150">
        <v>7</v>
      </c>
      <c r="L150">
        <v>14</v>
      </c>
      <c r="M150">
        <v>14</v>
      </c>
      <c r="N150">
        <v>25</v>
      </c>
      <c r="O150">
        <v>12</v>
      </c>
    </row>
    <row r="151" spans="1:15" x14ac:dyDescent="0.3">
      <c r="A151" t="s">
        <v>36</v>
      </c>
      <c r="B151">
        <v>11</v>
      </c>
      <c r="C151">
        <v>1</v>
      </c>
      <c r="D151">
        <v>2</v>
      </c>
      <c r="E151">
        <v>0</v>
      </c>
      <c r="F151">
        <v>0</v>
      </c>
      <c r="G151">
        <v>2</v>
      </c>
      <c r="H151">
        <v>0</v>
      </c>
      <c r="J151">
        <v>1</v>
      </c>
      <c r="K151">
        <v>3</v>
      </c>
      <c r="L151">
        <v>0</v>
      </c>
      <c r="M151">
        <v>1</v>
      </c>
      <c r="N151">
        <v>3</v>
      </c>
      <c r="O151">
        <v>0</v>
      </c>
    </row>
    <row r="152" spans="1:15" x14ac:dyDescent="0.3">
      <c r="A152" t="s">
        <v>37</v>
      </c>
      <c r="B152">
        <v>11</v>
      </c>
      <c r="C152">
        <v>0</v>
      </c>
      <c r="D152">
        <v>2</v>
      </c>
      <c r="F152">
        <v>0</v>
      </c>
      <c r="G152">
        <v>3</v>
      </c>
      <c r="J152">
        <v>0</v>
      </c>
      <c r="K152">
        <v>2</v>
      </c>
      <c r="M152">
        <v>0</v>
      </c>
      <c r="N152">
        <v>2</v>
      </c>
    </row>
    <row r="153" spans="1:15" x14ac:dyDescent="0.3">
      <c r="A153" t="s">
        <v>38</v>
      </c>
      <c r="B153">
        <v>11</v>
      </c>
      <c r="C153">
        <v>12</v>
      </c>
      <c r="D153">
        <v>12</v>
      </c>
      <c r="E153">
        <v>12</v>
      </c>
      <c r="F153">
        <v>12</v>
      </c>
      <c r="G153">
        <v>12</v>
      </c>
      <c r="H153">
        <v>12</v>
      </c>
      <c r="J153">
        <v>12</v>
      </c>
      <c r="K153">
        <v>12</v>
      </c>
      <c r="L153">
        <v>12</v>
      </c>
      <c r="M153">
        <v>12</v>
      </c>
      <c r="N153">
        <v>12</v>
      </c>
      <c r="O153">
        <v>12</v>
      </c>
    </row>
    <row r="154" spans="1:15" x14ac:dyDescent="0.3">
      <c r="A154" t="s">
        <v>39</v>
      </c>
      <c r="B154">
        <v>11</v>
      </c>
      <c r="C154">
        <v>135</v>
      </c>
      <c r="H154">
        <v>150</v>
      </c>
      <c r="J154">
        <v>390</v>
      </c>
      <c r="M154">
        <v>390</v>
      </c>
    </row>
    <row r="155" spans="1:15" x14ac:dyDescent="0.3">
      <c r="A155" t="s">
        <v>695</v>
      </c>
      <c r="B155">
        <v>11</v>
      </c>
      <c r="C155">
        <v>90</v>
      </c>
      <c r="H155">
        <v>75</v>
      </c>
      <c r="J155">
        <v>100</v>
      </c>
      <c r="M155">
        <v>100</v>
      </c>
    </row>
    <row r="156" spans="1:15" x14ac:dyDescent="0.3">
      <c r="A156" t="s">
        <v>40</v>
      </c>
      <c r="B156">
        <v>11</v>
      </c>
      <c r="C156">
        <v>1</v>
      </c>
      <c r="H156">
        <v>1</v>
      </c>
      <c r="J156">
        <v>1</v>
      </c>
      <c r="M156">
        <v>1</v>
      </c>
    </row>
    <row r="157" spans="1:15" x14ac:dyDescent="0.3">
      <c r="A157" t="s">
        <v>41</v>
      </c>
      <c r="B157">
        <v>11</v>
      </c>
    </row>
    <row r="158" spans="1:15" x14ac:dyDescent="0.3">
      <c r="A158" t="s">
        <v>42</v>
      </c>
      <c r="B158">
        <v>11</v>
      </c>
      <c r="D158">
        <v>35</v>
      </c>
      <c r="G158">
        <v>30</v>
      </c>
      <c r="K158">
        <v>45</v>
      </c>
      <c r="N158">
        <v>45</v>
      </c>
    </row>
    <row r="159" spans="1:15" x14ac:dyDescent="0.3">
      <c r="A159" t="s">
        <v>45</v>
      </c>
      <c r="B159">
        <v>11</v>
      </c>
      <c r="C159">
        <v>3</v>
      </c>
      <c r="D159">
        <v>8</v>
      </c>
      <c r="F159">
        <v>7</v>
      </c>
      <c r="G159">
        <v>4</v>
      </c>
      <c r="J159">
        <v>1</v>
      </c>
      <c r="K159">
        <v>6</v>
      </c>
      <c r="M159">
        <v>5</v>
      </c>
      <c r="N159">
        <v>2</v>
      </c>
    </row>
    <row r="160" spans="1:15" x14ac:dyDescent="0.3">
      <c r="A160" t="s">
        <v>49</v>
      </c>
      <c r="B160">
        <v>11</v>
      </c>
      <c r="C160">
        <v>6.5</v>
      </c>
      <c r="D160">
        <v>6.7</v>
      </c>
      <c r="E160">
        <v>4</v>
      </c>
      <c r="F160">
        <v>6</v>
      </c>
      <c r="G160">
        <v>6.8</v>
      </c>
      <c r="H160">
        <v>4</v>
      </c>
      <c r="J160">
        <v>6.3</v>
      </c>
      <c r="K160">
        <v>6.4</v>
      </c>
      <c r="L160">
        <v>4</v>
      </c>
      <c r="M160">
        <v>6.3</v>
      </c>
      <c r="N160">
        <v>6.4</v>
      </c>
      <c r="O160">
        <v>4</v>
      </c>
    </row>
    <row r="161" spans="1:15" x14ac:dyDescent="0.3">
      <c r="A161" t="s">
        <v>696</v>
      </c>
      <c r="B161">
        <v>11</v>
      </c>
      <c r="C161">
        <v>0</v>
      </c>
      <c r="D161">
        <v>0</v>
      </c>
      <c r="E161">
        <v>0</v>
      </c>
      <c r="F161">
        <v>0</v>
      </c>
      <c r="G161">
        <v>0</v>
      </c>
      <c r="H161">
        <v>0</v>
      </c>
      <c r="J161">
        <v>0</v>
      </c>
      <c r="K161">
        <v>0</v>
      </c>
      <c r="L161">
        <v>0</v>
      </c>
      <c r="M161">
        <v>0</v>
      </c>
      <c r="N161">
        <v>0</v>
      </c>
      <c r="O161">
        <v>0</v>
      </c>
    </row>
    <row r="162" spans="1:15" x14ac:dyDescent="0.3">
      <c r="A162" t="s">
        <v>48</v>
      </c>
      <c r="B162">
        <v>11</v>
      </c>
      <c r="C162">
        <v>1900</v>
      </c>
      <c r="D162">
        <v>1900</v>
      </c>
      <c r="E162">
        <v>1900</v>
      </c>
      <c r="F162">
        <v>1900</v>
      </c>
      <c r="G162">
        <v>1900</v>
      </c>
      <c r="H162">
        <v>1900</v>
      </c>
      <c r="J162">
        <v>1900</v>
      </c>
      <c r="K162">
        <v>1900</v>
      </c>
      <c r="L162">
        <v>1900</v>
      </c>
      <c r="M162">
        <v>1900</v>
      </c>
      <c r="N162">
        <v>1900</v>
      </c>
      <c r="O162">
        <v>1900</v>
      </c>
    </row>
    <row r="163" spans="1:15" x14ac:dyDescent="0.3">
      <c r="A163" t="s">
        <v>697</v>
      </c>
      <c r="B163">
        <v>11</v>
      </c>
      <c r="C163">
        <v>1770</v>
      </c>
      <c r="D163">
        <v>3284</v>
      </c>
      <c r="E163">
        <v>0</v>
      </c>
      <c r="F163">
        <v>0</v>
      </c>
      <c r="G163">
        <v>3289</v>
      </c>
      <c r="H163">
        <v>0</v>
      </c>
      <c r="J163">
        <v>1770</v>
      </c>
      <c r="K163">
        <v>5060</v>
      </c>
      <c r="L163">
        <v>0</v>
      </c>
      <c r="M163">
        <v>1770</v>
      </c>
      <c r="N163">
        <v>5080</v>
      </c>
      <c r="O163">
        <v>0</v>
      </c>
    </row>
    <row r="164" spans="1:15" x14ac:dyDescent="0.3">
      <c r="A164" t="s">
        <v>50</v>
      </c>
      <c r="B164">
        <v>11</v>
      </c>
      <c r="C164">
        <v>1770</v>
      </c>
      <c r="D164">
        <v>3284</v>
      </c>
      <c r="E164">
        <v>0</v>
      </c>
      <c r="F164">
        <v>0</v>
      </c>
      <c r="G164">
        <v>2935</v>
      </c>
      <c r="H164">
        <v>0</v>
      </c>
      <c r="J164">
        <v>1770</v>
      </c>
      <c r="K164">
        <v>5060</v>
      </c>
      <c r="L164">
        <v>0</v>
      </c>
      <c r="M164">
        <v>1770</v>
      </c>
      <c r="N164">
        <v>5080</v>
      </c>
      <c r="O164">
        <v>0</v>
      </c>
    </row>
    <row r="165" spans="1:15" x14ac:dyDescent="0.3">
      <c r="A165" t="s">
        <v>698</v>
      </c>
      <c r="B165">
        <v>11</v>
      </c>
      <c r="C165">
        <v>1</v>
      </c>
      <c r="D165">
        <v>1</v>
      </c>
      <c r="E165">
        <v>1</v>
      </c>
      <c r="F165">
        <v>1</v>
      </c>
      <c r="G165">
        <v>1</v>
      </c>
      <c r="H165">
        <v>1</v>
      </c>
      <c r="J165">
        <v>1</v>
      </c>
      <c r="K165">
        <v>1</v>
      </c>
      <c r="L165">
        <v>1</v>
      </c>
      <c r="M165">
        <v>1</v>
      </c>
      <c r="N165">
        <v>1</v>
      </c>
      <c r="O165">
        <v>1</v>
      </c>
    </row>
    <row r="166" spans="1:15" x14ac:dyDescent="0.3">
      <c r="A166" t="s">
        <v>51</v>
      </c>
      <c r="B166">
        <v>11</v>
      </c>
      <c r="C166">
        <v>0</v>
      </c>
      <c r="D166">
        <v>102</v>
      </c>
      <c r="E166">
        <v>0</v>
      </c>
      <c r="F166">
        <v>0</v>
      </c>
      <c r="G166">
        <v>84</v>
      </c>
      <c r="H166">
        <v>0</v>
      </c>
      <c r="J166">
        <v>0</v>
      </c>
      <c r="K166">
        <v>4</v>
      </c>
      <c r="L166">
        <v>0</v>
      </c>
      <c r="M166">
        <v>0</v>
      </c>
      <c r="N166">
        <v>1</v>
      </c>
      <c r="O166">
        <v>0</v>
      </c>
    </row>
    <row r="167" spans="1:15" x14ac:dyDescent="0.3">
      <c r="A167" t="s">
        <v>53</v>
      </c>
      <c r="B167">
        <v>11</v>
      </c>
      <c r="C167">
        <v>112</v>
      </c>
      <c r="D167">
        <v>102</v>
      </c>
      <c r="E167">
        <v>94</v>
      </c>
      <c r="F167">
        <v>19</v>
      </c>
      <c r="G167">
        <v>78</v>
      </c>
      <c r="H167">
        <v>77</v>
      </c>
      <c r="J167">
        <v>157</v>
      </c>
      <c r="K167">
        <v>1804</v>
      </c>
      <c r="L167">
        <v>65</v>
      </c>
      <c r="M167">
        <v>48</v>
      </c>
      <c r="N167">
        <v>1187</v>
      </c>
      <c r="O167">
        <v>8</v>
      </c>
    </row>
    <row r="168" spans="1:15" x14ac:dyDescent="0.3">
      <c r="A168" t="s">
        <v>54</v>
      </c>
      <c r="B168">
        <v>11</v>
      </c>
      <c r="C168">
        <v>0</v>
      </c>
      <c r="D168">
        <v>0</v>
      </c>
      <c r="E168">
        <v>0</v>
      </c>
      <c r="F168">
        <v>0</v>
      </c>
      <c r="G168">
        <v>0</v>
      </c>
      <c r="H168">
        <v>0</v>
      </c>
      <c r="J168">
        <v>0</v>
      </c>
      <c r="K168">
        <v>0</v>
      </c>
      <c r="L168">
        <v>0</v>
      </c>
      <c r="M168">
        <v>0</v>
      </c>
      <c r="N168">
        <v>0</v>
      </c>
      <c r="O168">
        <v>0</v>
      </c>
    </row>
    <row r="169" spans="1:15" x14ac:dyDescent="0.3">
      <c r="A169" t="s">
        <v>55</v>
      </c>
      <c r="B169">
        <v>11</v>
      </c>
      <c r="C169">
        <v>0</v>
      </c>
      <c r="D169">
        <v>0</v>
      </c>
      <c r="E169">
        <v>0</v>
      </c>
      <c r="F169">
        <v>0</v>
      </c>
      <c r="G169">
        <v>0</v>
      </c>
      <c r="H169">
        <v>0</v>
      </c>
      <c r="J169">
        <v>0</v>
      </c>
      <c r="K169">
        <v>0</v>
      </c>
      <c r="L169">
        <v>0</v>
      </c>
      <c r="M169">
        <v>0</v>
      </c>
      <c r="N169">
        <v>0</v>
      </c>
      <c r="O169">
        <v>0</v>
      </c>
    </row>
    <row r="170" spans="1:15" x14ac:dyDescent="0.3">
      <c r="A170" t="s">
        <v>56</v>
      </c>
      <c r="B170">
        <v>11</v>
      </c>
      <c r="C170">
        <v>0.92</v>
      </c>
      <c r="D170">
        <v>0.92</v>
      </c>
      <c r="E170">
        <v>0.92</v>
      </c>
      <c r="F170">
        <v>0.92</v>
      </c>
      <c r="G170">
        <v>0.92</v>
      </c>
      <c r="H170">
        <v>0.92</v>
      </c>
      <c r="J170">
        <v>0.92</v>
      </c>
      <c r="K170">
        <v>0.92</v>
      </c>
      <c r="L170">
        <v>0.92</v>
      </c>
      <c r="M170">
        <v>0.92</v>
      </c>
      <c r="N170">
        <v>0.92</v>
      </c>
      <c r="O170">
        <v>0.92</v>
      </c>
    </row>
    <row r="171" spans="1:15" x14ac:dyDescent="0.3">
      <c r="A171" t="s">
        <v>57</v>
      </c>
      <c r="B171">
        <v>11</v>
      </c>
      <c r="C171">
        <v>100</v>
      </c>
      <c r="D171">
        <v>100</v>
      </c>
      <c r="E171">
        <v>100</v>
      </c>
      <c r="F171">
        <v>100</v>
      </c>
      <c r="G171">
        <v>100</v>
      </c>
      <c r="H171">
        <v>100</v>
      </c>
      <c r="J171">
        <v>100</v>
      </c>
      <c r="K171">
        <v>100</v>
      </c>
      <c r="L171">
        <v>100</v>
      </c>
      <c r="M171">
        <v>100</v>
      </c>
      <c r="N171">
        <v>100</v>
      </c>
      <c r="O171">
        <v>100</v>
      </c>
    </row>
    <row r="172" spans="1:15" x14ac:dyDescent="0.3">
      <c r="A172" t="s">
        <v>58</v>
      </c>
      <c r="B172">
        <v>11</v>
      </c>
      <c r="C172">
        <v>2</v>
      </c>
      <c r="D172">
        <v>2</v>
      </c>
      <c r="E172">
        <v>2</v>
      </c>
      <c r="F172">
        <v>2</v>
      </c>
      <c r="G172">
        <v>2</v>
      </c>
      <c r="H172">
        <v>2</v>
      </c>
      <c r="J172">
        <v>2</v>
      </c>
      <c r="K172">
        <v>2</v>
      </c>
      <c r="L172">
        <v>2</v>
      </c>
      <c r="M172">
        <v>2</v>
      </c>
      <c r="N172">
        <v>2</v>
      </c>
      <c r="O172">
        <v>2</v>
      </c>
    </row>
    <row r="173" spans="1:15" x14ac:dyDescent="0.3">
      <c r="A173" t="s">
        <v>59</v>
      </c>
      <c r="B173">
        <v>11</v>
      </c>
      <c r="C173">
        <v>0</v>
      </c>
      <c r="D173">
        <v>0</v>
      </c>
      <c r="E173">
        <v>0</v>
      </c>
      <c r="F173">
        <v>0</v>
      </c>
      <c r="G173">
        <v>0</v>
      </c>
      <c r="H173">
        <v>0</v>
      </c>
      <c r="J173">
        <v>0</v>
      </c>
      <c r="K173">
        <v>0</v>
      </c>
      <c r="L173">
        <v>0</v>
      </c>
      <c r="M173">
        <v>0</v>
      </c>
      <c r="N173">
        <v>0</v>
      </c>
      <c r="O173">
        <v>0</v>
      </c>
    </row>
    <row r="174" spans="1:15" x14ac:dyDescent="0.3">
      <c r="A174" t="s">
        <v>699</v>
      </c>
      <c r="B174">
        <v>11</v>
      </c>
      <c r="D174">
        <v>0</v>
      </c>
      <c r="G174">
        <v>0</v>
      </c>
      <c r="K174">
        <v>0</v>
      </c>
      <c r="N174">
        <v>0</v>
      </c>
    </row>
    <row r="175" spans="1:15" x14ac:dyDescent="0.3">
      <c r="A175" t="s">
        <v>678</v>
      </c>
      <c r="B175">
        <v>11</v>
      </c>
      <c r="D175">
        <v>401</v>
      </c>
      <c r="G175">
        <v>533</v>
      </c>
      <c r="K175">
        <v>1028</v>
      </c>
      <c r="N175">
        <v>2820</v>
      </c>
    </row>
    <row r="176" spans="1:15" x14ac:dyDescent="0.3">
      <c r="A176" t="s">
        <v>78</v>
      </c>
      <c r="B176">
        <v>11</v>
      </c>
      <c r="D176">
        <v>7.8</v>
      </c>
      <c r="G176">
        <v>12.1</v>
      </c>
      <c r="K176">
        <v>15.6</v>
      </c>
      <c r="N176">
        <v>42.7</v>
      </c>
    </row>
    <row r="177" spans="1:15" x14ac:dyDescent="0.3">
      <c r="A177" t="s">
        <v>700</v>
      </c>
      <c r="B177">
        <v>11</v>
      </c>
      <c r="E177">
        <v>0</v>
      </c>
      <c r="H177">
        <v>0</v>
      </c>
      <c r="L177">
        <v>0</v>
      </c>
      <c r="O177">
        <v>0</v>
      </c>
    </row>
    <row r="178" spans="1:15" x14ac:dyDescent="0.3">
      <c r="A178" t="s">
        <v>701</v>
      </c>
      <c r="B178">
        <v>11</v>
      </c>
      <c r="C178">
        <v>0</v>
      </c>
      <c r="D178">
        <v>0</v>
      </c>
      <c r="E178">
        <v>1</v>
      </c>
      <c r="F178">
        <v>0</v>
      </c>
      <c r="G178">
        <v>0</v>
      </c>
      <c r="H178">
        <v>1</v>
      </c>
      <c r="J178">
        <v>0</v>
      </c>
      <c r="K178">
        <v>0</v>
      </c>
      <c r="L178">
        <v>1</v>
      </c>
      <c r="M178">
        <v>0</v>
      </c>
      <c r="N178">
        <v>0</v>
      </c>
      <c r="O178">
        <v>1</v>
      </c>
    </row>
    <row r="179" spans="1:15" x14ac:dyDescent="0.3">
      <c r="A179" t="s">
        <v>702</v>
      </c>
      <c r="B179">
        <v>11</v>
      </c>
      <c r="C179">
        <v>0</v>
      </c>
      <c r="D179">
        <v>0</v>
      </c>
      <c r="E179">
        <v>0</v>
      </c>
      <c r="F179">
        <v>0</v>
      </c>
      <c r="G179">
        <v>0</v>
      </c>
      <c r="H179">
        <v>0</v>
      </c>
      <c r="J179">
        <v>0</v>
      </c>
      <c r="K179">
        <v>0</v>
      </c>
      <c r="L179">
        <v>0</v>
      </c>
      <c r="M179">
        <v>0</v>
      </c>
      <c r="N179">
        <v>0</v>
      </c>
      <c r="O179">
        <v>0</v>
      </c>
    </row>
    <row r="180" spans="1:15" x14ac:dyDescent="0.3">
      <c r="A180" t="s">
        <v>52</v>
      </c>
      <c r="B180">
        <v>11</v>
      </c>
      <c r="C180">
        <v>1</v>
      </c>
      <c r="D180">
        <v>1</v>
      </c>
      <c r="E180">
        <v>1</v>
      </c>
      <c r="F180">
        <v>1</v>
      </c>
      <c r="G180">
        <v>1</v>
      </c>
      <c r="H180">
        <v>1</v>
      </c>
      <c r="J180">
        <v>1</v>
      </c>
      <c r="K180">
        <v>1</v>
      </c>
      <c r="L180">
        <v>1</v>
      </c>
      <c r="M180">
        <v>1</v>
      </c>
      <c r="N180">
        <v>1</v>
      </c>
      <c r="O180">
        <v>1</v>
      </c>
    </row>
    <row r="181" spans="1:15" x14ac:dyDescent="0.3">
      <c r="A181" t="s">
        <v>703</v>
      </c>
      <c r="B181">
        <v>11</v>
      </c>
      <c r="C181">
        <v>15</v>
      </c>
      <c r="D181">
        <v>60</v>
      </c>
      <c r="E181">
        <v>9</v>
      </c>
      <c r="F181">
        <v>15</v>
      </c>
      <c r="G181">
        <v>60</v>
      </c>
      <c r="H181">
        <v>9</v>
      </c>
      <c r="J181">
        <v>15</v>
      </c>
      <c r="K181">
        <v>60</v>
      </c>
      <c r="L181">
        <v>9</v>
      </c>
      <c r="M181">
        <v>15</v>
      </c>
      <c r="N181">
        <v>60</v>
      </c>
      <c r="O181">
        <v>9</v>
      </c>
    </row>
    <row r="182" spans="1:15" x14ac:dyDescent="0.3">
      <c r="A182" t="s">
        <v>43</v>
      </c>
      <c r="B182">
        <v>11</v>
      </c>
      <c r="C182">
        <v>0</v>
      </c>
      <c r="D182">
        <v>0</v>
      </c>
      <c r="F182">
        <v>50</v>
      </c>
      <c r="G182">
        <v>0</v>
      </c>
      <c r="J182">
        <v>0</v>
      </c>
      <c r="K182">
        <v>0</v>
      </c>
      <c r="M182">
        <v>0</v>
      </c>
      <c r="N182">
        <v>0</v>
      </c>
    </row>
    <row r="183" spans="1:15" x14ac:dyDescent="0.3">
      <c r="A183" t="s">
        <v>44</v>
      </c>
      <c r="B183">
        <v>11</v>
      </c>
      <c r="C183">
        <v>0</v>
      </c>
      <c r="D183">
        <v>0</v>
      </c>
      <c r="F183">
        <v>0</v>
      </c>
      <c r="G183">
        <v>0</v>
      </c>
      <c r="J183">
        <v>0</v>
      </c>
      <c r="K183">
        <v>0</v>
      </c>
      <c r="M183">
        <v>0</v>
      </c>
      <c r="N183">
        <v>0</v>
      </c>
    </row>
    <row r="184" spans="1:15" x14ac:dyDescent="0.3">
      <c r="A184" t="s">
        <v>47</v>
      </c>
      <c r="B184">
        <v>11</v>
      </c>
      <c r="C184">
        <v>3</v>
      </c>
      <c r="D184">
        <v>8</v>
      </c>
      <c r="F184">
        <v>7</v>
      </c>
      <c r="G184">
        <v>4</v>
      </c>
      <c r="J184">
        <v>1</v>
      </c>
      <c r="K184">
        <v>6</v>
      </c>
      <c r="M184">
        <v>5</v>
      </c>
      <c r="N184">
        <v>2</v>
      </c>
    </row>
    <row r="185" spans="1:15" x14ac:dyDescent="0.3">
      <c r="A185" t="s">
        <v>704</v>
      </c>
      <c r="B185">
        <v>11</v>
      </c>
      <c r="C185">
        <v>0</v>
      </c>
      <c r="D185">
        <v>0</v>
      </c>
      <c r="F185">
        <v>0</v>
      </c>
      <c r="G185">
        <v>0</v>
      </c>
      <c r="J185">
        <v>0</v>
      </c>
      <c r="K185">
        <v>0</v>
      </c>
      <c r="M185">
        <v>0</v>
      </c>
      <c r="N185">
        <v>0</v>
      </c>
    </row>
    <row r="186" spans="1:15" x14ac:dyDescent="0.3">
      <c r="A186" t="s">
        <v>705</v>
      </c>
      <c r="B186">
        <v>11</v>
      </c>
      <c r="C186">
        <v>0</v>
      </c>
      <c r="D186">
        <v>0</v>
      </c>
      <c r="F186">
        <v>0</v>
      </c>
      <c r="G186">
        <v>0</v>
      </c>
      <c r="J186">
        <v>0</v>
      </c>
      <c r="K186">
        <v>0</v>
      </c>
      <c r="M186">
        <v>0</v>
      </c>
      <c r="N186">
        <v>0</v>
      </c>
    </row>
    <row r="187" spans="1:15" x14ac:dyDescent="0.3">
      <c r="A187" t="s">
        <v>706</v>
      </c>
      <c r="B187">
        <v>11</v>
      </c>
      <c r="C187">
        <v>0</v>
      </c>
      <c r="D187">
        <v>0</v>
      </c>
      <c r="F187">
        <v>0</v>
      </c>
      <c r="G187">
        <v>0</v>
      </c>
      <c r="J187">
        <v>0</v>
      </c>
      <c r="K187">
        <v>0</v>
      </c>
      <c r="M187">
        <v>0</v>
      </c>
      <c r="N187">
        <v>0</v>
      </c>
    </row>
    <row r="188" spans="1:15" x14ac:dyDescent="0.3">
      <c r="A188" t="s">
        <v>707</v>
      </c>
      <c r="B188">
        <v>11</v>
      </c>
      <c r="C188">
        <v>0</v>
      </c>
      <c r="D188">
        <v>0</v>
      </c>
      <c r="F188">
        <v>0</v>
      </c>
      <c r="G188">
        <v>0</v>
      </c>
      <c r="J188">
        <v>0</v>
      </c>
      <c r="K188">
        <v>0</v>
      </c>
      <c r="M188">
        <v>0</v>
      </c>
      <c r="N188">
        <v>0</v>
      </c>
    </row>
    <row r="189" spans="1:15" x14ac:dyDescent="0.3">
      <c r="A189" t="s">
        <v>708</v>
      </c>
      <c r="B189">
        <v>11</v>
      </c>
      <c r="C189">
        <v>0</v>
      </c>
      <c r="D189">
        <v>0</v>
      </c>
      <c r="F189">
        <v>0</v>
      </c>
      <c r="G189">
        <v>0</v>
      </c>
      <c r="J189">
        <v>0</v>
      </c>
      <c r="K189">
        <v>0</v>
      </c>
      <c r="M189">
        <v>0</v>
      </c>
      <c r="N189">
        <v>0</v>
      </c>
    </row>
    <row r="190" spans="1:15" x14ac:dyDescent="0.3">
      <c r="A190" t="s">
        <v>719</v>
      </c>
      <c r="B190">
        <v>11</v>
      </c>
      <c r="D190">
        <v>0</v>
      </c>
      <c r="G190">
        <v>0</v>
      </c>
      <c r="K190">
        <v>0</v>
      </c>
      <c r="N190">
        <v>0</v>
      </c>
    </row>
    <row r="191" spans="1:15" x14ac:dyDescent="0.3">
      <c r="A191" t="s">
        <v>405</v>
      </c>
      <c r="B191">
        <v>11</v>
      </c>
      <c r="D191">
        <v>0</v>
      </c>
    </row>
    <row r="192" spans="1:15" x14ac:dyDescent="0.3">
      <c r="A192" t="s">
        <v>720</v>
      </c>
      <c r="B192">
        <v>11</v>
      </c>
      <c r="C192">
        <v>122</v>
      </c>
      <c r="D192">
        <v>213</v>
      </c>
      <c r="E192">
        <v>0</v>
      </c>
      <c r="F192">
        <v>0</v>
      </c>
      <c r="G192">
        <v>190</v>
      </c>
      <c r="H192">
        <v>0</v>
      </c>
      <c r="J192">
        <v>171</v>
      </c>
      <c r="K192">
        <v>2032</v>
      </c>
      <c r="L192">
        <v>0</v>
      </c>
      <c r="M192">
        <v>52</v>
      </c>
      <c r="N192">
        <v>1299</v>
      </c>
      <c r="O192">
        <v>0</v>
      </c>
    </row>
    <row r="193" spans="1:27" x14ac:dyDescent="0.3">
      <c r="A193" t="s">
        <v>34</v>
      </c>
      <c r="B193">
        <v>13</v>
      </c>
      <c r="P193">
        <v>16</v>
      </c>
      <c r="Q193">
        <v>16</v>
      </c>
      <c r="R193">
        <v>16</v>
      </c>
      <c r="S193">
        <v>18</v>
      </c>
      <c r="T193">
        <v>18</v>
      </c>
      <c r="U193">
        <v>18</v>
      </c>
      <c r="V193">
        <v>49</v>
      </c>
      <c r="W193">
        <v>49</v>
      </c>
      <c r="X193">
        <v>49</v>
      </c>
      <c r="Y193">
        <v>15</v>
      </c>
      <c r="Z193">
        <v>15</v>
      </c>
      <c r="AA193">
        <v>15</v>
      </c>
    </row>
    <row r="194" spans="1:27" x14ac:dyDescent="0.3">
      <c r="A194" t="s">
        <v>35</v>
      </c>
      <c r="B194">
        <v>13</v>
      </c>
      <c r="P194">
        <v>49</v>
      </c>
      <c r="Q194">
        <v>15</v>
      </c>
      <c r="R194">
        <v>18</v>
      </c>
      <c r="S194">
        <v>16</v>
      </c>
      <c r="T194">
        <v>49</v>
      </c>
      <c r="U194">
        <v>15</v>
      </c>
      <c r="V194">
        <v>15</v>
      </c>
      <c r="W194">
        <v>18</v>
      </c>
      <c r="X194">
        <v>16</v>
      </c>
      <c r="Y194">
        <v>18</v>
      </c>
      <c r="Z194">
        <v>16</v>
      </c>
      <c r="AA194">
        <v>49</v>
      </c>
    </row>
    <row r="195" spans="1:27" x14ac:dyDescent="0.3">
      <c r="A195" t="s">
        <v>36</v>
      </c>
      <c r="B195">
        <v>13</v>
      </c>
      <c r="P195">
        <v>2</v>
      </c>
      <c r="Q195">
        <v>2</v>
      </c>
      <c r="R195">
        <v>2</v>
      </c>
      <c r="S195">
        <v>2</v>
      </c>
      <c r="T195">
        <v>3</v>
      </c>
      <c r="U195">
        <v>1</v>
      </c>
      <c r="V195">
        <v>1</v>
      </c>
      <c r="W195">
        <v>3</v>
      </c>
      <c r="X195">
        <v>1</v>
      </c>
      <c r="Y195">
        <v>2</v>
      </c>
      <c r="Z195">
        <v>2</v>
      </c>
      <c r="AA195">
        <v>0</v>
      </c>
    </row>
    <row r="196" spans="1:27" x14ac:dyDescent="0.3">
      <c r="A196" t="s">
        <v>37</v>
      </c>
      <c r="B196">
        <v>13</v>
      </c>
      <c r="P196">
        <v>0</v>
      </c>
      <c r="Q196">
        <v>0</v>
      </c>
      <c r="S196">
        <v>0</v>
      </c>
      <c r="T196">
        <v>0</v>
      </c>
      <c r="V196">
        <v>0</v>
      </c>
      <c r="W196">
        <v>0</v>
      </c>
      <c r="Y196">
        <v>0</v>
      </c>
      <c r="Z196">
        <v>2</v>
      </c>
    </row>
    <row r="197" spans="1:27" x14ac:dyDescent="0.3">
      <c r="A197" t="s">
        <v>38</v>
      </c>
      <c r="B197">
        <v>13</v>
      </c>
      <c r="P197">
        <v>12</v>
      </c>
      <c r="Q197">
        <v>12</v>
      </c>
      <c r="R197">
        <v>12</v>
      </c>
      <c r="S197">
        <v>12</v>
      </c>
      <c r="T197">
        <v>12</v>
      </c>
      <c r="U197">
        <v>12</v>
      </c>
      <c r="V197">
        <v>12</v>
      </c>
      <c r="W197">
        <v>12</v>
      </c>
      <c r="X197">
        <v>12</v>
      </c>
      <c r="Y197">
        <v>12</v>
      </c>
      <c r="Z197">
        <v>12</v>
      </c>
      <c r="AA197">
        <v>12</v>
      </c>
    </row>
    <row r="198" spans="1:27" x14ac:dyDescent="0.3">
      <c r="A198" t="s">
        <v>39</v>
      </c>
      <c r="B198">
        <v>13</v>
      </c>
      <c r="P198">
        <v>155</v>
      </c>
      <c r="S198">
        <v>415</v>
      </c>
      <c r="U198">
        <v>340</v>
      </c>
      <c r="V198">
        <v>330</v>
      </c>
      <c r="X198">
        <v>170</v>
      </c>
      <c r="Y198">
        <v>340</v>
      </c>
    </row>
    <row r="199" spans="1:27" x14ac:dyDescent="0.3">
      <c r="A199" t="s">
        <v>695</v>
      </c>
      <c r="B199">
        <v>13</v>
      </c>
      <c r="P199">
        <v>110</v>
      </c>
      <c r="S199">
        <v>180</v>
      </c>
      <c r="U199">
        <v>90</v>
      </c>
      <c r="V199">
        <v>165</v>
      </c>
      <c r="X199">
        <v>90</v>
      </c>
      <c r="Y199">
        <v>210</v>
      </c>
    </row>
    <row r="200" spans="1:27" x14ac:dyDescent="0.3">
      <c r="A200" t="s">
        <v>40</v>
      </c>
      <c r="B200">
        <v>13</v>
      </c>
      <c r="P200">
        <v>2</v>
      </c>
      <c r="S200">
        <v>2</v>
      </c>
      <c r="U200">
        <v>1</v>
      </c>
      <c r="V200">
        <v>1</v>
      </c>
      <c r="X200">
        <v>1</v>
      </c>
      <c r="Y200">
        <v>2</v>
      </c>
    </row>
    <row r="201" spans="1:27" x14ac:dyDescent="0.3">
      <c r="A201" t="s">
        <v>41</v>
      </c>
      <c r="B201">
        <v>13</v>
      </c>
    </row>
    <row r="202" spans="1:27" x14ac:dyDescent="0.3">
      <c r="A202" t="s">
        <v>42</v>
      </c>
      <c r="B202">
        <v>13</v>
      </c>
      <c r="Q202">
        <v>30</v>
      </c>
      <c r="T202">
        <v>45</v>
      </c>
      <c r="W202">
        <v>45</v>
      </c>
      <c r="Z202">
        <v>35</v>
      </c>
    </row>
    <row r="203" spans="1:27" x14ac:dyDescent="0.3">
      <c r="A203" t="s">
        <v>45</v>
      </c>
      <c r="B203">
        <v>13</v>
      </c>
      <c r="P203">
        <v>3</v>
      </c>
      <c r="Q203">
        <v>8</v>
      </c>
      <c r="S203">
        <v>5</v>
      </c>
      <c r="T203">
        <v>2</v>
      </c>
      <c r="V203">
        <v>1</v>
      </c>
      <c r="W203">
        <v>6</v>
      </c>
      <c r="Y203">
        <v>7</v>
      </c>
      <c r="Z203">
        <v>4</v>
      </c>
    </row>
    <row r="204" spans="1:27" x14ac:dyDescent="0.3">
      <c r="A204" t="s">
        <v>46</v>
      </c>
      <c r="B204">
        <v>13</v>
      </c>
      <c r="R204">
        <v>8</v>
      </c>
      <c r="U204">
        <v>2</v>
      </c>
      <c r="X204">
        <v>6</v>
      </c>
    </row>
    <row r="205" spans="1:27" x14ac:dyDescent="0.3">
      <c r="A205" t="s">
        <v>49</v>
      </c>
      <c r="B205">
        <v>13</v>
      </c>
      <c r="P205">
        <v>7.4</v>
      </c>
      <c r="Q205">
        <v>8.9</v>
      </c>
      <c r="R205">
        <v>8.9</v>
      </c>
      <c r="S205">
        <v>7.9</v>
      </c>
      <c r="T205">
        <v>7</v>
      </c>
      <c r="U205">
        <v>7</v>
      </c>
      <c r="V205">
        <v>7</v>
      </c>
      <c r="W205">
        <v>6.6</v>
      </c>
      <c r="X205">
        <v>6.6</v>
      </c>
      <c r="Y205">
        <v>7.7</v>
      </c>
      <c r="Z205">
        <v>9.1999999999999993</v>
      </c>
      <c r="AA205">
        <v>4</v>
      </c>
    </row>
    <row r="206" spans="1:27" x14ac:dyDescent="0.3">
      <c r="A206" t="s">
        <v>696</v>
      </c>
      <c r="B206">
        <v>13</v>
      </c>
      <c r="P206">
        <v>0</v>
      </c>
      <c r="Q206">
        <v>0</v>
      </c>
      <c r="R206">
        <v>0</v>
      </c>
      <c r="S206">
        <v>0</v>
      </c>
      <c r="T206">
        <v>0</v>
      </c>
      <c r="U206">
        <v>0</v>
      </c>
      <c r="V206">
        <v>0</v>
      </c>
      <c r="W206">
        <v>0</v>
      </c>
      <c r="X206">
        <v>0</v>
      </c>
      <c r="Y206">
        <v>0</v>
      </c>
      <c r="Z206">
        <v>0</v>
      </c>
      <c r="AA206">
        <v>0</v>
      </c>
    </row>
    <row r="207" spans="1:27" x14ac:dyDescent="0.3">
      <c r="A207" t="s">
        <v>48</v>
      </c>
      <c r="B207">
        <v>13</v>
      </c>
      <c r="P207">
        <v>1900</v>
      </c>
      <c r="Q207">
        <v>1900</v>
      </c>
      <c r="R207">
        <v>1900</v>
      </c>
      <c r="S207">
        <v>1900</v>
      </c>
      <c r="T207">
        <v>1900</v>
      </c>
      <c r="U207">
        <v>1900</v>
      </c>
      <c r="V207">
        <v>1900</v>
      </c>
      <c r="W207">
        <v>1900</v>
      </c>
      <c r="X207">
        <v>1900</v>
      </c>
      <c r="Y207">
        <v>1900</v>
      </c>
      <c r="Z207">
        <v>1900</v>
      </c>
      <c r="AA207">
        <v>1900</v>
      </c>
    </row>
    <row r="208" spans="1:27" x14ac:dyDescent="0.3">
      <c r="A208" t="s">
        <v>697</v>
      </c>
      <c r="B208">
        <v>13</v>
      </c>
      <c r="P208">
        <v>3433</v>
      </c>
      <c r="Q208">
        <v>3539</v>
      </c>
      <c r="R208">
        <v>2787</v>
      </c>
      <c r="S208">
        <v>3433</v>
      </c>
      <c r="T208">
        <v>5085</v>
      </c>
      <c r="U208">
        <v>1583</v>
      </c>
      <c r="V208">
        <v>1770</v>
      </c>
      <c r="W208">
        <v>5085</v>
      </c>
      <c r="X208">
        <v>1583</v>
      </c>
      <c r="Y208">
        <v>3433</v>
      </c>
      <c r="Z208">
        <v>3497</v>
      </c>
      <c r="AA208">
        <v>0</v>
      </c>
    </row>
    <row r="209" spans="1:27" x14ac:dyDescent="0.3">
      <c r="A209" t="s">
        <v>50</v>
      </c>
      <c r="B209">
        <v>13</v>
      </c>
      <c r="P209">
        <v>3433</v>
      </c>
      <c r="Q209">
        <v>3539</v>
      </c>
      <c r="R209">
        <v>2787</v>
      </c>
      <c r="S209">
        <v>3433</v>
      </c>
      <c r="T209">
        <v>5085</v>
      </c>
      <c r="U209">
        <v>1583</v>
      </c>
      <c r="V209">
        <v>1770</v>
      </c>
      <c r="W209">
        <v>5085</v>
      </c>
      <c r="X209">
        <v>1583</v>
      </c>
      <c r="Y209">
        <v>3433</v>
      </c>
      <c r="Z209">
        <v>3497</v>
      </c>
      <c r="AA209">
        <v>0</v>
      </c>
    </row>
    <row r="210" spans="1:27" x14ac:dyDescent="0.3">
      <c r="A210" t="s">
        <v>698</v>
      </c>
      <c r="B210">
        <v>13</v>
      </c>
      <c r="P210">
        <v>1</v>
      </c>
      <c r="Q210">
        <v>1</v>
      </c>
      <c r="R210">
        <v>1</v>
      </c>
      <c r="S210">
        <v>1</v>
      </c>
      <c r="T210">
        <v>1</v>
      </c>
      <c r="U210">
        <v>1</v>
      </c>
      <c r="V210">
        <v>1</v>
      </c>
      <c r="W210">
        <v>1</v>
      </c>
      <c r="X210">
        <v>1</v>
      </c>
      <c r="Y210">
        <v>1</v>
      </c>
      <c r="Z210">
        <v>1</v>
      </c>
      <c r="AA210">
        <v>1</v>
      </c>
    </row>
    <row r="211" spans="1:27" x14ac:dyDescent="0.3">
      <c r="A211" t="s">
        <v>51</v>
      </c>
      <c r="B211">
        <v>13</v>
      </c>
      <c r="P211">
        <v>0</v>
      </c>
      <c r="Q211">
        <v>0</v>
      </c>
      <c r="R211">
        <v>504</v>
      </c>
      <c r="S211">
        <v>0</v>
      </c>
      <c r="T211">
        <v>0</v>
      </c>
      <c r="U211">
        <v>179</v>
      </c>
      <c r="V211">
        <v>0</v>
      </c>
      <c r="W211">
        <v>0</v>
      </c>
      <c r="X211">
        <v>222</v>
      </c>
      <c r="Y211">
        <v>0</v>
      </c>
      <c r="Z211">
        <v>8</v>
      </c>
      <c r="AA211">
        <v>0</v>
      </c>
    </row>
    <row r="212" spans="1:27" x14ac:dyDescent="0.3">
      <c r="A212" t="s">
        <v>53</v>
      </c>
      <c r="B212">
        <v>13</v>
      </c>
      <c r="P212">
        <v>56</v>
      </c>
      <c r="Q212">
        <v>124</v>
      </c>
      <c r="R212">
        <v>833</v>
      </c>
      <c r="S212">
        <v>313</v>
      </c>
      <c r="T212">
        <v>908</v>
      </c>
      <c r="U212">
        <v>165</v>
      </c>
      <c r="V212">
        <v>11</v>
      </c>
      <c r="W212">
        <v>1132</v>
      </c>
      <c r="X212">
        <v>25</v>
      </c>
      <c r="Y212">
        <v>213</v>
      </c>
      <c r="Z212">
        <v>83</v>
      </c>
      <c r="AA212">
        <v>7</v>
      </c>
    </row>
    <row r="213" spans="1:27" x14ac:dyDescent="0.3">
      <c r="A213" t="s">
        <v>54</v>
      </c>
      <c r="B213">
        <v>13</v>
      </c>
      <c r="P213">
        <v>0</v>
      </c>
      <c r="Q213">
        <v>0</v>
      </c>
      <c r="R213">
        <v>0</v>
      </c>
      <c r="S213">
        <v>0</v>
      </c>
      <c r="T213">
        <v>0</v>
      </c>
      <c r="U213">
        <v>0</v>
      </c>
      <c r="V213">
        <v>0</v>
      </c>
      <c r="W213">
        <v>0</v>
      </c>
      <c r="X213">
        <v>0</v>
      </c>
      <c r="Y213">
        <v>0</v>
      </c>
      <c r="Z213">
        <v>0</v>
      </c>
      <c r="AA213">
        <v>0</v>
      </c>
    </row>
    <row r="214" spans="1:27" x14ac:dyDescent="0.3">
      <c r="A214" t="s">
        <v>55</v>
      </c>
      <c r="B214">
        <v>13</v>
      </c>
      <c r="P214">
        <v>0</v>
      </c>
      <c r="Q214">
        <v>0</v>
      </c>
      <c r="R214">
        <v>0</v>
      </c>
      <c r="S214">
        <v>0</v>
      </c>
      <c r="T214">
        <v>0</v>
      </c>
      <c r="U214">
        <v>0</v>
      </c>
      <c r="V214">
        <v>0</v>
      </c>
      <c r="W214">
        <v>0</v>
      </c>
      <c r="X214">
        <v>0</v>
      </c>
      <c r="Y214">
        <v>0</v>
      </c>
      <c r="Z214">
        <v>0</v>
      </c>
      <c r="AA214">
        <v>0</v>
      </c>
    </row>
    <row r="215" spans="1:27" x14ac:dyDescent="0.3">
      <c r="A215" t="s">
        <v>56</v>
      </c>
      <c r="B215">
        <v>13</v>
      </c>
      <c r="P215">
        <v>0.92</v>
      </c>
      <c r="Q215">
        <v>0.92</v>
      </c>
      <c r="R215">
        <v>0.92</v>
      </c>
      <c r="S215">
        <v>0.92</v>
      </c>
      <c r="T215">
        <v>0.92</v>
      </c>
      <c r="U215">
        <v>0.92</v>
      </c>
      <c r="V215">
        <v>0.92</v>
      </c>
      <c r="W215">
        <v>0.92</v>
      </c>
      <c r="X215">
        <v>0.92</v>
      </c>
      <c r="Y215">
        <v>0.92</v>
      </c>
      <c r="Z215">
        <v>0.92</v>
      </c>
      <c r="AA215">
        <v>0.92</v>
      </c>
    </row>
    <row r="216" spans="1:27" x14ac:dyDescent="0.3">
      <c r="A216" t="s">
        <v>57</v>
      </c>
      <c r="B216">
        <v>13</v>
      </c>
      <c r="P216">
        <v>100</v>
      </c>
      <c r="Q216">
        <v>100</v>
      </c>
      <c r="R216">
        <v>100</v>
      </c>
      <c r="S216">
        <v>100</v>
      </c>
      <c r="T216">
        <v>100</v>
      </c>
      <c r="U216">
        <v>100</v>
      </c>
      <c r="V216">
        <v>100</v>
      </c>
      <c r="W216">
        <v>100</v>
      </c>
      <c r="X216">
        <v>100</v>
      </c>
      <c r="Y216">
        <v>100</v>
      </c>
      <c r="Z216">
        <v>100</v>
      </c>
      <c r="AA216">
        <v>100</v>
      </c>
    </row>
    <row r="217" spans="1:27" x14ac:dyDescent="0.3">
      <c r="A217" t="s">
        <v>58</v>
      </c>
      <c r="B217">
        <v>13</v>
      </c>
      <c r="P217">
        <v>2</v>
      </c>
      <c r="Q217">
        <v>2</v>
      </c>
      <c r="R217">
        <v>2</v>
      </c>
      <c r="S217">
        <v>2</v>
      </c>
      <c r="T217">
        <v>2</v>
      </c>
      <c r="U217">
        <v>2</v>
      </c>
      <c r="V217">
        <v>2</v>
      </c>
      <c r="W217">
        <v>2</v>
      </c>
      <c r="X217">
        <v>2</v>
      </c>
      <c r="Y217">
        <v>2</v>
      </c>
      <c r="Z217">
        <v>2</v>
      </c>
      <c r="AA217">
        <v>2</v>
      </c>
    </row>
    <row r="218" spans="1:27" x14ac:dyDescent="0.3">
      <c r="A218" t="s">
        <v>59</v>
      </c>
      <c r="B218">
        <v>13</v>
      </c>
      <c r="P218">
        <v>0</v>
      </c>
      <c r="Q218">
        <v>0</v>
      </c>
      <c r="R218">
        <v>0</v>
      </c>
      <c r="S218">
        <v>0</v>
      </c>
      <c r="T218">
        <v>0</v>
      </c>
      <c r="U218">
        <v>0</v>
      </c>
      <c r="V218">
        <v>0</v>
      </c>
      <c r="W218">
        <v>0</v>
      </c>
      <c r="X218">
        <v>0</v>
      </c>
      <c r="Y218">
        <v>0</v>
      </c>
      <c r="Z218">
        <v>0</v>
      </c>
      <c r="AA218">
        <v>0</v>
      </c>
    </row>
    <row r="219" spans="1:27" x14ac:dyDescent="0.3">
      <c r="A219" t="s">
        <v>699</v>
      </c>
      <c r="B219">
        <v>13</v>
      </c>
      <c r="Q219">
        <v>0</v>
      </c>
      <c r="T219">
        <v>0</v>
      </c>
      <c r="W219">
        <v>0</v>
      </c>
      <c r="Z219">
        <v>0</v>
      </c>
    </row>
    <row r="220" spans="1:27" x14ac:dyDescent="0.3">
      <c r="A220" t="s">
        <v>678</v>
      </c>
      <c r="B220">
        <v>13</v>
      </c>
      <c r="Q220">
        <v>538</v>
      </c>
      <c r="T220">
        <v>914</v>
      </c>
      <c r="W220">
        <v>2934</v>
      </c>
      <c r="Z220">
        <v>684</v>
      </c>
    </row>
    <row r="221" spans="1:27" x14ac:dyDescent="0.3">
      <c r="A221" t="s">
        <v>78</v>
      </c>
      <c r="B221">
        <v>13</v>
      </c>
      <c r="Q221">
        <v>12.2</v>
      </c>
      <c r="T221">
        <v>13.8</v>
      </c>
      <c r="W221">
        <v>44.5</v>
      </c>
      <c r="Z221">
        <v>13.3</v>
      </c>
    </row>
    <row r="222" spans="1:27" x14ac:dyDescent="0.3">
      <c r="A222" t="s">
        <v>700</v>
      </c>
      <c r="B222">
        <v>13</v>
      </c>
      <c r="R222">
        <v>0</v>
      </c>
      <c r="U222">
        <v>0</v>
      </c>
      <c r="X222">
        <v>0</v>
      </c>
      <c r="AA222">
        <v>0</v>
      </c>
    </row>
    <row r="223" spans="1:27" x14ac:dyDescent="0.3">
      <c r="A223" t="s">
        <v>701</v>
      </c>
      <c r="B223">
        <v>13</v>
      </c>
      <c r="P223">
        <v>0</v>
      </c>
      <c r="Q223">
        <v>0</v>
      </c>
      <c r="R223">
        <v>1</v>
      </c>
      <c r="S223">
        <v>0</v>
      </c>
      <c r="T223">
        <v>0</v>
      </c>
      <c r="U223">
        <v>1</v>
      </c>
      <c r="V223">
        <v>0</v>
      </c>
      <c r="W223">
        <v>0</v>
      </c>
      <c r="X223">
        <v>1</v>
      </c>
      <c r="Y223">
        <v>0</v>
      </c>
      <c r="Z223">
        <v>0</v>
      </c>
      <c r="AA223">
        <v>1</v>
      </c>
    </row>
    <row r="224" spans="1:27" x14ac:dyDescent="0.3">
      <c r="A224" t="s">
        <v>702</v>
      </c>
      <c r="B224">
        <v>13</v>
      </c>
      <c r="P224">
        <v>0</v>
      </c>
      <c r="Q224">
        <v>0</v>
      </c>
      <c r="R224">
        <v>0</v>
      </c>
      <c r="S224">
        <v>0</v>
      </c>
      <c r="T224">
        <v>0</v>
      </c>
      <c r="U224">
        <v>0</v>
      </c>
      <c r="V224">
        <v>0</v>
      </c>
      <c r="W224">
        <v>0</v>
      </c>
      <c r="X224">
        <v>0</v>
      </c>
      <c r="Y224">
        <v>0</v>
      </c>
      <c r="Z224">
        <v>0</v>
      </c>
      <c r="AA224">
        <v>0</v>
      </c>
    </row>
    <row r="225" spans="1:28" x14ac:dyDescent="0.3">
      <c r="A225" t="s">
        <v>52</v>
      </c>
      <c r="B225">
        <v>13</v>
      </c>
      <c r="P225">
        <v>1</v>
      </c>
      <c r="Q225">
        <v>1</v>
      </c>
      <c r="R225">
        <v>1</v>
      </c>
      <c r="S225">
        <v>1</v>
      </c>
      <c r="T225">
        <v>1</v>
      </c>
      <c r="U225">
        <v>1</v>
      </c>
      <c r="V225">
        <v>1</v>
      </c>
      <c r="W225">
        <v>1</v>
      </c>
      <c r="X225">
        <v>1</v>
      </c>
      <c r="Y225">
        <v>1</v>
      </c>
      <c r="Z225">
        <v>1</v>
      </c>
      <c r="AA225">
        <v>1</v>
      </c>
    </row>
    <row r="226" spans="1:28" x14ac:dyDescent="0.3">
      <c r="A226" t="s">
        <v>703</v>
      </c>
      <c r="B226">
        <v>13</v>
      </c>
      <c r="P226">
        <v>15</v>
      </c>
      <c r="Q226">
        <v>60</v>
      </c>
      <c r="R226">
        <v>9</v>
      </c>
      <c r="S226">
        <v>15</v>
      </c>
      <c r="T226">
        <v>60</v>
      </c>
      <c r="U226">
        <v>9</v>
      </c>
      <c r="V226">
        <v>15</v>
      </c>
      <c r="W226">
        <v>60</v>
      </c>
      <c r="X226">
        <v>9</v>
      </c>
      <c r="Y226">
        <v>15</v>
      </c>
      <c r="Z226">
        <v>60</v>
      </c>
      <c r="AA226">
        <v>9</v>
      </c>
    </row>
    <row r="227" spans="1:28" x14ac:dyDescent="0.3">
      <c r="A227" t="s">
        <v>43</v>
      </c>
      <c r="B227">
        <v>13</v>
      </c>
      <c r="P227">
        <v>0</v>
      </c>
      <c r="Q227">
        <v>0</v>
      </c>
      <c r="R227">
        <v>0</v>
      </c>
      <c r="S227">
        <v>0</v>
      </c>
      <c r="T227">
        <v>0</v>
      </c>
      <c r="U227">
        <v>0</v>
      </c>
      <c r="V227">
        <v>0</v>
      </c>
      <c r="W227">
        <v>0</v>
      </c>
      <c r="X227">
        <v>0</v>
      </c>
      <c r="Y227">
        <v>0</v>
      </c>
      <c r="Z227">
        <v>0</v>
      </c>
    </row>
    <row r="228" spans="1:28" x14ac:dyDescent="0.3">
      <c r="A228" t="s">
        <v>44</v>
      </c>
      <c r="B228">
        <v>13</v>
      </c>
      <c r="P228">
        <v>0</v>
      </c>
      <c r="Q228">
        <v>0</v>
      </c>
      <c r="R228">
        <v>0</v>
      </c>
      <c r="S228">
        <v>0</v>
      </c>
      <c r="T228">
        <v>0</v>
      </c>
      <c r="U228">
        <v>0</v>
      </c>
      <c r="V228">
        <v>0</v>
      </c>
      <c r="W228">
        <v>0</v>
      </c>
      <c r="X228">
        <v>0</v>
      </c>
      <c r="Y228">
        <v>0</v>
      </c>
      <c r="Z228">
        <v>0</v>
      </c>
    </row>
    <row r="229" spans="1:28" x14ac:dyDescent="0.3">
      <c r="A229" t="s">
        <v>47</v>
      </c>
      <c r="B229">
        <v>13</v>
      </c>
      <c r="P229">
        <v>3</v>
      </c>
      <c r="Q229">
        <v>8</v>
      </c>
      <c r="R229">
        <v>8</v>
      </c>
      <c r="S229">
        <v>5</v>
      </c>
      <c r="T229">
        <v>2</v>
      </c>
      <c r="U229">
        <v>2</v>
      </c>
      <c r="V229">
        <v>1</v>
      </c>
      <c r="W229">
        <v>6</v>
      </c>
      <c r="X229">
        <v>6</v>
      </c>
      <c r="Y229">
        <v>7</v>
      </c>
      <c r="Z229">
        <v>4</v>
      </c>
    </row>
    <row r="230" spans="1:28" x14ac:dyDescent="0.3">
      <c r="A230" t="s">
        <v>704</v>
      </c>
      <c r="B230">
        <v>13</v>
      </c>
      <c r="P230">
        <v>0</v>
      </c>
      <c r="Q230">
        <v>0</v>
      </c>
      <c r="R230">
        <v>0</v>
      </c>
      <c r="S230">
        <v>0</v>
      </c>
      <c r="T230">
        <v>0</v>
      </c>
      <c r="U230">
        <v>0</v>
      </c>
      <c r="V230">
        <v>0</v>
      </c>
      <c r="W230">
        <v>0</v>
      </c>
      <c r="X230">
        <v>0</v>
      </c>
      <c r="Y230">
        <v>0</v>
      </c>
      <c r="Z230">
        <v>0</v>
      </c>
    </row>
    <row r="231" spans="1:28" x14ac:dyDescent="0.3">
      <c r="A231" t="s">
        <v>705</v>
      </c>
      <c r="B231">
        <v>13</v>
      </c>
      <c r="P231">
        <v>0</v>
      </c>
      <c r="Q231">
        <v>0</v>
      </c>
      <c r="R231">
        <v>0</v>
      </c>
      <c r="S231">
        <v>0</v>
      </c>
      <c r="T231">
        <v>0</v>
      </c>
      <c r="U231">
        <v>0</v>
      </c>
      <c r="V231">
        <v>0</v>
      </c>
      <c r="W231">
        <v>0</v>
      </c>
      <c r="X231">
        <v>0</v>
      </c>
      <c r="Y231">
        <v>0</v>
      </c>
      <c r="Z231">
        <v>0</v>
      </c>
    </row>
    <row r="232" spans="1:28" x14ac:dyDescent="0.3">
      <c r="A232" t="s">
        <v>706</v>
      </c>
      <c r="B232">
        <v>13</v>
      </c>
      <c r="P232">
        <v>0</v>
      </c>
      <c r="Q232">
        <v>0</v>
      </c>
      <c r="R232">
        <v>0</v>
      </c>
      <c r="S232">
        <v>0</v>
      </c>
      <c r="T232">
        <v>0</v>
      </c>
      <c r="U232">
        <v>0</v>
      </c>
      <c r="V232">
        <v>0</v>
      </c>
      <c r="W232">
        <v>0</v>
      </c>
      <c r="X232">
        <v>0</v>
      </c>
      <c r="Y232">
        <v>0</v>
      </c>
      <c r="Z232">
        <v>0</v>
      </c>
    </row>
    <row r="233" spans="1:28" x14ac:dyDescent="0.3">
      <c r="A233" t="s">
        <v>707</v>
      </c>
      <c r="B233">
        <v>13</v>
      </c>
      <c r="P233">
        <v>0</v>
      </c>
      <c r="Q233">
        <v>0</v>
      </c>
      <c r="R233">
        <v>0</v>
      </c>
      <c r="S233">
        <v>0</v>
      </c>
      <c r="T233">
        <v>0</v>
      </c>
      <c r="U233">
        <v>0</v>
      </c>
      <c r="V233">
        <v>0</v>
      </c>
      <c r="W233">
        <v>0</v>
      </c>
      <c r="X233">
        <v>0</v>
      </c>
      <c r="Y233">
        <v>0</v>
      </c>
      <c r="Z233">
        <v>0</v>
      </c>
    </row>
    <row r="234" spans="1:28" x14ac:dyDescent="0.3">
      <c r="A234" t="s">
        <v>708</v>
      </c>
      <c r="B234">
        <v>13</v>
      </c>
      <c r="P234">
        <v>0</v>
      </c>
      <c r="Q234">
        <v>0</v>
      </c>
      <c r="R234">
        <v>0</v>
      </c>
      <c r="S234">
        <v>0</v>
      </c>
      <c r="T234">
        <v>0</v>
      </c>
      <c r="U234">
        <v>0</v>
      </c>
      <c r="V234">
        <v>0</v>
      </c>
      <c r="W234">
        <v>0</v>
      </c>
      <c r="X234">
        <v>0</v>
      </c>
      <c r="Y234">
        <v>0</v>
      </c>
      <c r="Z234">
        <v>0</v>
      </c>
    </row>
    <row r="235" spans="1:28" x14ac:dyDescent="0.3">
      <c r="A235" t="s">
        <v>719</v>
      </c>
      <c r="B235">
        <v>13</v>
      </c>
      <c r="Q235">
        <v>0</v>
      </c>
      <c r="T235">
        <v>0</v>
      </c>
      <c r="W235">
        <v>0</v>
      </c>
      <c r="Z235">
        <v>0</v>
      </c>
    </row>
    <row r="236" spans="1:28" x14ac:dyDescent="0.3">
      <c r="A236" t="s">
        <v>405</v>
      </c>
      <c r="B236">
        <v>13</v>
      </c>
      <c r="Q236">
        <v>0</v>
      </c>
    </row>
    <row r="237" spans="1:28" x14ac:dyDescent="0.3">
      <c r="A237" t="s">
        <v>720</v>
      </c>
      <c r="B237">
        <v>13</v>
      </c>
      <c r="P237">
        <v>61</v>
      </c>
      <c r="Q237">
        <v>135</v>
      </c>
      <c r="R237">
        <v>905</v>
      </c>
      <c r="S237">
        <v>340</v>
      </c>
      <c r="T237">
        <v>987</v>
      </c>
      <c r="U237">
        <v>179</v>
      </c>
      <c r="V237">
        <v>12</v>
      </c>
      <c r="W237">
        <v>1230</v>
      </c>
      <c r="X237">
        <v>27</v>
      </c>
      <c r="Y237">
        <v>232</v>
      </c>
      <c r="Z237">
        <v>98</v>
      </c>
      <c r="AA237">
        <v>0</v>
      </c>
    </row>
    <row r="238" spans="1:28" x14ac:dyDescent="0.3">
      <c r="A238" t="s">
        <v>34</v>
      </c>
      <c r="B238">
        <v>17</v>
      </c>
      <c r="I238">
        <v>19</v>
      </c>
      <c r="J238">
        <v>19</v>
      </c>
      <c r="L238">
        <v>19</v>
      </c>
      <c r="S238">
        <v>49</v>
      </c>
      <c r="T238">
        <v>49</v>
      </c>
      <c r="U238">
        <v>49</v>
      </c>
      <c r="V238">
        <v>21</v>
      </c>
      <c r="W238">
        <v>21</v>
      </c>
      <c r="X238">
        <v>21</v>
      </c>
      <c r="Y238">
        <v>20</v>
      </c>
      <c r="AA238">
        <v>20</v>
      </c>
      <c r="AB238">
        <v>20</v>
      </c>
    </row>
    <row r="239" spans="1:28" x14ac:dyDescent="0.3">
      <c r="A239" t="s">
        <v>35</v>
      </c>
      <c r="B239">
        <v>17</v>
      </c>
      <c r="I239">
        <v>21</v>
      </c>
      <c r="J239">
        <v>20</v>
      </c>
      <c r="L239">
        <v>49</v>
      </c>
      <c r="S239">
        <v>19</v>
      </c>
      <c r="T239">
        <v>21</v>
      </c>
      <c r="U239">
        <v>20</v>
      </c>
      <c r="V239">
        <v>20</v>
      </c>
      <c r="W239">
        <v>49</v>
      </c>
      <c r="X239">
        <v>19</v>
      </c>
      <c r="Y239">
        <v>49</v>
      </c>
      <c r="AA239">
        <v>19</v>
      </c>
      <c r="AB239">
        <v>21</v>
      </c>
    </row>
    <row r="240" spans="1:28" x14ac:dyDescent="0.3">
      <c r="A240" t="s">
        <v>36</v>
      </c>
      <c r="B240">
        <v>17</v>
      </c>
      <c r="I240">
        <v>1</v>
      </c>
      <c r="J240">
        <v>1</v>
      </c>
      <c r="L240">
        <v>1</v>
      </c>
      <c r="S240">
        <v>2</v>
      </c>
      <c r="T240">
        <v>3</v>
      </c>
      <c r="U240">
        <v>1</v>
      </c>
      <c r="V240">
        <v>1</v>
      </c>
      <c r="W240">
        <v>3</v>
      </c>
      <c r="X240">
        <v>0</v>
      </c>
      <c r="Y240">
        <v>1</v>
      </c>
      <c r="AA240">
        <v>1</v>
      </c>
      <c r="AB240">
        <v>0</v>
      </c>
    </row>
    <row r="241" spans="1:28" x14ac:dyDescent="0.3">
      <c r="A241" t="s">
        <v>37</v>
      </c>
      <c r="B241">
        <v>17</v>
      </c>
      <c r="I241">
        <v>0</v>
      </c>
      <c r="J241">
        <v>0</v>
      </c>
      <c r="S241">
        <v>0</v>
      </c>
      <c r="T241">
        <v>0</v>
      </c>
      <c r="V241">
        <v>0</v>
      </c>
      <c r="W241">
        <v>2</v>
      </c>
      <c r="Y241">
        <v>0</v>
      </c>
      <c r="AA241">
        <v>2</v>
      </c>
    </row>
    <row r="242" spans="1:28" x14ac:dyDescent="0.3">
      <c r="A242" t="s">
        <v>38</v>
      </c>
      <c r="B242">
        <v>17</v>
      </c>
      <c r="I242">
        <v>12</v>
      </c>
      <c r="J242">
        <v>12</v>
      </c>
      <c r="L242">
        <v>12</v>
      </c>
      <c r="S242">
        <v>12</v>
      </c>
      <c r="T242">
        <v>12</v>
      </c>
      <c r="U242">
        <v>12</v>
      </c>
      <c r="V242">
        <v>12</v>
      </c>
      <c r="W242">
        <v>12</v>
      </c>
      <c r="X242">
        <v>12</v>
      </c>
      <c r="Y242">
        <v>12</v>
      </c>
      <c r="AA242">
        <v>12</v>
      </c>
      <c r="AB242">
        <v>12</v>
      </c>
    </row>
    <row r="243" spans="1:28" x14ac:dyDescent="0.3">
      <c r="A243" t="s">
        <v>39</v>
      </c>
      <c r="B243">
        <v>17</v>
      </c>
      <c r="J243">
        <v>160</v>
      </c>
      <c r="S243">
        <v>450</v>
      </c>
      <c r="U243">
        <v>245</v>
      </c>
      <c r="V243">
        <v>310</v>
      </c>
      <c r="Y243">
        <v>110</v>
      </c>
      <c r="AA243">
        <v>110</v>
      </c>
    </row>
    <row r="244" spans="1:28" x14ac:dyDescent="0.3">
      <c r="A244" t="s">
        <v>695</v>
      </c>
      <c r="B244">
        <v>17</v>
      </c>
      <c r="J244">
        <v>50</v>
      </c>
      <c r="S244">
        <v>160</v>
      </c>
      <c r="U244">
        <v>95</v>
      </c>
      <c r="V244">
        <v>175</v>
      </c>
      <c r="Y244">
        <v>0</v>
      </c>
      <c r="AA244">
        <v>0</v>
      </c>
    </row>
    <row r="245" spans="1:28" x14ac:dyDescent="0.3">
      <c r="A245" t="s">
        <v>40</v>
      </c>
      <c r="B245">
        <v>17</v>
      </c>
      <c r="J245">
        <v>1</v>
      </c>
      <c r="S245">
        <v>2</v>
      </c>
      <c r="U245">
        <v>1</v>
      </c>
      <c r="V245">
        <v>1</v>
      </c>
      <c r="Y245">
        <v>0</v>
      </c>
      <c r="AA245">
        <v>0</v>
      </c>
    </row>
    <row r="246" spans="1:28" x14ac:dyDescent="0.3">
      <c r="A246" t="s">
        <v>41</v>
      </c>
      <c r="B246">
        <v>17</v>
      </c>
    </row>
    <row r="247" spans="1:28" x14ac:dyDescent="0.3">
      <c r="A247" t="s">
        <v>42</v>
      </c>
      <c r="B247">
        <v>17</v>
      </c>
      <c r="J247">
        <v>25</v>
      </c>
      <c r="T247">
        <v>45</v>
      </c>
      <c r="W247">
        <v>45</v>
      </c>
      <c r="Y247">
        <v>30</v>
      </c>
    </row>
    <row r="248" spans="1:28" x14ac:dyDescent="0.3">
      <c r="A248" t="s">
        <v>45</v>
      </c>
      <c r="B248">
        <v>17</v>
      </c>
      <c r="I248">
        <v>8</v>
      </c>
      <c r="J248">
        <v>8</v>
      </c>
      <c r="S248">
        <v>5</v>
      </c>
      <c r="T248">
        <v>2</v>
      </c>
      <c r="V248">
        <v>1</v>
      </c>
      <c r="W248">
        <v>6</v>
      </c>
      <c r="Y248">
        <v>4</v>
      </c>
      <c r="AA248">
        <v>4</v>
      </c>
    </row>
    <row r="249" spans="1:28" x14ac:dyDescent="0.3">
      <c r="A249" t="s">
        <v>46</v>
      </c>
      <c r="B249">
        <v>17</v>
      </c>
      <c r="L249">
        <v>8</v>
      </c>
      <c r="U249">
        <v>2</v>
      </c>
    </row>
    <row r="250" spans="1:28" x14ac:dyDescent="0.3">
      <c r="A250" t="s">
        <v>49</v>
      </c>
      <c r="B250">
        <v>17</v>
      </c>
      <c r="I250">
        <v>7.3</v>
      </c>
      <c r="J250">
        <v>7.3</v>
      </c>
      <c r="L250">
        <v>7.3</v>
      </c>
      <c r="S250">
        <v>7.7</v>
      </c>
      <c r="T250">
        <v>6.6</v>
      </c>
      <c r="U250">
        <v>6.6</v>
      </c>
      <c r="V250">
        <v>6.8</v>
      </c>
      <c r="W250">
        <v>6.5</v>
      </c>
      <c r="X250">
        <v>4</v>
      </c>
      <c r="Y250">
        <v>8</v>
      </c>
      <c r="AA250">
        <v>8</v>
      </c>
      <c r="AB250">
        <v>4</v>
      </c>
    </row>
    <row r="251" spans="1:28" x14ac:dyDescent="0.3">
      <c r="A251" t="s">
        <v>696</v>
      </c>
      <c r="B251">
        <v>17</v>
      </c>
      <c r="I251">
        <v>0</v>
      </c>
      <c r="J251">
        <v>0</v>
      </c>
      <c r="L251">
        <v>0</v>
      </c>
      <c r="S251">
        <v>0</v>
      </c>
      <c r="T251">
        <v>0</v>
      </c>
      <c r="U251">
        <v>0</v>
      </c>
      <c r="V251">
        <v>0</v>
      </c>
      <c r="W251">
        <v>0</v>
      </c>
      <c r="X251">
        <v>0</v>
      </c>
      <c r="Y251">
        <v>0</v>
      </c>
      <c r="AA251">
        <v>0</v>
      </c>
      <c r="AB251">
        <v>0</v>
      </c>
    </row>
    <row r="252" spans="1:28" x14ac:dyDescent="0.3">
      <c r="A252" t="s">
        <v>48</v>
      </c>
      <c r="B252">
        <v>17</v>
      </c>
      <c r="I252">
        <v>1900</v>
      </c>
      <c r="J252">
        <v>1900</v>
      </c>
      <c r="L252">
        <v>1900</v>
      </c>
      <c r="S252">
        <v>1900</v>
      </c>
      <c r="T252">
        <v>1900</v>
      </c>
      <c r="U252">
        <v>1900</v>
      </c>
      <c r="V252">
        <v>1900</v>
      </c>
      <c r="W252">
        <v>1900</v>
      </c>
      <c r="X252">
        <v>1900</v>
      </c>
      <c r="Y252">
        <v>1900</v>
      </c>
      <c r="AA252">
        <v>1900</v>
      </c>
      <c r="AB252">
        <v>1900</v>
      </c>
    </row>
    <row r="253" spans="1:28" x14ac:dyDescent="0.3">
      <c r="A253" t="s">
        <v>697</v>
      </c>
      <c r="B253">
        <v>17</v>
      </c>
      <c r="I253">
        <v>1770</v>
      </c>
      <c r="J253">
        <v>1770</v>
      </c>
      <c r="L253">
        <v>1583</v>
      </c>
      <c r="S253">
        <v>3433</v>
      </c>
      <c r="T253">
        <v>5085</v>
      </c>
      <c r="U253">
        <v>1583</v>
      </c>
      <c r="V253">
        <v>1770</v>
      </c>
      <c r="W253">
        <v>5070</v>
      </c>
      <c r="X253">
        <v>0</v>
      </c>
      <c r="Y253">
        <v>1770</v>
      </c>
      <c r="AA253">
        <v>1583</v>
      </c>
      <c r="AB253">
        <v>0</v>
      </c>
    </row>
    <row r="254" spans="1:28" x14ac:dyDescent="0.3">
      <c r="A254" t="s">
        <v>50</v>
      </c>
      <c r="B254">
        <v>17</v>
      </c>
      <c r="I254">
        <v>1770</v>
      </c>
      <c r="J254">
        <v>1770</v>
      </c>
      <c r="L254">
        <v>1583</v>
      </c>
      <c r="S254">
        <v>3433</v>
      </c>
      <c r="T254">
        <v>5085</v>
      </c>
      <c r="U254">
        <v>1583</v>
      </c>
      <c r="V254">
        <v>1770</v>
      </c>
      <c r="W254">
        <v>5070</v>
      </c>
      <c r="X254">
        <v>0</v>
      </c>
      <c r="Y254">
        <v>1770</v>
      </c>
      <c r="AA254">
        <v>1583</v>
      </c>
      <c r="AB254">
        <v>0</v>
      </c>
    </row>
    <row r="255" spans="1:28" x14ac:dyDescent="0.3">
      <c r="A255" t="s">
        <v>698</v>
      </c>
      <c r="B255">
        <v>17</v>
      </c>
      <c r="I255">
        <v>1</v>
      </c>
      <c r="J255">
        <v>1</v>
      </c>
      <c r="L255">
        <v>1</v>
      </c>
      <c r="S255">
        <v>1</v>
      </c>
      <c r="T255">
        <v>1</v>
      </c>
      <c r="U255">
        <v>1</v>
      </c>
      <c r="V255">
        <v>1</v>
      </c>
      <c r="W255">
        <v>1</v>
      </c>
      <c r="X255">
        <v>1</v>
      </c>
      <c r="Y255">
        <v>1</v>
      </c>
      <c r="AA255">
        <v>1</v>
      </c>
      <c r="AB255">
        <v>1</v>
      </c>
    </row>
    <row r="256" spans="1:28" x14ac:dyDescent="0.3">
      <c r="A256" t="s">
        <v>51</v>
      </c>
      <c r="B256">
        <v>17</v>
      </c>
      <c r="I256">
        <v>0</v>
      </c>
      <c r="J256">
        <v>0</v>
      </c>
      <c r="L256">
        <v>390</v>
      </c>
      <c r="S256">
        <v>0</v>
      </c>
      <c r="T256">
        <v>0</v>
      </c>
      <c r="U256">
        <v>177</v>
      </c>
      <c r="V256">
        <v>0</v>
      </c>
      <c r="W256">
        <v>2</v>
      </c>
      <c r="X256">
        <v>0</v>
      </c>
      <c r="Y256">
        <v>0</v>
      </c>
      <c r="AA256">
        <v>168</v>
      </c>
      <c r="AB256">
        <v>0</v>
      </c>
    </row>
    <row r="257" spans="1:28" x14ac:dyDescent="0.3">
      <c r="A257" t="s">
        <v>53</v>
      </c>
      <c r="B257">
        <v>17</v>
      </c>
      <c r="I257">
        <v>18</v>
      </c>
      <c r="J257">
        <v>116</v>
      </c>
      <c r="L257">
        <v>359</v>
      </c>
      <c r="S257">
        <v>147</v>
      </c>
      <c r="T257">
        <v>734</v>
      </c>
      <c r="U257">
        <v>59</v>
      </c>
      <c r="V257">
        <v>41</v>
      </c>
      <c r="W257">
        <v>607</v>
      </c>
      <c r="X257">
        <v>12</v>
      </c>
      <c r="Y257">
        <v>56</v>
      </c>
      <c r="AA257">
        <v>110</v>
      </c>
      <c r="AB257">
        <v>38</v>
      </c>
    </row>
    <row r="258" spans="1:28" x14ac:dyDescent="0.3">
      <c r="A258" t="s">
        <v>54</v>
      </c>
      <c r="B258">
        <v>17</v>
      </c>
      <c r="I258">
        <v>0</v>
      </c>
      <c r="J258">
        <v>0</v>
      </c>
      <c r="L258">
        <v>0</v>
      </c>
      <c r="S258">
        <v>0</v>
      </c>
      <c r="T258">
        <v>0</v>
      </c>
      <c r="U258">
        <v>0</v>
      </c>
      <c r="V258">
        <v>0</v>
      </c>
      <c r="W258">
        <v>0</v>
      </c>
      <c r="X258">
        <v>0</v>
      </c>
      <c r="Y258">
        <v>0</v>
      </c>
      <c r="AA258">
        <v>0</v>
      </c>
      <c r="AB258">
        <v>0</v>
      </c>
    </row>
    <row r="259" spans="1:28" x14ac:dyDescent="0.3">
      <c r="A259" t="s">
        <v>55</v>
      </c>
      <c r="B259">
        <v>17</v>
      </c>
      <c r="I259">
        <v>0</v>
      </c>
      <c r="J259">
        <v>0</v>
      </c>
      <c r="L259">
        <v>0</v>
      </c>
      <c r="S259">
        <v>0</v>
      </c>
      <c r="T259">
        <v>0</v>
      </c>
      <c r="U259">
        <v>0</v>
      </c>
      <c r="V259">
        <v>0</v>
      </c>
      <c r="W259">
        <v>0</v>
      </c>
      <c r="X259">
        <v>0</v>
      </c>
      <c r="Y259">
        <v>0</v>
      </c>
      <c r="AA259">
        <v>0</v>
      </c>
      <c r="AB259">
        <v>0</v>
      </c>
    </row>
    <row r="260" spans="1:28" x14ac:dyDescent="0.3">
      <c r="A260" t="s">
        <v>56</v>
      </c>
      <c r="B260">
        <v>17</v>
      </c>
      <c r="I260">
        <v>0.92</v>
      </c>
      <c r="J260">
        <v>0.92</v>
      </c>
      <c r="L260">
        <v>0.92</v>
      </c>
      <c r="S260">
        <v>0.92</v>
      </c>
      <c r="T260">
        <v>0.92</v>
      </c>
      <c r="U260">
        <v>0.92</v>
      </c>
      <c r="V260">
        <v>0.92</v>
      </c>
      <c r="W260">
        <v>0.92</v>
      </c>
      <c r="X260">
        <v>0.92</v>
      </c>
      <c r="Y260">
        <v>0.92</v>
      </c>
      <c r="AA260">
        <v>0.92</v>
      </c>
      <c r="AB260">
        <v>0.92</v>
      </c>
    </row>
    <row r="261" spans="1:28" x14ac:dyDescent="0.3">
      <c r="A261" t="s">
        <v>57</v>
      </c>
      <c r="B261">
        <v>17</v>
      </c>
      <c r="I261">
        <v>100</v>
      </c>
      <c r="J261">
        <v>100</v>
      </c>
      <c r="L261">
        <v>100</v>
      </c>
      <c r="S261">
        <v>100</v>
      </c>
      <c r="T261">
        <v>100</v>
      </c>
      <c r="U261">
        <v>100</v>
      </c>
      <c r="V261">
        <v>100</v>
      </c>
      <c r="W261">
        <v>100</v>
      </c>
      <c r="X261">
        <v>100</v>
      </c>
      <c r="Y261">
        <v>100</v>
      </c>
      <c r="AA261">
        <v>100</v>
      </c>
      <c r="AB261">
        <v>100</v>
      </c>
    </row>
    <row r="262" spans="1:28" x14ac:dyDescent="0.3">
      <c r="A262" t="s">
        <v>58</v>
      </c>
      <c r="B262">
        <v>17</v>
      </c>
      <c r="I262">
        <v>2</v>
      </c>
      <c r="J262">
        <v>2</v>
      </c>
      <c r="L262">
        <v>2</v>
      </c>
      <c r="S262">
        <v>2</v>
      </c>
      <c r="T262">
        <v>2</v>
      </c>
      <c r="U262">
        <v>2</v>
      </c>
      <c r="V262">
        <v>2</v>
      </c>
      <c r="W262">
        <v>2</v>
      </c>
      <c r="X262">
        <v>2</v>
      </c>
      <c r="Y262">
        <v>2</v>
      </c>
      <c r="AA262">
        <v>2</v>
      </c>
      <c r="AB262">
        <v>2</v>
      </c>
    </row>
    <row r="263" spans="1:28" x14ac:dyDescent="0.3">
      <c r="A263" t="s">
        <v>59</v>
      </c>
      <c r="B263">
        <v>17</v>
      </c>
      <c r="I263">
        <v>0</v>
      </c>
      <c r="J263">
        <v>0</v>
      </c>
      <c r="L263">
        <v>0</v>
      </c>
      <c r="S263">
        <v>0</v>
      </c>
      <c r="T263">
        <v>0</v>
      </c>
      <c r="U263">
        <v>0</v>
      </c>
      <c r="V263">
        <v>0</v>
      </c>
      <c r="W263">
        <v>0</v>
      </c>
      <c r="X263">
        <v>0</v>
      </c>
      <c r="Y263">
        <v>0</v>
      </c>
      <c r="AA263">
        <v>0</v>
      </c>
      <c r="AB263">
        <v>0</v>
      </c>
    </row>
    <row r="264" spans="1:28" x14ac:dyDescent="0.3">
      <c r="A264" t="s">
        <v>699</v>
      </c>
      <c r="B264">
        <v>17</v>
      </c>
      <c r="J264">
        <v>0</v>
      </c>
      <c r="T264">
        <v>0</v>
      </c>
      <c r="W264">
        <v>0</v>
      </c>
      <c r="Y264">
        <v>0</v>
      </c>
    </row>
    <row r="265" spans="1:28" x14ac:dyDescent="0.3">
      <c r="A265" t="s">
        <v>678</v>
      </c>
      <c r="B265">
        <v>17</v>
      </c>
      <c r="J265">
        <v>995</v>
      </c>
      <c r="T265">
        <v>4063</v>
      </c>
      <c r="W265">
        <v>4722</v>
      </c>
      <c r="Y265">
        <v>288</v>
      </c>
    </row>
    <row r="266" spans="1:28" x14ac:dyDescent="0.3">
      <c r="A266" t="s">
        <v>78</v>
      </c>
      <c r="B266">
        <v>17</v>
      </c>
      <c r="J266">
        <v>27.1</v>
      </c>
      <c r="T266">
        <v>61.6</v>
      </c>
      <c r="W266">
        <v>71.5</v>
      </c>
      <c r="Y266">
        <v>6.5</v>
      </c>
    </row>
    <row r="267" spans="1:28" x14ac:dyDescent="0.3">
      <c r="A267" t="s">
        <v>700</v>
      </c>
      <c r="B267">
        <v>17</v>
      </c>
      <c r="L267">
        <v>0</v>
      </c>
      <c r="U267">
        <v>0</v>
      </c>
      <c r="X267">
        <v>1</v>
      </c>
      <c r="AB267">
        <v>0</v>
      </c>
    </row>
    <row r="268" spans="1:28" x14ac:dyDescent="0.3">
      <c r="A268" t="s">
        <v>721</v>
      </c>
      <c r="B268">
        <v>17</v>
      </c>
      <c r="X268">
        <v>50</v>
      </c>
    </row>
    <row r="269" spans="1:28" x14ac:dyDescent="0.3">
      <c r="A269" t="s">
        <v>722</v>
      </c>
      <c r="B269">
        <v>17</v>
      </c>
      <c r="X269">
        <v>0</v>
      </c>
    </row>
    <row r="270" spans="1:28" x14ac:dyDescent="0.3">
      <c r="A270" t="s">
        <v>701</v>
      </c>
      <c r="B270">
        <v>17</v>
      </c>
      <c r="I270">
        <v>0</v>
      </c>
      <c r="J270">
        <v>0</v>
      </c>
      <c r="L270">
        <v>1</v>
      </c>
      <c r="S270">
        <v>0</v>
      </c>
      <c r="T270">
        <v>0</v>
      </c>
      <c r="U270">
        <v>1</v>
      </c>
      <c r="V270">
        <v>0</v>
      </c>
      <c r="W270">
        <v>0</v>
      </c>
      <c r="X270">
        <v>1</v>
      </c>
      <c r="Y270">
        <v>0</v>
      </c>
      <c r="AA270">
        <v>1</v>
      </c>
      <c r="AB270">
        <v>1</v>
      </c>
    </row>
    <row r="271" spans="1:28" x14ac:dyDescent="0.3">
      <c r="A271" t="s">
        <v>702</v>
      </c>
      <c r="B271">
        <v>17</v>
      </c>
      <c r="I271">
        <v>0</v>
      </c>
      <c r="J271">
        <v>0</v>
      </c>
      <c r="L271">
        <v>0</v>
      </c>
      <c r="S271">
        <v>0</v>
      </c>
      <c r="T271">
        <v>0</v>
      </c>
      <c r="U271">
        <v>0</v>
      </c>
      <c r="V271">
        <v>0</v>
      </c>
      <c r="W271">
        <v>0</v>
      </c>
      <c r="X271">
        <v>0</v>
      </c>
      <c r="Y271">
        <v>0</v>
      </c>
      <c r="AA271">
        <v>0</v>
      </c>
      <c r="AB271">
        <v>0</v>
      </c>
    </row>
    <row r="272" spans="1:28" x14ac:dyDescent="0.3">
      <c r="A272" t="s">
        <v>52</v>
      </c>
      <c r="B272">
        <v>17</v>
      </c>
      <c r="I272">
        <v>1</v>
      </c>
      <c r="J272">
        <v>1</v>
      </c>
      <c r="L272">
        <v>1</v>
      </c>
      <c r="S272">
        <v>1</v>
      </c>
      <c r="T272">
        <v>1</v>
      </c>
      <c r="U272">
        <v>1</v>
      </c>
      <c r="V272">
        <v>1</v>
      </c>
      <c r="W272">
        <v>1</v>
      </c>
      <c r="X272">
        <v>1</v>
      </c>
      <c r="Y272">
        <v>1</v>
      </c>
      <c r="AA272">
        <v>1</v>
      </c>
      <c r="AB272">
        <v>1</v>
      </c>
    </row>
    <row r="273" spans="1:28" x14ac:dyDescent="0.3">
      <c r="A273" t="s">
        <v>703</v>
      </c>
      <c r="B273">
        <v>17</v>
      </c>
      <c r="I273">
        <v>15</v>
      </c>
      <c r="J273">
        <v>15</v>
      </c>
      <c r="L273">
        <v>9</v>
      </c>
      <c r="S273">
        <v>15</v>
      </c>
      <c r="T273">
        <v>60</v>
      </c>
      <c r="U273">
        <v>9</v>
      </c>
      <c r="V273">
        <v>15</v>
      </c>
      <c r="W273">
        <v>60</v>
      </c>
      <c r="X273">
        <v>9</v>
      </c>
      <c r="Y273">
        <v>15</v>
      </c>
      <c r="AA273">
        <v>9</v>
      </c>
      <c r="AB273">
        <v>9</v>
      </c>
    </row>
    <row r="274" spans="1:28" x14ac:dyDescent="0.3">
      <c r="A274" t="s">
        <v>43</v>
      </c>
      <c r="B274">
        <v>17</v>
      </c>
      <c r="I274">
        <v>0</v>
      </c>
      <c r="J274">
        <v>0</v>
      </c>
      <c r="L274">
        <v>0</v>
      </c>
      <c r="S274">
        <v>0</v>
      </c>
      <c r="T274">
        <v>0</v>
      </c>
      <c r="U274">
        <v>0</v>
      </c>
      <c r="V274">
        <v>0</v>
      </c>
      <c r="W274">
        <v>0</v>
      </c>
      <c r="Y274">
        <v>0</v>
      </c>
      <c r="AA274">
        <v>0</v>
      </c>
    </row>
    <row r="275" spans="1:28" x14ac:dyDescent="0.3">
      <c r="A275" t="s">
        <v>44</v>
      </c>
      <c r="B275">
        <v>17</v>
      </c>
      <c r="I275">
        <v>0</v>
      </c>
      <c r="J275">
        <v>0</v>
      </c>
      <c r="L275">
        <v>0</v>
      </c>
      <c r="S275">
        <v>0</v>
      </c>
      <c r="T275">
        <v>0</v>
      </c>
      <c r="U275">
        <v>0</v>
      </c>
      <c r="V275">
        <v>0</v>
      </c>
      <c r="W275">
        <v>0</v>
      </c>
      <c r="Y275">
        <v>0</v>
      </c>
      <c r="AA275">
        <v>0</v>
      </c>
    </row>
    <row r="276" spans="1:28" x14ac:dyDescent="0.3">
      <c r="A276" t="s">
        <v>47</v>
      </c>
      <c r="B276">
        <v>17</v>
      </c>
      <c r="I276">
        <v>8</v>
      </c>
      <c r="J276">
        <v>8</v>
      </c>
      <c r="L276">
        <v>8</v>
      </c>
      <c r="S276">
        <v>5</v>
      </c>
      <c r="T276">
        <v>2</v>
      </c>
      <c r="U276">
        <v>2</v>
      </c>
      <c r="V276">
        <v>1</v>
      </c>
      <c r="W276">
        <v>6</v>
      </c>
      <c r="Y276">
        <v>4</v>
      </c>
      <c r="AA276">
        <v>4</v>
      </c>
    </row>
    <row r="277" spans="1:28" x14ac:dyDescent="0.3">
      <c r="A277" t="s">
        <v>704</v>
      </c>
      <c r="B277">
        <v>17</v>
      </c>
      <c r="I277">
        <v>0</v>
      </c>
      <c r="J277">
        <v>0</v>
      </c>
      <c r="L277">
        <v>0</v>
      </c>
      <c r="S277">
        <v>0</v>
      </c>
      <c r="T277">
        <v>0</v>
      </c>
      <c r="U277">
        <v>0</v>
      </c>
      <c r="V277">
        <v>0</v>
      </c>
      <c r="W277">
        <v>0</v>
      </c>
      <c r="Y277">
        <v>0</v>
      </c>
      <c r="AA277">
        <v>0</v>
      </c>
    </row>
    <row r="278" spans="1:28" x14ac:dyDescent="0.3">
      <c r="A278" t="s">
        <v>705</v>
      </c>
      <c r="B278">
        <v>17</v>
      </c>
      <c r="I278">
        <v>0</v>
      </c>
      <c r="J278">
        <v>0</v>
      </c>
      <c r="L278">
        <v>0</v>
      </c>
      <c r="S278">
        <v>0</v>
      </c>
      <c r="T278">
        <v>0</v>
      </c>
      <c r="U278">
        <v>0</v>
      </c>
      <c r="V278">
        <v>0</v>
      </c>
      <c r="W278">
        <v>0</v>
      </c>
      <c r="Y278">
        <v>0</v>
      </c>
      <c r="AA278">
        <v>0</v>
      </c>
    </row>
    <row r="279" spans="1:28" x14ac:dyDescent="0.3">
      <c r="A279" t="s">
        <v>706</v>
      </c>
      <c r="B279">
        <v>17</v>
      </c>
      <c r="I279">
        <v>0</v>
      </c>
      <c r="J279">
        <v>0</v>
      </c>
      <c r="L279">
        <v>0</v>
      </c>
      <c r="S279">
        <v>0</v>
      </c>
      <c r="T279">
        <v>0</v>
      </c>
      <c r="U279">
        <v>0</v>
      </c>
      <c r="V279">
        <v>0</v>
      </c>
      <c r="W279">
        <v>0</v>
      </c>
      <c r="Y279">
        <v>0</v>
      </c>
      <c r="AA279">
        <v>0</v>
      </c>
    </row>
    <row r="280" spans="1:28" x14ac:dyDescent="0.3">
      <c r="A280" t="s">
        <v>707</v>
      </c>
      <c r="B280">
        <v>17</v>
      </c>
      <c r="I280">
        <v>0</v>
      </c>
      <c r="J280">
        <v>0</v>
      </c>
      <c r="L280">
        <v>0</v>
      </c>
      <c r="S280">
        <v>0</v>
      </c>
      <c r="T280">
        <v>0</v>
      </c>
      <c r="U280">
        <v>0</v>
      </c>
      <c r="V280">
        <v>0</v>
      </c>
      <c r="W280">
        <v>0</v>
      </c>
      <c r="Y280">
        <v>0</v>
      </c>
      <c r="AA280">
        <v>0</v>
      </c>
    </row>
    <row r="281" spans="1:28" x14ac:dyDescent="0.3">
      <c r="A281" t="s">
        <v>708</v>
      </c>
      <c r="B281">
        <v>17</v>
      </c>
      <c r="I281">
        <v>0</v>
      </c>
      <c r="J281">
        <v>0</v>
      </c>
      <c r="L281">
        <v>0</v>
      </c>
      <c r="S281">
        <v>0</v>
      </c>
      <c r="T281">
        <v>0</v>
      </c>
      <c r="U281">
        <v>0</v>
      </c>
      <c r="V281">
        <v>0</v>
      </c>
      <c r="W281">
        <v>0</v>
      </c>
      <c r="Y281">
        <v>0</v>
      </c>
      <c r="AA281">
        <v>0</v>
      </c>
    </row>
    <row r="282" spans="1:28" x14ac:dyDescent="0.3">
      <c r="A282" t="s">
        <v>719</v>
      </c>
      <c r="B282">
        <v>17</v>
      </c>
      <c r="J282">
        <v>0</v>
      </c>
      <c r="T282">
        <v>0</v>
      </c>
      <c r="W282">
        <v>0</v>
      </c>
      <c r="Y282">
        <v>0</v>
      </c>
    </row>
    <row r="283" spans="1:28" x14ac:dyDescent="0.3">
      <c r="A283" t="s">
        <v>405</v>
      </c>
      <c r="B283">
        <v>17</v>
      </c>
      <c r="T283">
        <v>0</v>
      </c>
    </row>
    <row r="284" spans="1:28" x14ac:dyDescent="0.3">
      <c r="A284" t="s">
        <v>720</v>
      </c>
      <c r="B284">
        <v>17</v>
      </c>
      <c r="I284">
        <v>20</v>
      </c>
      <c r="J284">
        <v>126</v>
      </c>
      <c r="L284">
        <v>390</v>
      </c>
      <c r="S284">
        <v>160</v>
      </c>
      <c r="T284">
        <v>798</v>
      </c>
      <c r="U284">
        <v>64</v>
      </c>
      <c r="V284">
        <v>45</v>
      </c>
      <c r="W284">
        <v>673</v>
      </c>
      <c r="X284">
        <v>0</v>
      </c>
      <c r="Y284">
        <v>61</v>
      </c>
      <c r="AA284">
        <v>161</v>
      </c>
      <c r="AB284">
        <v>0</v>
      </c>
    </row>
    <row r="285" spans="1:28" x14ac:dyDescent="0.3">
      <c r="A285" t="s">
        <v>34</v>
      </c>
      <c r="B285">
        <v>21</v>
      </c>
      <c r="C285">
        <v>22</v>
      </c>
      <c r="D285">
        <v>22</v>
      </c>
      <c r="E285">
        <v>22</v>
      </c>
      <c r="F285">
        <v>23</v>
      </c>
      <c r="G285">
        <v>23</v>
      </c>
      <c r="H285">
        <v>23</v>
      </c>
      <c r="S285">
        <v>17</v>
      </c>
      <c r="T285">
        <v>17</v>
      </c>
      <c r="U285">
        <v>17</v>
      </c>
      <c r="V285">
        <v>46</v>
      </c>
      <c r="W285">
        <v>46</v>
      </c>
      <c r="X285">
        <v>46</v>
      </c>
    </row>
    <row r="286" spans="1:28" x14ac:dyDescent="0.3">
      <c r="A286" t="s">
        <v>35</v>
      </c>
      <c r="B286">
        <v>21</v>
      </c>
      <c r="C286">
        <v>46</v>
      </c>
      <c r="D286">
        <v>23</v>
      </c>
      <c r="E286">
        <v>17</v>
      </c>
      <c r="F286">
        <v>17</v>
      </c>
      <c r="G286">
        <v>22</v>
      </c>
      <c r="H286">
        <v>46</v>
      </c>
      <c r="S286">
        <v>22</v>
      </c>
      <c r="T286">
        <v>46</v>
      </c>
      <c r="U286">
        <v>23</v>
      </c>
      <c r="V286">
        <v>23</v>
      </c>
      <c r="W286">
        <v>17</v>
      </c>
      <c r="X286">
        <v>22</v>
      </c>
    </row>
    <row r="287" spans="1:28" x14ac:dyDescent="0.3">
      <c r="A287" t="s">
        <v>36</v>
      </c>
      <c r="B287">
        <v>21</v>
      </c>
      <c r="C287">
        <v>2</v>
      </c>
      <c r="D287">
        <v>2</v>
      </c>
      <c r="E287">
        <v>1</v>
      </c>
      <c r="F287">
        <v>1</v>
      </c>
      <c r="G287">
        <v>2</v>
      </c>
      <c r="H287">
        <v>1</v>
      </c>
      <c r="S287">
        <v>2</v>
      </c>
      <c r="T287">
        <v>3</v>
      </c>
      <c r="U287">
        <v>1</v>
      </c>
      <c r="V287">
        <v>2</v>
      </c>
      <c r="W287">
        <v>3</v>
      </c>
      <c r="X287">
        <v>1</v>
      </c>
    </row>
    <row r="288" spans="1:28" x14ac:dyDescent="0.3">
      <c r="A288" t="s">
        <v>37</v>
      </c>
      <c r="B288">
        <v>21</v>
      </c>
      <c r="C288">
        <v>0</v>
      </c>
      <c r="D288">
        <v>0</v>
      </c>
      <c r="F288">
        <v>0</v>
      </c>
      <c r="G288">
        <v>0</v>
      </c>
      <c r="S288">
        <v>0</v>
      </c>
      <c r="T288">
        <v>0</v>
      </c>
      <c r="V288">
        <v>0</v>
      </c>
      <c r="W288">
        <v>0</v>
      </c>
    </row>
    <row r="289" spans="1:24" x14ac:dyDescent="0.3">
      <c r="A289" t="s">
        <v>38</v>
      </c>
      <c r="B289">
        <v>21</v>
      </c>
      <c r="C289">
        <v>12</v>
      </c>
      <c r="D289">
        <v>12</v>
      </c>
      <c r="E289">
        <v>12</v>
      </c>
      <c r="F289">
        <v>12</v>
      </c>
      <c r="G289">
        <v>12</v>
      </c>
      <c r="H289">
        <v>12</v>
      </c>
      <c r="S289">
        <v>12</v>
      </c>
      <c r="T289">
        <v>12</v>
      </c>
      <c r="U289">
        <v>12</v>
      </c>
      <c r="V289">
        <v>12</v>
      </c>
      <c r="W289">
        <v>12</v>
      </c>
      <c r="X289">
        <v>12</v>
      </c>
    </row>
    <row r="290" spans="1:24" x14ac:dyDescent="0.3">
      <c r="A290" t="s">
        <v>39</v>
      </c>
      <c r="B290">
        <v>21</v>
      </c>
      <c r="C290">
        <v>190</v>
      </c>
      <c r="E290">
        <v>265</v>
      </c>
      <c r="F290">
        <v>245</v>
      </c>
      <c r="H290">
        <v>245</v>
      </c>
      <c r="S290">
        <v>330</v>
      </c>
      <c r="U290">
        <v>350</v>
      </c>
      <c r="V290">
        <v>390</v>
      </c>
      <c r="X290">
        <v>470</v>
      </c>
    </row>
    <row r="291" spans="1:24" x14ac:dyDescent="0.3">
      <c r="A291" t="s">
        <v>695</v>
      </c>
      <c r="B291">
        <v>21</v>
      </c>
      <c r="C291">
        <v>120</v>
      </c>
      <c r="E291">
        <v>105</v>
      </c>
      <c r="F291">
        <v>75</v>
      </c>
      <c r="H291">
        <v>75</v>
      </c>
      <c r="S291">
        <v>155</v>
      </c>
      <c r="U291">
        <v>120</v>
      </c>
      <c r="V291">
        <v>125</v>
      </c>
      <c r="X291">
        <v>115</v>
      </c>
    </row>
    <row r="292" spans="1:24" x14ac:dyDescent="0.3">
      <c r="A292" t="s">
        <v>40</v>
      </c>
      <c r="B292">
        <v>21</v>
      </c>
      <c r="C292">
        <v>2</v>
      </c>
      <c r="E292">
        <v>1</v>
      </c>
      <c r="F292">
        <v>1</v>
      </c>
      <c r="H292">
        <v>1</v>
      </c>
      <c r="S292">
        <v>2</v>
      </c>
      <c r="U292">
        <v>1</v>
      </c>
      <c r="V292">
        <v>2</v>
      </c>
      <c r="X292">
        <v>1</v>
      </c>
    </row>
    <row r="293" spans="1:24" x14ac:dyDescent="0.3">
      <c r="A293" t="s">
        <v>41</v>
      </c>
      <c r="B293">
        <v>21</v>
      </c>
    </row>
    <row r="294" spans="1:24" x14ac:dyDescent="0.3">
      <c r="A294" t="s">
        <v>42</v>
      </c>
      <c r="B294">
        <v>21</v>
      </c>
      <c r="D294">
        <v>35</v>
      </c>
      <c r="G294">
        <v>35</v>
      </c>
      <c r="T294">
        <v>45</v>
      </c>
      <c r="W294">
        <v>45</v>
      </c>
    </row>
    <row r="295" spans="1:24" x14ac:dyDescent="0.3">
      <c r="A295" t="s">
        <v>45</v>
      </c>
      <c r="B295">
        <v>21</v>
      </c>
      <c r="C295">
        <v>5</v>
      </c>
      <c r="D295">
        <v>2</v>
      </c>
      <c r="F295">
        <v>1</v>
      </c>
      <c r="G295">
        <v>6</v>
      </c>
      <c r="S295">
        <v>3</v>
      </c>
      <c r="T295">
        <v>8</v>
      </c>
      <c r="V295">
        <v>7</v>
      </c>
      <c r="W295">
        <v>4</v>
      </c>
    </row>
    <row r="296" spans="1:24" x14ac:dyDescent="0.3">
      <c r="A296" t="s">
        <v>46</v>
      </c>
      <c r="B296">
        <v>21</v>
      </c>
      <c r="E296">
        <v>2</v>
      </c>
      <c r="H296">
        <v>6</v>
      </c>
      <c r="U296">
        <v>8</v>
      </c>
      <c r="X296">
        <v>4</v>
      </c>
    </row>
    <row r="297" spans="1:24" x14ac:dyDescent="0.3">
      <c r="A297" t="s">
        <v>49</v>
      </c>
      <c r="B297">
        <v>21</v>
      </c>
      <c r="C297">
        <v>8.6</v>
      </c>
      <c r="D297">
        <v>8.1999999999999993</v>
      </c>
      <c r="E297">
        <v>8.1999999999999993</v>
      </c>
      <c r="F297">
        <v>7.7</v>
      </c>
      <c r="G297">
        <v>8.1</v>
      </c>
      <c r="H297">
        <v>8.1</v>
      </c>
      <c r="S297">
        <v>9</v>
      </c>
      <c r="T297">
        <v>7.1</v>
      </c>
      <c r="U297">
        <v>7.1</v>
      </c>
      <c r="V297">
        <v>9</v>
      </c>
      <c r="W297">
        <v>7.2</v>
      </c>
      <c r="X297">
        <v>7.2</v>
      </c>
    </row>
    <row r="298" spans="1:24" x14ac:dyDescent="0.3">
      <c r="A298" t="s">
        <v>696</v>
      </c>
      <c r="B298">
        <v>21</v>
      </c>
      <c r="C298">
        <v>0</v>
      </c>
      <c r="D298">
        <v>0</v>
      </c>
      <c r="E298">
        <v>0</v>
      </c>
      <c r="F298">
        <v>0</v>
      </c>
      <c r="G298">
        <v>0</v>
      </c>
      <c r="H298">
        <v>0</v>
      </c>
      <c r="S298">
        <v>0</v>
      </c>
      <c r="T298">
        <v>0</v>
      </c>
      <c r="U298">
        <v>0</v>
      </c>
      <c r="V298">
        <v>0</v>
      </c>
      <c r="W298">
        <v>0</v>
      </c>
      <c r="X298">
        <v>0</v>
      </c>
    </row>
    <row r="299" spans="1:24" x14ac:dyDescent="0.3">
      <c r="A299" t="s">
        <v>48</v>
      </c>
      <c r="B299">
        <v>21</v>
      </c>
      <c r="C299">
        <v>1900</v>
      </c>
      <c r="D299">
        <v>1900</v>
      </c>
      <c r="E299">
        <v>1900</v>
      </c>
      <c r="F299">
        <v>1900</v>
      </c>
      <c r="G299">
        <v>1900</v>
      </c>
      <c r="H299">
        <v>1900</v>
      </c>
      <c r="S299">
        <v>1900</v>
      </c>
      <c r="T299">
        <v>1900</v>
      </c>
      <c r="U299">
        <v>1900</v>
      </c>
      <c r="V299">
        <v>1900</v>
      </c>
      <c r="W299">
        <v>1900</v>
      </c>
      <c r="X299">
        <v>1900</v>
      </c>
    </row>
    <row r="300" spans="1:24" x14ac:dyDescent="0.3">
      <c r="A300" t="s">
        <v>697</v>
      </c>
      <c r="B300">
        <v>21</v>
      </c>
      <c r="C300">
        <v>3433</v>
      </c>
      <c r="D300">
        <v>3539</v>
      </c>
      <c r="E300">
        <v>1583</v>
      </c>
      <c r="F300">
        <v>1770</v>
      </c>
      <c r="G300">
        <v>3539</v>
      </c>
      <c r="H300">
        <v>1583</v>
      </c>
      <c r="S300">
        <v>3433</v>
      </c>
      <c r="T300">
        <v>5085</v>
      </c>
      <c r="U300">
        <v>1583</v>
      </c>
      <c r="V300">
        <v>3433</v>
      </c>
      <c r="W300">
        <v>5085</v>
      </c>
      <c r="X300">
        <v>1583</v>
      </c>
    </row>
    <row r="301" spans="1:24" x14ac:dyDescent="0.3">
      <c r="A301" t="s">
        <v>50</v>
      </c>
      <c r="B301">
        <v>21</v>
      </c>
      <c r="C301">
        <v>3433</v>
      </c>
      <c r="D301">
        <v>3539</v>
      </c>
      <c r="E301">
        <v>1583</v>
      </c>
      <c r="F301">
        <v>1770</v>
      </c>
      <c r="G301">
        <v>3539</v>
      </c>
      <c r="H301">
        <v>1583</v>
      </c>
      <c r="S301">
        <v>3433</v>
      </c>
      <c r="T301">
        <v>5085</v>
      </c>
      <c r="U301">
        <v>1583</v>
      </c>
      <c r="V301">
        <v>3433</v>
      </c>
      <c r="W301">
        <v>5085</v>
      </c>
      <c r="X301">
        <v>1583</v>
      </c>
    </row>
    <row r="302" spans="1:24" x14ac:dyDescent="0.3">
      <c r="A302" t="s">
        <v>698</v>
      </c>
      <c r="B302">
        <v>21</v>
      </c>
      <c r="C302">
        <v>1</v>
      </c>
      <c r="D302">
        <v>1</v>
      </c>
      <c r="E302">
        <v>1</v>
      </c>
      <c r="F302">
        <v>1</v>
      </c>
      <c r="G302">
        <v>1</v>
      </c>
      <c r="H302">
        <v>1</v>
      </c>
      <c r="S302">
        <v>1</v>
      </c>
      <c r="T302">
        <v>1</v>
      </c>
      <c r="U302">
        <v>1</v>
      </c>
      <c r="V302">
        <v>1</v>
      </c>
      <c r="W302">
        <v>1</v>
      </c>
      <c r="X302">
        <v>1</v>
      </c>
    </row>
    <row r="303" spans="1:24" x14ac:dyDescent="0.3">
      <c r="A303" t="s">
        <v>51</v>
      </c>
      <c r="B303">
        <v>21</v>
      </c>
      <c r="C303">
        <v>0</v>
      </c>
      <c r="D303">
        <v>0</v>
      </c>
      <c r="E303">
        <v>163</v>
      </c>
      <c r="F303">
        <v>0</v>
      </c>
      <c r="G303">
        <v>0</v>
      </c>
      <c r="H303">
        <v>163</v>
      </c>
      <c r="S303">
        <v>0</v>
      </c>
      <c r="T303">
        <v>0</v>
      </c>
      <c r="U303">
        <v>171</v>
      </c>
      <c r="V303">
        <v>0</v>
      </c>
      <c r="W303">
        <v>0</v>
      </c>
      <c r="X303">
        <v>171</v>
      </c>
    </row>
    <row r="304" spans="1:24" x14ac:dyDescent="0.3">
      <c r="A304" t="s">
        <v>53</v>
      </c>
      <c r="B304">
        <v>21</v>
      </c>
      <c r="C304">
        <v>152</v>
      </c>
      <c r="D304">
        <v>384</v>
      </c>
      <c r="E304">
        <v>36</v>
      </c>
      <c r="F304">
        <v>51</v>
      </c>
      <c r="G304">
        <v>150</v>
      </c>
      <c r="H304">
        <v>22</v>
      </c>
      <c r="S304">
        <v>9</v>
      </c>
      <c r="T304">
        <v>621</v>
      </c>
      <c r="U304">
        <v>114</v>
      </c>
      <c r="V304">
        <v>27</v>
      </c>
      <c r="W304">
        <v>557</v>
      </c>
      <c r="X304">
        <v>79</v>
      </c>
    </row>
    <row r="305" spans="1:24" x14ac:dyDescent="0.3">
      <c r="A305" t="s">
        <v>54</v>
      </c>
      <c r="B305">
        <v>21</v>
      </c>
      <c r="C305">
        <v>0</v>
      </c>
      <c r="D305">
        <v>0</v>
      </c>
      <c r="E305">
        <v>0</v>
      </c>
      <c r="F305">
        <v>0</v>
      </c>
      <c r="G305">
        <v>0</v>
      </c>
      <c r="H305">
        <v>0</v>
      </c>
      <c r="S305">
        <v>0</v>
      </c>
      <c r="T305">
        <v>0</v>
      </c>
      <c r="U305">
        <v>0</v>
      </c>
      <c r="V305">
        <v>0</v>
      </c>
      <c r="W305">
        <v>0</v>
      </c>
      <c r="X305">
        <v>0</v>
      </c>
    </row>
    <row r="306" spans="1:24" x14ac:dyDescent="0.3">
      <c r="A306" t="s">
        <v>55</v>
      </c>
      <c r="B306">
        <v>21</v>
      </c>
      <c r="C306">
        <v>0</v>
      </c>
      <c r="D306">
        <v>0</v>
      </c>
      <c r="E306">
        <v>0</v>
      </c>
      <c r="F306">
        <v>0</v>
      </c>
      <c r="G306">
        <v>0</v>
      </c>
      <c r="H306">
        <v>0</v>
      </c>
      <c r="S306">
        <v>0</v>
      </c>
      <c r="T306">
        <v>0</v>
      </c>
      <c r="U306">
        <v>0</v>
      </c>
      <c r="V306">
        <v>0</v>
      </c>
      <c r="W306">
        <v>0</v>
      </c>
      <c r="X306">
        <v>0</v>
      </c>
    </row>
    <row r="307" spans="1:24" x14ac:dyDescent="0.3">
      <c r="A307" t="s">
        <v>56</v>
      </c>
      <c r="B307">
        <v>21</v>
      </c>
      <c r="C307">
        <v>0.92</v>
      </c>
      <c r="D307">
        <v>0.92</v>
      </c>
      <c r="E307">
        <v>0.92</v>
      </c>
      <c r="F307">
        <v>0.92</v>
      </c>
      <c r="G307">
        <v>0.92</v>
      </c>
      <c r="H307">
        <v>0.92</v>
      </c>
      <c r="S307">
        <v>0.92</v>
      </c>
      <c r="T307">
        <v>0.92</v>
      </c>
      <c r="U307">
        <v>0.92</v>
      </c>
      <c r="V307">
        <v>0.92</v>
      </c>
      <c r="W307">
        <v>0.92</v>
      </c>
      <c r="X307">
        <v>0.92</v>
      </c>
    </row>
    <row r="308" spans="1:24" x14ac:dyDescent="0.3">
      <c r="A308" t="s">
        <v>57</v>
      </c>
      <c r="B308">
        <v>21</v>
      </c>
      <c r="C308">
        <v>100</v>
      </c>
      <c r="D308">
        <v>100</v>
      </c>
      <c r="E308">
        <v>100</v>
      </c>
      <c r="F308">
        <v>100</v>
      </c>
      <c r="G308">
        <v>100</v>
      </c>
      <c r="H308">
        <v>100</v>
      </c>
      <c r="S308">
        <v>100</v>
      </c>
      <c r="T308">
        <v>100</v>
      </c>
      <c r="U308">
        <v>100</v>
      </c>
      <c r="V308">
        <v>100</v>
      </c>
      <c r="W308">
        <v>100</v>
      </c>
      <c r="X308">
        <v>100</v>
      </c>
    </row>
    <row r="309" spans="1:24" x14ac:dyDescent="0.3">
      <c r="A309" t="s">
        <v>58</v>
      </c>
      <c r="B309">
        <v>21</v>
      </c>
      <c r="C309">
        <v>2</v>
      </c>
      <c r="D309">
        <v>2</v>
      </c>
      <c r="E309">
        <v>2</v>
      </c>
      <c r="F309">
        <v>2</v>
      </c>
      <c r="G309">
        <v>2</v>
      </c>
      <c r="H309">
        <v>2</v>
      </c>
      <c r="S309">
        <v>2</v>
      </c>
      <c r="T309">
        <v>2</v>
      </c>
      <c r="U309">
        <v>2</v>
      </c>
      <c r="V309">
        <v>2</v>
      </c>
      <c r="W309">
        <v>2</v>
      </c>
      <c r="X309">
        <v>2</v>
      </c>
    </row>
    <row r="310" spans="1:24" x14ac:dyDescent="0.3">
      <c r="A310" t="s">
        <v>59</v>
      </c>
      <c r="B310">
        <v>21</v>
      </c>
      <c r="C310">
        <v>0</v>
      </c>
      <c r="D310">
        <v>0</v>
      </c>
      <c r="E310">
        <v>0</v>
      </c>
      <c r="F310">
        <v>0</v>
      </c>
      <c r="G310">
        <v>0</v>
      </c>
      <c r="H310">
        <v>0</v>
      </c>
      <c r="S310">
        <v>0</v>
      </c>
      <c r="T310">
        <v>0</v>
      </c>
      <c r="U310">
        <v>0</v>
      </c>
      <c r="V310">
        <v>0</v>
      </c>
      <c r="W310">
        <v>0</v>
      </c>
      <c r="X310">
        <v>0</v>
      </c>
    </row>
    <row r="311" spans="1:24" x14ac:dyDescent="0.3">
      <c r="A311" t="s">
        <v>699</v>
      </c>
      <c r="B311">
        <v>21</v>
      </c>
      <c r="D311">
        <v>0</v>
      </c>
      <c r="G311">
        <v>0</v>
      </c>
      <c r="T311">
        <v>0</v>
      </c>
      <c r="W311">
        <v>0</v>
      </c>
    </row>
    <row r="312" spans="1:24" x14ac:dyDescent="0.3">
      <c r="A312" t="s">
        <v>678</v>
      </c>
      <c r="B312">
        <v>21</v>
      </c>
      <c r="D312">
        <v>623</v>
      </c>
      <c r="G312">
        <v>452</v>
      </c>
      <c r="T312">
        <v>4722</v>
      </c>
      <c r="W312">
        <v>906</v>
      </c>
    </row>
    <row r="313" spans="1:24" x14ac:dyDescent="0.3">
      <c r="A313" t="s">
        <v>78</v>
      </c>
      <c r="B313">
        <v>21</v>
      </c>
      <c r="D313">
        <v>12.1</v>
      </c>
      <c r="G313">
        <v>8.8000000000000007</v>
      </c>
      <c r="T313">
        <v>71.5</v>
      </c>
      <c r="W313">
        <v>13.7</v>
      </c>
    </row>
    <row r="314" spans="1:24" x14ac:dyDescent="0.3">
      <c r="A314" t="s">
        <v>700</v>
      </c>
      <c r="B314">
        <v>21</v>
      </c>
      <c r="E314">
        <v>1</v>
      </c>
      <c r="H314">
        <v>1</v>
      </c>
      <c r="U314">
        <v>0</v>
      </c>
      <c r="X314">
        <v>0</v>
      </c>
    </row>
    <row r="315" spans="1:24" x14ac:dyDescent="0.3">
      <c r="A315" t="s">
        <v>721</v>
      </c>
      <c r="B315">
        <v>21</v>
      </c>
      <c r="E315">
        <v>50</v>
      </c>
      <c r="H315">
        <v>50</v>
      </c>
    </row>
    <row r="316" spans="1:24" x14ac:dyDescent="0.3">
      <c r="A316" t="s">
        <v>722</v>
      </c>
      <c r="B316">
        <v>21</v>
      </c>
      <c r="E316">
        <v>0</v>
      </c>
      <c r="H316">
        <v>0</v>
      </c>
    </row>
    <row r="317" spans="1:24" x14ac:dyDescent="0.3">
      <c r="A317" t="s">
        <v>701</v>
      </c>
      <c r="B317">
        <v>21</v>
      </c>
      <c r="C317">
        <v>0</v>
      </c>
      <c r="D317">
        <v>0</v>
      </c>
      <c r="E317">
        <v>1</v>
      </c>
      <c r="F317">
        <v>0</v>
      </c>
      <c r="G317">
        <v>0</v>
      </c>
      <c r="H317">
        <v>1</v>
      </c>
      <c r="S317">
        <v>0</v>
      </c>
      <c r="T317">
        <v>0</v>
      </c>
      <c r="U317">
        <v>1</v>
      </c>
      <c r="V317">
        <v>0</v>
      </c>
      <c r="W317">
        <v>0</v>
      </c>
      <c r="X317">
        <v>1</v>
      </c>
    </row>
    <row r="318" spans="1:24" x14ac:dyDescent="0.3">
      <c r="A318" t="s">
        <v>702</v>
      </c>
      <c r="B318">
        <v>21</v>
      </c>
      <c r="C318">
        <v>0</v>
      </c>
      <c r="D318">
        <v>0</v>
      </c>
      <c r="E318">
        <v>0</v>
      </c>
      <c r="F318">
        <v>0</v>
      </c>
      <c r="G318">
        <v>0</v>
      </c>
      <c r="H318">
        <v>0</v>
      </c>
      <c r="S318">
        <v>0</v>
      </c>
      <c r="T318">
        <v>0</v>
      </c>
      <c r="U318">
        <v>0</v>
      </c>
      <c r="V318">
        <v>0</v>
      </c>
      <c r="W318">
        <v>0</v>
      </c>
      <c r="X318">
        <v>0</v>
      </c>
    </row>
    <row r="319" spans="1:24" x14ac:dyDescent="0.3">
      <c r="A319" t="s">
        <v>52</v>
      </c>
      <c r="B319">
        <v>21</v>
      </c>
      <c r="C319">
        <v>1</v>
      </c>
      <c r="D319">
        <v>1</v>
      </c>
      <c r="E319">
        <v>1</v>
      </c>
      <c r="F319">
        <v>1</v>
      </c>
      <c r="G319">
        <v>1</v>
      </c>
      <c r="H319">
        <v>1</v>
      </c>
      <c r="S319">
        <v>1</v>
      </c>
      <c r="T319">
        <v>1</v>
      </c>
      <c r="U319">
        <v>1</v>
      </c>
      <c r="V319">
        <v>1</v>
      </c>
      <c r="W319">
        <v>1</v>
      </c>
      <c r="X319">
        <v>1</v>
      </c>
    </row>
    <row r="320" spans="1:24" x14ac:dyDescent="0.3">
      <c r="A320" t="s">
        <v>703</v>
      </c>
      <c r="B320">
        <v>21</v>
      </c>
      <c r="C320">
        <v>15</v>
      </c>
      <c r="D320">
        <v>60</v>
      </c>
      <c r="E320">
        <v>9</v>
      </c>
      <c r="F320">
        <v>15</v>
      </c>
      <c r="G320">
        <v>60</v>
      </c>
      <c r="H320">
        <v>9</v>
      </c>
      <c r="S320">
        <v>15</v>
      </c>
      <c r="T320">
        <v>60</v>
      </c>
      <c r="U320">
        <v>9</v>
      </c>
      <c r="V320">
        <v>15</v>
      </c>
      <c r="W320">
        <v>60</v>
      </c>
      <c r="X320">
        <v>9</v>
      </c>
    </row>
    <row r="321" spans="1:24" x14ac:dyDescent="0.3">
      <c r="A321" t="s">
        <v>43</v>
      </c>
      <c r="B321">
        <v>21</v>
      </c>
      <c r="C321">
        <v>0</v>
      </c>
      <c r="D321">
        <v>0</v>
      </c>
      <c r="E321">
        <v>0</v>
      </c>
      <c r="F321">
        <v>0</v>
      </c>
      <c r="G321">
        <v>0</v>
      </c>
      <c r="H321">
        <v>0</v>
      </c>
      <c r="S321">
        <v>0</v>
      </c>
      <c r="T321">
        <v>0</v>
      </c>
      <c r="U321">
        <v>0</v>
      </c>
      <c r="V321">
        <v>0</v>
      </c>
      <c r="W321">
        <v>0</v>
      </c>
      <c r="X321">
        <v>0</v>
      </c>
    </row>
    <row r="322" spans="1:24" x14ac:dyDescent="0.3">
      <c r="A322" t="s">
        <v>44</v>
      </c>
      <c r="B322">
        <v>21</v>
      </c>
      <c r="C322">
        <v>0</v>
      </c>
      <c r="D322">
        <v>0</v>
      </c>
      <c r="E322">
        <v>0</v>
      </c>
      <c r="F322">
        <v>0</v>
      </c>
      <c r="G322">
        <v>0</v>
      </c>
      <c r="H322">
        <v>0</v>
      </c>
      <c r="S322">
        <v>0</v>
      </c>
      <c r="T322">
        <v>0</v>
      </c>
      <c r="U322">
        <v>0</v>
      </c>
      <c r="V322">
        <v>0</v>
      </c>
      <c r="W322">
        <v>0</v>
      </c>
      <c r="X322">
        <v>0</v>
      </c>
    </row>
    <row r="323" spans="1:24" x14ac:dyDescent="0.3">
      <c r="A323" t="s">
        <v>47</v>
      </c>
      <c r="B323">
        <v>21</v>
      </c>
      <c r="C323">
        <v>5</v>
      </c>
      <c r="D323">
        <v>2</v>
      </c>
      <c r="E323">
        <v>2</v>
      </c>
      <c r="F323">
        <v>1</v>
      </c>
      <c r="G323">
        <v>6</v>
      </c>
      <c r="H323">
        <v>6</v>
      </c>
      <c r="S323">
        <v>3</v>
      </c>
      <c r="T323">
        <v>8</v>
      </c>
      <c r="U323">
        <v>8</v>
      </c>
      <c r="V323">
        <v>7</v>
      </c>
      <c r="W323">
        <v>4</v>
      </c>
      <c r="X323">
        <v>4</v>
      </c>
    </row>
    <row r="324" spans="1:24" x14ac:dyDescent="0.3">
      <c r="A324" t="s">
        <v>704</v>
      </c>
      <c r="B324">
        <v>21</v>
      </c>
      <c r="C324">
        <v>0</v>
      </c>
      <c r="D324">
        <v>0</v>
      </c>
      <c r="E324">
        <v>0</v>
      </c>
      <c r="F324">
        <v>0</v>
      </c>
      <c r="G324">
        <v>0</v>
      </c>
      <c r="H324">
        <v>0</v>
      </c>
      <c r="S324">
        <v>0</v>
      </c>
      <c r="T324">
        <v>0</v>
      </c>
      <c r="U324">
        <v>0</v>
      </c>
      <c r="V324">
        <v>0</v>
      </c>
      <c r="W324">
        <v>0</v>
      </c>
      <c r="X324">
        <v>0</v>
      </c>
    </row>
    <row r="325" spans="1:24" x14ac:dyDescent="0.3">
      <c r="A325" t="s">
        <v>705</v>
      </c>
      <c r="B325">
        <v>21</v>
      </c>
      <c r="C325">
        <v>0</v>
      </c>
      <c r="D325">
        <v>0</v>
      </c>
      <c r="E325">
        <v>0</v>
      </c>
      <c r="F325">
        <v>0</v>
      </c>
      <c r="G325">
        <v>0</v>
      </c>
      <c r="H325">
        <v>0</v>
      </c>
      <c r="S325">
        <v>0</v>
      </c>
      <c r="T325">
        <v>0</v>
      </c>
      <c r="U325">
        <v>0</v>
      </c>
      <c r="V325">
        <v>0</v>
      </c>
      <c r="W325">
        <v>0</v>
      </c>
      <c r="X325">
        <v>0</v>
      </c>
    </row>
    <row r="326" spans="1:24" x14ac:dyDescent="0.3">
      <c r="A326" t="s">
        <v>706</v>
      </c>
      <c r="B326">
        <v>21</v>
      </c>
      <c r="C326">
        <v>0</v>
      </c>
      <c r="D326">
        <v>0</v>
      </c>
      <c r="E326">
        <v>0</v>
      </c>
      <c r="F326">
        <v>0</v>
      </c>
      <c r="G326">
        <v>0</v>
      </c>
      <c r="H326">
        <v>0</v>
      </c>
      <c r="S326">
        <v>0</v>
      </c>
      <c r="T326">
        <v>0</v>
      </c>
      <c r="U326">
        <v>0</v>
      </c>
      <c r="V326">
        <v>0</v>
      </c>
      <c r="W326">
        <v>0</v>
      </c>
      <c r="X326">
        <v>0</v>
      </c>
    </row>
    <row r="327" spans="1:24" x14ac:dyDescent="0.3">
      <c r="A327" t="s">
        <v>707</v>
      </c>
      <c r="B327">
        <v>21</v>
      </c>
      <c r="C327">
        <v>0</v>
      </c>
      <c r="D327">
        <v>0</v>
      </c>
      <c r="E327">
        <v>0</v>
      </c>
      <c r="F327">
        <v>0</v>
      </c>
      <c r="G327">
        <v>0</v>
      </c>
      <c r="H327">
        <v>0</v>
      </c>
      <c r="S327">
        <v>0</v>
      </c>
      <c r="T327">
        <v>0</v>
      </c>
      <c r="U327">
        <v>0</v>
      </c>
      <c r="V327">
        <v>0</v>
      </c>
      <c r="W327">
        <v>0</v>
      </c>
      <c r="X327">
        <v>0</v>
      </c>
    </row>
    <row r="328" spans="1:24" x14ac:dyDescent="0.3">
      <c r="A328" t="s">
        <v>708</v>
      </c>
      <c r="B328">
        <v>21</v>
      </c>
      <c r="C328">
        <v>0</v>
      </c>
      <c r="D328">
        <v>0</v>
      </c>
      <c r="E328">
        <v>0</v>
      </c>
      <c r="F328">
        <v>0</v>
      </c>
      <c r="G328">
        <v>0</v>
      </c>
      <c r="H328">
        <v>0</v>
      </c>
      <c r="S328">
        <v>0</v>
      </c>
      <c r="T328">
        <v>0</v>
      </c>
      <c r="U328">
        <v>0</v>
      </c>
      <c r="V328">
        <v>0</v>
      </c>
      <c r="W328">
        <v>0</v>
      </c>
      <c r="X328">
        <v>0</v>
      </c>
    </row>
    <row r="329" spans="1:24" x14ac:dyDescent="0.3">
      <c r="A329" t="s">
        <v>719</v>
      </c>
      <c r="B329">
        <v>21</v>
      </c>
      <c r="D329">
        <v>0</v>
      </c>
      <c r="G329">
        <v>0</v>
      </c>
      <c r="T329">
        <v>0</v>
      </c>
      <c r="W329">
        <v>0</v>
      </c>
    </row>
    <row r="330" spans="1:24" x14ac:dyDescent="0.3">
      <c r="A330" t="s">
        <v>405</v>
      </c>
      <c r="B330">
        <v>21</v>
      </c>
      <c r="D330">
        <v>0</v>
      </c>
    </row>
    <row r="331" spans="1:24" x14ac:dyDescent="0.3">
      <c r="A331" t="s">
        <v>720</v>
      </c>
      <c r="B331">
        <v>21</v>
      </c>
      <c r="C331">
        <v>165</v>
      </c>
      <c r="D331">
        <v>417</v>
      </c>
      <c r="E331">
        <v>39</v>
      </c>
      <c r="F331">
        <v>55</v>
      </c>
      <c r="G331">
        <v>163</v>
      </c>
      <c r="H331">
        <v>24</v>
      </c>
      <c r="S331">
        <v>10</v>
      </c>
      <c r="T331">
        <v>675</v>
      </c>
      <c r="U331">
        <v>124</v>
      </c>
      <c r="V331">
        <v>29</v>
      </c>
      <c r="W331">
        <v>605</v>
      </c>
      <c r="X331">
        <v>86</v>
      </c>
    </row>
    <row r="332" spans="1:24" x14ac:dyDescent="0.3">
      <c r="A332" t="s">
        <v>34</v>
      </c>
      <c r="B332">
        <v>25</v>
      </c>
      <c r="C332">
        <v>48</v>
      </c>
      <c r="E332">
        <v>48</v>
      </c>
      <c r="K332">
        <v>18</v>
      </c>
      <c r="L332">
        <v>18</v>
      </c>
      <c r="M332">
        <v>11</v>
      </c>
      <c r="N332">
        <v>11</v>
      </c>
    </row>
    <row r="333" spans="1:24" x14ac:dyDescent="0.3">
      <c r="A333" t="s">
        <v>35</v>
      </c>
      <c r="B333">
        <v>25</v>
      </c>
      <c r="C333">
        <v>18</v>
      </c>
      <c r="E333">
        <v>11</v>
      </c>
      <c r="K333">
        <v>11</v>
      </c>
      <c r="L333">
        <v>48</v>
      </c>
      <c r="M333">
        <v>48</v>
      </c>
      <c r="N333">
        <v>18</v>
      </c>
    </row>
    <row r="334" spans="1:24" x14ac:dyDescent="0.3">
      <c r="A334" t="s">
        <v>36</v>
      </c>
      <c r="B334">
        <v>25</v>
      </c>
      <c r="C334">
        <v>1</v>
      </c>
      <c r="E334">
        <v>0</v>
      </c>
      <c r="K334">
        <v>3</v>
      </c>
      <c r="L334">
        <v>0</v>
      </c>
      <c r="M334">
        <v>1</v>
      </c>
      <c r="N334">
        <v>3</v>
      </c>
    </row>
    <row r="335" spans="1:24" x14ac:dyDescent="0.3">
      <c r="A335" t="s">
        <v>37</v>
      </c>
      <c r="B335">
        <v>25</v>
      </c>
      <c r="C335">
        <v>2</v>
      </c>
      <c r="K335">
        <v>2</v>
      </c>
      <c r="M335">
        <v>0</v>
      </c>
      <c r="N335">
        <v>0</v>
      </c>
    </row>
    <row r="336" spans="1:24" x14ac:dyDescent="0.3">
      <c r="A336" t="s">
        <v>38</v>
      </c>
      <c r="B336">
        <v>25</v>
      </c>
      <c r="C336">
        <v>12</v>
      </c>
      <c r="E336">
        <v>12</v>
      </c>
      <c r="K336">
        <v>12</v>
      </c>
      <c r="L336">
        <v>12</v>
      </c>
      <c r="M336">
        <v>12</v>
      </c>
      <c r="N336">
        <v>12</v>
      </c>
    </row>
    <row r="337" spans="1:14" x14ac:dyDescent="0.3">
      <c r="A337" t="s">
        <v>39</v>
      </c>
      <c r="B337">
        <v>25</v>
      </c>
      <c r="M337">
        <v>290</v>
      </c>
    </row>
    <row r="338" spans="1:14" x14ac:dyDescent="0.3">
      <c r="A338" t="s">
        <v>695</v>
      </c>
      <c r="B338">
        <v>25</v>
      </c>
      <c r="M338">
        <v>85</v>
      </c>
    </row>
    <row r="339" spans="1:14" x14ac:dyDescent="0.3">
      <c r="A339" t="s">
        <v>40</v>
      </c>
      <c r="B339">
        <v>25</v>
      </c>
      <c r="M339">
        <v>1</v>
      </c>
    </row>
    <row r="340" spans="1:14" x14ac:dyDescent="0.3">
      <c r="A340" t="s">
        <v>41</v>
      </c>
      <c r="B340">
        <v>25</v>
      </c>
    </row>
    <row r="341" spans="1:14" x14ac:dyDescent="0.3">
      <c r="A341" t="s">
        <v>42</v>
      </c>
      <c r="B341">
        <v>25</v>
      </c>
      <c r="C341">
        <v>30</v>
      </c>
      <c r="K341">
        <v>45</v>
      </c>
      <c r="N341">
        <v>45</v>
      </c>
    </row>
    <row r="342" spans="1:14" x14ac:dyDescent="0.3">
      <c r="A342" t="s">
        <v>45</v>
      </c>
      <c r="B342">
        <v>25</v>
      </c>
      <c r="C342">
        <v>4</v>
      </c>
      <c r="K342">
        <v>6</v>
      </c>
      <c r="M342">
        <v>5</v>
      </c>
      <c r="N342">
        <v>2</v>
      </c>
    </row>
    <row r="343" spans="1:14" x14ac:dyDescent="0.3">
      <c r="A343" t="s">
        <v>49</v>
      </c>
      <c r="B343">
        <v>25</v>
      </c>
      <c r="C343">
        <v>6.3</v>
      </c>
      <c r="E343">
        <v>4</v>
      </c>
      <c r="K343">
        <v>6.3</v>
      </c>
      <c r="L343">
        <v>4</v>
      </c>
      <c r="M343">
        <v>6</v>
      </c>
      <c r="N343">
        <v>6.3</v>
      </c>
    </row>
    <row r="344" spans="1:14" x14ac:dyDescent="0.3">
      <c r="A344" t="s">
        <v>696</v>
      </c>
      <c r="B344">
        <v>25</v>
      </c>
      <c r="C344">
        <v>0</v>
      </c>
      <c r="E344">
        <v>0</v>
      </c>
      <c r="K344">
        <v>0</v>
      </c>
      <c r="L344">
        <v>0</v>
      </c>
      <c r="M344">
        <v>0</v>
      </c>
      <c r="N344">
        <v>0</v>
      </c>
    </row>
    <row r="345" spans="1:14" x14ac:dyDescent="0.3">
      <c r="A345" t="s">
        <v>48</v>
      </c>
      <c r="B345">
        <v>25</v>
      </c>
      <c r="C345">
        <v>1900</v>
      </c>
      <c r="E345">
        <v>1900</v>
      </c>
      <c r="K345">
        <v>1900</v>
      </c>
      <c r="L345">
        <v>1900</v>
      </c>
      <c r="M345">
        <v>1900</v>
      </c>
      <c r="N345">
        <v>1900</v>
      </c>
    </row>
    <row r="346" spans="1:14" x14ac:dyDescent="0.3">
      <c r="A346" t="s">
        <v>697</v>
      </c>
      <c r="B346">
        <v>25</v>
      </c>
      <c r="C346">
        <v>1704</v>
      </c>
      <c r="E346">
        <v>0</v>
      </c>
      <c r="K346">
        <v>5050</v>
      </c>
      <c r="L346">
        <v>0</v>
      </c>
      <c r="M346">
        <v>1770</v>
      </c>
      <c r="N346">
        <v>5085</v>
      </c>
    </row>
    <row r="347" spans="1:14" x14ac:dyDescent="0.3">
      <c r="A347" t="s">
        <v>50</v>
      </c>
      <c r="B347">
        <v>25</v>
      </c>
      <c r="C347">
        <v>1704</v>
      </c>
      <c r="E347">
        <v>0</v>
      </c>
      <c r="K347">
        <v>5050</v>
      </c>
      <c r="L347">
        <v>0</v>
      </c>
      <c r="M347">
        <v>1770</v>
      </c>
      <c r="N347">
        <v>5085</v>
      </c>
    </row>
    <row r="348" spans="1:14" x14ac:dyDescent="0.3">
      <c r="A348" t="s">
        <v>698</v>
      </c>
      <c r="B348">
        <v>25</v>
      </c>
      <c r="C348">
        <v>1</v>
      </c>
      <c r="E348">
        <v>1</v>
      </c>
      <c r="K348">
        <v>1</v>
      </c>
      <c r="L348">
        <v>1</v>
      </c>
      <c r="M348">
        <v>1</v>
      </c>
      <c r="N348">
        <v>1</v>
      </c>
    </row>
    <row r="349" spans="1:14" x14ac:dyDescent="0.3">
      <c r="A349" t="s">
        <v>51</v>
      </c>
      <c r="B349">
        <v>25</v>
      </c>
      <c r="C349">
        <v>24</v>
      </c>
      <c r="E349">
        <v>0</v>
      </c>
      <c r="K349">
        <v>9</v>
      </c>
      <c r="L349">
        <v>0</v>
      </c>
      <c r="M349">
        <v>0</v>
      </c>
      <c r="N349">
        <v>0</v>
      </c>
    </row>
    <row r="350" spans="1:14" x14ac:dyDescent="0.3">
      <c r="A350" t="s">
        <v>53</v>
      </c>
      <c r="B350">
        <v>25</v>
      </c>
      <c r="C350">
        <v>94</v>
      </c>
      <c r="E350">
        <v>72</v>
      </c>
      <c r="K350">
        <v>1973</v>
      </c>
      <c r="L350">
        <v>90</v>
      </c>
      <c r="M350">
        <v>46</v>
      </c>
      <c r="N350">
        <v>1290</v>
      </c>
    </row>
    <row r="351" spans="1:14" x14ac:dyDescent="0.3">
      <c r="A351" t="s">
        <v>54</v>
      </c>
      <c r="B351">
        <v>25</v>
      </c>
      <c r="C351">
        <v>0</v>
      </c>
      <c r="E351">
        <v>0</v>
      </c>
      <c r="K351">
        <v>0</v>
      </c>
      <c r="L351">
        <v>0</v>
      </c>
      <c r="M351">
        <v>0</v>
      </c>
      <c r="N351">
        <v>0</v>
      </c>
    </row>
    <row r="352" spans="1:14" x14ac:dyDescent="0.3">
      <c r="A352" t="s">
        <v>55</v>
      </c>
      <c r="B352">
        <v>25</v>
      </c>
      <c r="C352">
        <v>0</v>
      </c>
      <c r="E352">
        <v>0</v>
      </c>
      <c r="K352">
        <v>0</v>
      </c>
      <c r="L352">
        <v>0</v>
      </c>
      <c r="M352">
        <v>0</v>
      </c>
      <c r="N352">
        <v>0</v>
      </c>
    </row>
    <row r="353" spans="1:14" x14ac:dyDescent="0.3">
      <c r="A353" t="s">
        <v>56</v>
      </c>
      <c r="B353">
        <v>25</v>
      </c>
      <c r="C353">
        <v>0.92</v>
      </c>
      <c r="E353">
        <v>0.92</v>
      </c>
      <c r="K353">
        <v>0.92</v>
      </c>
      <c r="L353">
        <v>0.92</v>
      </c>
      <c r="M353">
        <v>0.92</v>
      </c>
      <c r="N353">
        <v>0.92</v>
      </c>
    </row>
    <row r="354" spans="1:14" x14ac:dyDescent="0.3">
      <c r="A354" t="s">
        <v>57</v>
      </c>
      <c r="B354">
        <v>25</v>
      </c>
      <c r="C354">
        <v>100</v>
      </c>
      <c r="E354">
        <v>100</v>
      </c>
      <c r="K354">
        <v>100</v>
      </c>
      <c r="L354">
        <v>100</v>
      </c>
      <c r="M354">
        <v>100</v>
      </c>
      <c r="N354">
        <v>100</v>
      </c>
    </row>
    <row r="355" spans="1:14" x14ac:dyDescent="0.3">
      <c r="A355" t="s">
        <v>58</v>
      </c>
      <c r="B355">
        <v>25</v>
      </c>
      <c r="C355">
        <v>2</v>
      </c>
      <c r="E355">
        <v>2</v>
      </c>
      <c r="K355">
        <v>2</v>
      </c>
      <c r="L355">
        <v>2</v>
      </c>
      <c r="M355">
        <v>2</v>
      </c>
      <c r="N355">
        <v>2</v>
      </c>
    </row>
    <row r="356" spans="1:14" x14ac:dyDescent="0.3">
      <c r="A356" t="s">
        <v>59</v>
      </c>
      <c r="B356">
        <v>25</v>
      </c>
      <c r="C356">
        <v>0</v>
      </c>
      <c r="E356">
        <v>0</v>
      </c>
      <c r="K356">
        <v>0</v>
      </c>
      <c r="L356">
        <v>0</v>
      </c>
      <c r="M356">
        <v>0</v>
      </c>
      <c r="N356">
        <v>0</v>
      </c>
    </row>
    <row r="357" spans="1:14" x14ac:dyDescent="0.3">
      <c r="A357" t="s">
        <v>699</v>
      </c>
      <c r="B357">
        <v>25</v>
      </c>
      <c r="C357">
        <v>0</v>
      </c>
      <c r="K357">
        <v>0</v>
      </c>
      <c r="N357">
        <v>0</v>
      </c>
    </row>
    <row r="358" spans="1:14" x14ac:dyDescent="0.3">
      <c r="A358" t="s">
        <v>678</v>
      </c>
      <c r="B358">
        <v>25</v>
      </c>
      <c r="C358">
        <v>656</v>
      </c>
      <c r="K358">
        <v>3145</v>
      </c>
      <c r="N358">
        <v>1028</v>
      </c>
    </row>
    <row r="359" spans="1:14" x14ac:dyDescent="0.3">
      <c r="A359" t="s">
        <v>78</v>
      </c>
      <c r="B359">
        <v>25</v>
      </c>
      <c r="C359">
        <v>14.9</v>
      </c>
      <c r="K359">
        <v>47.7</v>
      </c>
      <c r="N359">
        <v>15.6</v>
      </c>
    </row>
    <row r="360" spans="1:14" x14ac:dyDescent="0.3">
      <c r="A360" t="s">
        <v>700</v>
      </c>
      <c r="B360">
        <v>25</v>
      </c>
      <c r="E360">
        <v>0</v>
      </c>
      <c r="L360">
        <v>0</v>
      </c>
      <c r="N360">
        <v>0</v>
      </c>
    </row>
    <row r="361" spans="1:14" x14ac:dyDescent="0.3">
      <c r="A361" t="s">
        <v>701</v>
      </c>
      <c r="B361">
        <v>25</v>
      </c>
      <c r="C361">
        <v>0</v>
      </c>
      <c r="E361">
        <v>1</v>
      </c>
      <c r="K361">
        <v>0</v>
      </c>
      <c r="L361">
        <v>1</v>
      </c>
      <c r="M361">
        <v>0</v>
      </c>
      <c r="N361">
        <v>0</v>
      </c>
    </row>
    <row r="362" spans="1:14" x14ac:dyDescent="0.3">
      <c r="A362" t="s">
        <v>702</v>
      </c>
      <c r="B362">
        <v>25</v>
      </c>
      <c r="C362">
        <v>0</v>
      </c>
      <c r="E362">
        <v>0</v>
      </c>
      <c r="K362">
        <v>0</v>
      </c>
      <c r="L362">
        <v>0</v>
      </c>
      <c r="M362">
        <v>0</v>
      </c>
      <c r="N362">
        <v>0</v>
      </c>
    </row>
    <row r="363" spans="1:14" x14ac:dyDescent="0.3">
      <c r="A363" t="s">
        <v>52</v>
      </c>
      <c r="B363">
        <v>25</v>
      </c>
      <c r="C363">
        <v>1</v>
      </c>
      <c r="E363">
        <v>1</v>
      </c>
      <c r="K363">
        <v>1</v>
      </c>
      <c r="L363">
        <v>1</v>
      </c>
      <c r="M363">
        <v>1</v>
      </c>
      <c r="N363">
        <v>1</v>
      </c>
    </row>
    <row r="364" spans="1:14" x14ac:dyDescent="0.3">
      <c r="A364" t="s">
        <v>703</v>
      </c>
      <c r="B364">
        <v>25</v>
      </c>
      <c r="C364">
        <v>15</v>
      </c>
      <c r="E364">
        <v>9</v>
      </c>
      <c r="K364">
        <v>60</v>
      </c>
      <c r="L364">
        <v>9</v>
      </c>
      <c r="M364">
        <v>15</v>
      </c>
      <c r="N364">
        <v>60</v>
      </c>
    </row>
    <row r="365" spans="1:14" x14ac:dyDescent="0.3">
      <c r="A365" t="s">
        <v>43</v>
      </c>
      <c r="B365">
        <v>25</v>
      </c>
      <c r="C365">
        <v>20</v>
      </c>
      <c r="K365">
        <v>100</v>
      </c>
      <c r="M365">
        <v>20</v>
      </c>
      <c r="N365">
        <v>100</v>
      </c>
    </row>
    <row r="366" spans="1:14" x14ac:dyDescent="0.3">
      <c r="A366" t="s">
        <v>44</v>
      </c>
      <c r="B366">
        <v>25</v>
      </c>
      <c r="C366">
        <v>0</v>
      </c>
      <c r="K366">
        <v>0</v>
      </c>
      <c r="M366">
        <v>0</v>
      </c>
      <c r="N366">
        <v>0</v>
      </c>
    </row>
    <row r="367" spans="1:14" x14ac:dyDescent="0.3">
      <c r="A367" t="s">
        <v>47</v>
      </c>
      <c r="B367">
        <v>25</v>
      </c>
      <c r="C367">
        <v>4</v>
      </c>
      <c r="K367">
        <v>6</v>
      </c>
      <c r="M367">
        <v>5</v>
      </c>
      <c r="N367">
        <v>2</v>
      </c>
    </row>
    <row r="368" spans="1:14" x14ac:dyDescent="0.3">
      <c r="A368" t="s">
        <v>704</v>
      </c>
      <c r="B368">
        <v>25</v>
      </c>
      <c r="C368">
        <v>0</v>
      </c>
      <c r="K368">
        <v>0</v>
      </c>
      <c r="M368">
        <v>0</v>
      </c>
      <c r="N368">
        <v>0</v>
      </c>
    </row>
    <row r="369" spans="1:14" x14ac:dyDescent="0.3">
      <c r="A369" t="s">
        <v>705</v>
      </c>
      <c r="B369">
        <v>25</v>
      </c>
      <c r="C369">
        <v>0</v>
      </c>
      <c r="K369">
        <v>0</v>
      </c>
      <c r="M369">
        <v>0</v>
      </c>
      <c r="N369">
        <v>0</v>
      </c>
    </row>
    <row r="370" spans="1:14" x14ac:dyDescent="0.3">
      <c r="A370" t="s">
        <v>706</v>
      </c>
      <c r="B370">
        <v>25</v>
      </c>
      <c r="C370">
        <v>0</v>
      </c>
      <c r="K370">
        <v>0</v>
      </c>
      <c r="M370">
        <v>0</v>
      </c>
      <c r="N370">
        <v>0</v>
      </c>
    </row>
    <row r="371" spans="1:14" x14ac:dyDescent="0.3">
      <c r="A371" t="s">
        <v>707</v>
      </c>
      <c r="B371">
        <v>25</v>
      </c>
      <c r="C371">
        <v>0</v>
      </c>
      <c r="K371">
        <v>0</v>
      </c>
      <c r="M371">
        <v>0</v>
      </c>
      <c r="N371">
        <v>0</v>
      </c>
    </row>
    <row r="372" spans="1:14" x14ac:dyDescent="0.3">
      <c r="A372" t="s">
        <v>708</v>
      </c>
      <c r="B372">
        <v>25</v>
      </c>
      <c r="C372">
        <v>1</v>
      </c>
      <c r="K372">
        <v>2</v>
      </c>
      <c r="M372">
        <v>1</v>
      </c>
      <c r="N372">
        <v>2</v>
      </c>
    </row>
    <row r="373" spans="1:14" x14ac:dyDescent="0.3">
      <c r="A373" t="s">
        <v>709</v>
      </c>
      <c r="B373">
        <v>25</v>
      </c>
      <c r="C373">
        <v>0</v>
      </c>
      <c r="K373">
        <v>0</v>
      </c>
      <c r="M373">
        <v>0</v>
      </c>
      <c r="N373">
        <v>0</v>
      </c>
    </row>
    <row r="374" spans="1:14" x14ac:dyDescent="0.3">
      <c r="A374" t="s">
        <v>710</v>
      </c>
      <c r="B374">
        <v>25</v>
      </c>
      <c r="C374">
        <v>20</v>
      </c>
      <c r="K374">
        <v>6</v>
      </c>
      <c r="M374">
        <v>20</v>
      </c>
      <c r="N374">
        <v>6</v>
      </c>
    </row>
    <row r="375" spans="1:14" x14ac:dyDescent="0.3">
      <c r="A375" t="s">
        <v>711</v>
      </c>
      <c r="B375">
        <v>25</v>
      </c>
      <c r="C375">
        <v>3</v>
      </c>
      <c r="K375">
        <v>3</v>
      </c>
      <c r="M375">
        <v>3</v>
      </c>
      <c r="N375">
        <v>3</v>
      </c>
    </row>
    <row r="376" spans="1:14" x14ac:dyDescent="0.3">
      <c r="A376" t="s">
        <v>712</v>
      </c>
      <c r="B376">
        <v>25</v>
      </c>
      <c r="C376">
        <v>0</v>
      </c>
      <c r="K376">
        <v>0</v>
      </c>
      <c r="M376">
        <v>0</v>
      </c>
      <c r="N376">
        <v>0</v>
      </c>
    </row>
    <row r="377" spans="1:14" x14ac:dyDescent="0.3">
      <c r="A377" t="s">
        <v>713</v>
      </c>
      <c r="B377">
        <v>25</v>
      </c>
      <c r="C377">
        <v>0</v>
      </c>
      <c r="K377">
        <v>0</v>
      </c>
      <c r="M377">
        <v>0</v>
      </c>
      <c r="N377">
        <v>0</v>
      </c>
    </row>
    <row r="378" spans="1:14" x14ac:dyDescent="0.3">
      <c r="A378" t="s">
        <v>714</v>
      </c>
      <c r="B378">
        <v>25</v>
      </c>
      <c r="C378">
        <v>0</v>
      </c>
      <c r="K378">
        <v>0</v>
      </c>
      <c r="M378">
        <v>0</v>
      </c>
      <c r="N378">
        <v>0</v>
      </c>
    </row>
    <row r="379" spans="1:14" x14ac:dyDescent="0.3">
      <c r="A379" t="s">
        <v>715</v>
      </c>
      <c r="B379">
        <v>25</v>
      </c>
      <c r="K379">
        <v>94</v>
      </c>
      <c r="N379">
        <v>94</v>
      </c>
    </row>
    <row r="380" spans="1:14" x14ac:dyDescent="0.3">
      <c r="A380" t="s">
        <v>716</v>
      </c>
      <c r="B380">
        <v>25</v>
      </c>
      <c r="K380">
        <v>6</v>
      </c>
      <c r="N380">
        <v>6</v>
      </c>
    </row>
    <row r="381" spans="1:14" x14ac:dyDescent="0.3">
      <c r="A381" t="s">
        <v>717</v>
      </c>
      <c r="B381">
        <v>25</v>
      </c>
      <c r="K381">
        <v>3</v>
      </c>
      <c r="N381">
        <v>3</v>
      </c>
    </row>
    <row r="382" spans="1:14" x14ac:dyDescent="0.3">
      <c r="A382" t="s">
        <v>718</v>
      </c>
      <c r="B382">
        <v>25</v>
      </c>
      <c r="K382">
        <v>0</v>
      </c>
      <c r="N382">
        <v>0</v>
      </c>
    </row>
    <row r="383" spans="1:14" x14ac:dyDescent="0.3">
      <c r="A383" t="s">
        <v>719</v>
      </c>
      <c r="B383">
        <v>25</v>
      </c>
      <c r="C383">
        <v>0</v>
      </c>
      <c r="K383">
        <v>0</v>
      </c>
      <c r="N383">
        <v>0</v>
      </c>
    </row>
    <row r="384" spans="1:14" x14ac:dyDescent="0.3">
      <c r="A384" t="s">
        <v>405</v>
      </c>
      <c r="B384">
        <v>25</v>
      </c>
      <c r="C384">
        <v>0</v>
      </c>
    </row>
    <row r="385" spans="1:24" x14ac:dyDescent="0.3">
      <c r="A385" t="s">
        <v>720</v>
      </c>
      <c r="B385">
        <v>25</v>
      </c>
      <c r="C385">
        <v>180</v>
      </c>
      <c r="E385">
        <v>0</v>
      </c>
      <c r="K385">
        <v>2243</v>
      </c>
      <c r="L385">
        <v>0</v>
      </c>
      <c r="M385">
        <v>50</v>
      </c>
      <c r="N385">
        <v>1402</v>
      </c>
    </row>
    <row r="386" spans="1:24" x14ac:dyDescent="0.3">
      <c r="A386" t="s">
        <v>34</v>
      </c>
      <c r="B386">
        <v>26</v>
      </c>
      <c r="P386">
        <v>29</v>
      </c>
      <c r="R386">
        <v>29</v>
      </c>
      <c r="S386">
        <v>28</v>
      </c>
      <c r="T386">
        <v>28</v>
      </c>
      <c r="W386">
        <v>27</v>
      </c>
      <c r="X386">
        <v>27</v>
      </c>
    </row>
    <row r="387" spans="1:24" x14ac:dyDescent="0.3">
      <c r="A387" t="s">
        <v>35</v>
      </c>
      <c r="B387">
        <v>26</v>
      </c>
      <c r="P387">
        <v>27</v>
      </c>
      <c r="R387">
        <v>28</v>
      </c>
      <c r="S387">
        <v>29</v>
      </c>
      <c r="T387">
        <v>27</v>
      </c>
      <c r="W387">
        <v>28</v>
      </c>
      <c r="X387">
        <v>29</v>
      </c>
    </row>
    <row r="388" spans="1:24" x14ac:dyDescent="0.3">
      <c r="A388" t="s">
        <v>36</v>
      </c>
      <c r="B388">
        <v>26</v>
      </c>
      <c r="P388">
        <v>1</v>
      </c>
      <c r="R388">
        <v>1</v>
      </c>
      <c r="S388">
        <v>2</v>
      </c>
      <c r="T388">
        <v>3</v>
      </c>
      <c r="W388">
        <v>3</v>
      </c>
      <c r="X388">
        <v>1</v>
      </c>
    </row>
    <row r="389" spans="1:24" x14ac:dyDescent="0.3">
      <c r="A389" t="s">
        <v>37</v>
      </c>
      <c r="B389">
        <v>26</v>
      </c>
      <c r="P389">
        <v>0</v>
      </c>
      <c r="S389">
        <v>0</v>
      </c>
      <c r="T389">
        <v>0</v>
      </c>
      <c r="W389">
        <v>0</v>
      </c>
    </row>
    <row r="390" spans="1:24" x14ac:dyDescent="0.3">
      <c r="A390" t="s">
        <v>38</v>
      </c>
      <c r="B390">
        <v>26</v>
      </c>
      <c r="P390">
        <v>12</v>
      </c>
      <c r="R390">
        <v>12</v>
      </c>
      <c r="S390">
        <v>12</v>
      </c>
      <c r="T390">
        <v>12</v>
      </c>
      <c r="W390">
        <v>12</v>
      </c>
      <c r="X390">
        <v>12</v>
      </c>
    </row>
    <row r="391" spans="1:24" x14ac:dyDescent="0.3">
      <c r="A391" t="s">
        <v>39</v>
      </c>
      <c r="B391">
        <v>26</v>
      </c>
      <c r="S391">
        <v>195</v>
      </c>
      <c r="X391">
        <v>195</v>
      </c>
    </row>
    <row r="392" spans="1:24" x14ac:dyDescent="0.3">
      <c r="A392" t="s">
        <v>695</v>
      </c>
      <c r="B392">
        <v>26</v>
      </c>
      <c r="S392">
        <v>75</v>
      </c>
      <c r="X392">
        <v>110</v>
      </c>
    </row>
    <row r="393" spans="1:24" x14ac:dyDescent="0.3">
      <c r="A393" t="s">
        <v>40</v>
      </c>
      <c r="B393">
        <v>26</v>
      </c>
      <c r="S393">
        <v>2</v>
      </c>
      <c r="X393">
        <v>1</v>
      </c>
    </row>
    <row r="394" spans="1:24" x14ac:dyDescent="0.3">
      <c r="A394" t="s">
        <v>41</v>
      </c>
      <c r="B394">
        <v>26</v>
      </c>
    </row>
    <row r="395" spans="1:24" x14ac:dyDescent="0.3">
      <c r="A395" t="s">
        <v>42</v>
      </c>
      <c r="B395">
        <v>26</v>
      </c>
      <c r="P395">
        <v>25</v>
      </c>
      <c r="T395">
        <v>45</v>
      </c>
      <c r="W395">
        <v>45</v>
      </c>
    </row>
    <row r="396" spans="1:24" x14ac:dyDescent="0.3">
      <c r="A396" t="s">
        <v>45</v>
      </c>
      <c r="B396">
        <v>26</v>
      </c>
      <c r="P396">
        <v>8</v>
      </c>
      <c r="S396">
        <v>5</v>
      </c>
      <c r="T396">
        <v>2</v>
      </c>
      <c r="W396">
        <v>6</v>
      </c>
    </row>
    <row r="397" spans="1:24" x14ac:dyDescent="0.3">
      <c r="A397" t="s">
        <v>46</v>
      </c>
      <c r="B397">
        <v>26</v>
      </c>
      <c r="R397">
        <v>8</v>
      </c>
      <c r="X397">
        <v>6</v>
      </c>
    </row>
    <row r="398" spans="1:24" x14ac:dyDescent="0.3">
      <c r="A398" t="s">
        <v>49</v>
      </c>
      <c r="B398">
        <v>26</v>
      </c>
      <c r="P398">
        <v>7.3</v>
      </c>
      <c r="R398">
        <v>7.3</v>
      </c>
      <c r="S398">
        <v>6.4</v>
      </c>
      <c r="T398">
        <v>6.5</v>
      </c>
      <c r="W398">
        <v>6.5</v>
      </c>
      <c r="X398">
        <v>6.5</v>
      </c>
    </row>
    <row r="399" spans="1:24" x14ac:dyDescent="0.3">
      <c r="A399" t="s">
        <v>696</v>
      </c>
      <c r="B399">
        <v>26</v>
      </c>
      <c r="P399">
        <v>0</v>
      </c>
      <c r="R399">
        <v>0</v>
      </c>
      <c r="S399">
        <v>0</v>
      </c>
      <c r="T399">
        <v>0</v>
      </c>
      <c r="W399">
        <v>0</v>
      </c>
      <c r="X399">
        <v>0</v>
      </c>
    </row>
    <row r="400" spans="1:24" x14ac:dyDescent="0.3">
      <c r="A400" t="s">
        <v>48</v>
      </c>
      <c r="B400">
        <v>26</v>
      </c>
      <c r="P400">
        <v>1900</v>
      </c>
      <c r="R400">
        <v>1900</v>
      </c>
      <c r="S400">
        <v>1900</v>
      </c>
      <c r="T400">
        <v>1900</v>
      </c>
      <c r="W400">
        <v>1900</v>
      </c>
      <c r="X400">
        <v>1900</v>
      </c>
    </row>
    <row r="401" spans="1:24" x14ac:dyDescent="0.3">
      <c r="A401" t="s">
        <v>697</v>
      </c>
      <c r="B401">
        <v>26</v>
      </c>
      <c r="P401">
        <v>1770</v>
      </c>
      <c r="R401">
        <v>1583</v>
      </c>
      <c r="S401">
        <v>3433</v>
      </c>
      <c r="T401">
        <v>5085</v>
      </c>
      <c r="W401">
        <v>5085</v>
      </c>
      <c r="X401">
        <v>1583</v>
      </c>
    </row>
    <row r="402" spans="1:24" x14ac:dyDescent="0.3">
      <c r="A402" t="s">
        <v>50</v>
      </c>
      <c r="B402">
        <v>26</v>
      </c>
      <c r="P402">
        <v>1770</v>
      </c>
      <c r="R402">
        <v>1583</v>
      </c>
      <c r="S402">
        <v>3433</v>
      </c>
      <c r="T402">
        <v>5085</v>
      </c>
      <c r="W402">
        <v>5085</v>
      </c>
      <c r="X402">
        <v>1583</v>
      </c>
    </row>
    <row r="403" spans="1:24" x14ac:dyDescent="0.3">
      <c r="A403" t="s">
        <v>698</v>
      </c>
      <c r="B403">
        <v>26</v>
      </c>
      <c r="P403">
        <v>1</v>
      </c>
      <c r="R403">
        <v>1</v>
      </c>
      <c r="S403">
        <v>1</v>
      </c>
      <c r="T403">
        <v>1</v>
      </c>
      <c r="W403">
        <v>1</v>
      </c>
      <c r="X403">
        <v>1</v>
      </c>
    </row>
    <row r="404" spans="1:24" x14ac:dyDescent="0.3">
      <c r="A404" t="s">
        <v>51</v>
      </c>
      <c r="B404">
        <v>26</v>
      </c>
      <c r="P404">
        <v>0</v>
      </c>
      <c r="R404">
        <v>35</v>
      </c>
      <c r="S404">
        <v>0</v>
      </c>
      <c r="T404">
        <v>0</v>
      </c>
      <c r="W404">
        <v>0</v>
      </c>
      <c r="X404">
        <v>70</v>
      </c>
    </row>
    <row r="405" spans="1:24" x14ac:dyDescent="0.3">
      <c r="A405" t="s">
        <v>53</v>
      </c>
      <c r="B405">
        <v>26</v>
      </c>
      <c r="P405">
        <v>101</v>
      </c>
      <c r="R405">
        <v>32</v>
      </c>
      <c r="S405">
        <v>70</v>
      </c>
      <c r="T405">
        <v>805</v>
      </c>
      <c r="W405">
        <v>675</v>
      </c>
      <c r="X405">
        <v>64</v>
      </c>
    </row>
    <row r="406" spans="1:24" x14ac:dyDescent="0.3">
      <c r="A406" t="s">
        <v>54</v>
      </c>
      <c r="B406">
        <v>26</v>
      </c>
      <c r="P406">
        <v>0</v>
      </c>
      <c r="R406">
        <v>0</v>
      </c>
      <c r="S406">
        <v>0</v>
      </c>
      <c r="T406">
        <v>0</v>
      </c>
      <c r="W406">
        <v>0</v>
      </c>
      <c r="X406">
        <v>0</v>
      </c>
    </row>
    <row r="407" spans="1:24" x14ac:dyDescent="0.3">
      <c r="A407" t="s">
        <v>55</v>
      </c>
      <c r="B407">
        <v>26</v>
      </c>
      <c r="P407">
        <v>0</v>
      </c>
      <c r="R407">
        <v>0</v>
      </c>
      <c r="S407">
        <v>0</v>
      </c>
      <c r="T407">
        <v>0</v>
      </c>
      <c r="W407">
        <v>0</v>
      </c>
      <c r="X407">
        <v>0</v>
      </c>
    </row>
    <row r="408" spans="1:24" x14ac:dyDescent="0.3">
      <c r="A408" t="s">
        <v>56</v>
      </c>
      <c r="B408">
        <v>26</v>
      </c>
      <c r="P408">
        <v>0.92</v>
      </c>
      <c r="R408">
        <v>0.92</v>
      </c>
      <c r="S408">
        <v>0.92</v>
      </c>
      <c r="T408">
        <v>0.92</v>
      </c>
      <c r="W408">
        <v>0.92</v>
      </c>
      <c r="X408">
        <v>0.92</v>
      </c>
    </row>
    <row r="409" spans="1:24" x14ac:dyDescent="0.3">
      <c r="A409" t="s">
        <v>57</v>
      </c>
      <c r="B409">
        <v>26</v>
      </c>
      <c r="P409">
        <v>100</v>
      </c>
      <c r="R409">
        <v>100</v>
      </c>
      <c r="S409">
        <v>100</v>
      </c>
      <c r="T409">
        <v>100</v>
      </c>
      <c r="W409">
        <v>100</v>
      </c>
      <c r="X409">
        <v>100</v>
      </c>
    </row>
    <row r="410" spans="1:24" x14ac:dyDescent="0.3">
      <c r="A410" t="s">
        <v>58</v>
      </c>
      <c r="B410">
        <v>26</v>
      </c>
      <c r="P410">
        <v>2</v>
      </c>
      <c r="R410">
        <v>2</v>
      </c>
      <c r="S410">
        <v>2</v>
      </c>
      <c r="T410">
        <v>2</v>
      </c>
      <c r="W410">
        <v>2</v>
      </c>
      <c r="X410">
        <v>2</v>
      </c>
    </row>
    <row r="411" spans="1:24" x14ac:dyDescent="0.3">
      <c r="A411" t="s">
        <v>59</v>
      </c>
      <c r="B411">
        <v>26</v>
      </c>
      <c r="P411">
        <v>0</v>
      </c>
      <c r="R411">
        <v>0</v>
      </c>
      <c r="S411">
        <v>0</v>
      </c>
      <c r="T411">
        <v>0</v>
      </c>
      <c r="W411">
        <v>0</v>
      </c>
      <c r="X411">
        <v>0</v>
      </c>
    </row>
    <row r="412" spans="1:24" x14ac:dyDescent="0.3">
      <c r="A412" t="s">
        <v>699</v>
      </c>
      <c r="B412">
        <v>26</v>
      </c>
      <c r="P412">
        <v>0</v>
      </c>
      <c r="T412">
        <v>0</v>
      </c>
      <c r="W412">
        <v>0</v>
      </c>
    </row>
    <row r="413" spans="1:24" x14ac:dyDescent="0.3">
      <c r="A413" t="s">
        <v>678</v>
      </c>
      <c r="B413">
        <v>26</v>
      </c>
      <c r="P413">
        <v>298</v>
      </c>
      <c r="T413">
        <v>3236</v>
      </c>
      <c r="W413">
        <v>1261</v>
      </c>
    </row>
    <row r="414" spans="1:24" x14ac:dyDescent="0.3">
      <c r="A414" t="s">
        <v>78</v>
      </c>
      <c r="B414">
        <v>26</v>
      </c>
      <c r="P414">
        <v>8.1</v>
      </c>
      <c r="T414">
        <v>49</v>
      </c>
      <c r="W414">
        <v>19.100000000000001</v>
      </c>
    </row>
    <row r="415" spans="1:24" x14ac:dyDescent="0.3">
      <c r="A415" t="s">
        <v>700</v>
      </c>
      <c r="B415">
        <v>26</v>
      </c>
      <c r="R415">
        <v>0</v>
      </c>
      <c r="T415">
        <v>0</v>
      </c>
      <c r="X415">
        <v>0</v>
      </c>
    </row>
    <row r="416" spans="1:24" x14ac:dyDescent="0.3">
      <c r="A416" t="s">
        <v>701</v>
      </c>
      <c r="B416">
        <v>26</v>
      </c>
      <c r="P416">
        <v>0</v>
      </c>
      <c r="R416">
        <v>1</v>
      </c>
      <c r="S416">
        <v>0</v>
      </c>
      <c r="T416">
        <v>0</v>
      </c>
      <c r="W416">
        <v>0</v>
      </c>
      <c r="X416">
        <v>1</v>
      </c>
    </row>
    <row r="417" spans="1:24" x14ac:dyDescent="0.3">
      <c r="A417" t="s">
        <v>702</v>
      </c>
      <c r="B417">
        <v>26</v>
      </c>
      <c r="P417">
        <v>0</v>
      </c>
      <c r="R417">
        <v>0</v>
      </c>
      <c r="S417">
        <v>0</v>
      </c>
      <c r="T417">
        <v>0</v>
      </c>
      <c r="W417">
        <v>0</v>
      </c>
      <c r="X417">
        <v>0</v>
      </c>
    </row>
    <row r="418" spans="1:24" x14ac:dyDescent="0.3">
      <c r="A418" t="s">
        <v>52</v>
      </c>
      <c r="B418">
        <v>26</v>
      </c>
      <c r="P418">
        <v>1</v>
      </c>
      <c r="R418">
        <v>1</v>
      </c>
      <c r="S418">
        <v>1</v>
      </c>
      <c r="T418">
        <v>1</v>
      </c>
      <c r="W418">
        <v>1</v>
      </c>
      <c r="X418">
        <v>1</v>
      </c>
    </row>
    <row r="419" spans="1:24" x14ac:dyDescent="0.3">
      <c r="A419" t="s">
        <v>703</v>
      </c>
      <c r="B419">
        <v>26</v>
      </c>
      <c r="P419">
        <v>15</v>
      </c>
      <c r="R419">
        <v>9</v>
      </c>
      <c r="S419">
        <v>15</v>
      </c>
      <c r="T419">
        <v>60</v>
      </c>
      <c r="W419">
        <v>60</v>
      </c>
      <c r="X419">
        <v>9</v>
      </c>
    </row>
    <row r="420" spans="1:24" x14ac:dyDescent="0.3">
      <c r="A420" t="s">
        <v>43</v>
      </c>
      <c r="B420">
        <v>26</v>
      </c>
      <c r="P420">
        <v>0</v>
      </c>
      <c r="R420">
        <v>0</v>
      </c>
      <c r="S420">
        <v>0</v>
      </c>
      <c r="T420">
        <v>0</v>
      </c>
      <c r="W420">
        <v>0</v>
      </c>
      <c r="X420">
        <v>0</v>
      </c>
    </row>
    <row r="421" spans="1:24" x14ac:dyDescent="0.3">
      <c r="A421" t="s">
        <v>44</v>
      </c>
      <c r="B421">
        <v>26</v>
      </c>
      <c r="P421">
        <v>0</v>
      </c>
      <c r="R421">
        <v>0</v>
      </c>
      <c r="S421">
        <v>0</v>
      </c>
      <c r="T421">
        <v>0</v>
      </c>
      <c r="W421">
        <v>0</v>
      </c>
      <c r="X421">
        <v>0</v>
      </c>
    </row>
    <row r="422" spans="1:24" x14ac:dyDescent="0.3">
      <c r="A422" t="s">
        <v>47</v>
      </c>
      <c r="B422">
        <v>26</v>
      </c>
      <c r="P422">
        <v>8</v>
      </c>
      <c r="R422">
        <v>8</v>
      </c>
      <c r="S422">
        <v>5</v>
      </c>
      <c r="T422">
        <v>2</v>
      </c>
      <c r="W422">
        <v>6</v>
      </c>
      <c r="X422">
        <v>6</v>
      </c>
    </row>
    <row r="423" spans="1:24" x14ac:dyDescent="0.3">
      <c r="A423" t="s">
        <v>704</v>
      </c>
      <c r="B423">
        <v>26</v>
      </c>
      <c r="P423">
        <v>0</v>
      </c>
      <c r="R423">
        <v>0</v>
      </c>
      <c r="S423">
        <v>0</v>
      </c>
      <c r="T423">
        <v>0</v>
      </c>
      <c r="W423">
        <v>0</v>
      </c>
      <c r="X423">
        <v>0</v>
      </c>
    </row>
    <row r="424" spans="1:24" x14ac:dyDescent="0.3">
      <c r="A424" t="s">
        <v>705</v>
      </c>
      <c r="B424">
        <v>26</v>
      </c>
      <c r="P424">
        <v>0</v>
      </c>
      <c r="R424">
        <v>0</v>
      </c>
      <c r="S424">
        <v>0</v>
      </c>
      <c r="T424">
        <v>0</v>
      </c>
      <c r="W424">
        <v>0</v>
      </c>
      <c r="X424">
        <v>0</v>
      </c>
    </row>
    <row r="425" spans="1:24" x14ac:dyDescent="0.3">
      <c r="A425" t="s">
        <v>706</v>
      </c>
      <c r="B425">
        <v>26</v>
      </c>
      <c r="P425">
        <v>0</v>
      </c>
      <c r="R425">
        <v>0</v>
      </c>
      <c r="S425">
        <v>0</v>
      </c>
      <c r="T425">
        <v>0</v>
      </c>
      <c r="W425">
        <v>0</v>
      </c>
      <c r="X425">
        <v>0</v>
      </c>
    </row>
    <row r="426" spans="1:24" x14ac:dyDescent="0.3">
      <c r="A426" t="s">
        <v>707</v>
      </c>
      <c r="B426">
        <v>26</v>
      </c>
      <c r="P426">
        <v>0</v>
      </c>
      <c r="R426">
        <v>0</v>
      </c>
      <c r="S426">
        <v>0</v>
      </c>
      <c r="T426">
        <v>0</v>
      </c>
      <c r="W426">
        <v>0</v>
      </c>
      <c r="X426">
        <v>0</v>
      </c>
    </row>
    <row r="427" spans="1:24" x14ac:dyDescent="0.3">
      <c r="A427" t="s">
        <v>708</v>
      </c>
      <c r="B427">
        <v>26</v>
      </c>
      <c r="P427">
        <v>0</v>
      </c>
      <c r="R427">
        <v>0</v>
      </c>
      <c r="S427">
        <v>0</v>
      </c>
      <c r="T427">
        <v>0</v>
      </c>
      <c r="W427">
        <v>0</v>
      </c>
      <c r="X427">
        <v>0</v>
      </c>
    </row>
    <row r="428" spans="1:24" x14ac:dyDescent="0.3">
      <c r="A428" t="s">
        <v>719</v>
      </c>
      <c r="B428">
        <v>26</v>
      </c>
      <c r="P428">
        <v>0</v>
      </c>
      <c r="T428">
        <v>0</v>
      </c>
      <c r="W428">
        <v>0</v>
      </c>
    </row>
    <row r="429" spans="1:24" x14ac:dyDescent="0.3">
      <c r="A429" t="s">
        <v>405</v>
      </c>
      <c r="B429">
        <v>26</v>
      </c>
      <c r="P429">
        <v>0</v>
      </c>
    </row>
    <row r="430" spans="1:24" x14ac:dyDescent="0.3">
      <c r="A430" t="s">
        <v>720</v>
      </c>
      <c r="B430">
        <v>26</v>
      </c>
      <c r="P430">
        <v>110</v>
      </c>
      <c r="R430">
        <v>35</v>
      </c>
      <c r="S430">
        <v>76</v>
      </c>
      <c r="T430">
        <v>875</v>
      </c>
      <c r="W430">
        <v>734</v>
      </c>
      <c r="X430">
        <v>70</v>
      </c>
    </row>
    <row r="431" spans="1:24" x14ac:dyDescent="0.3">
      <c r="A431" t="s">
        <v>34</v>
      </c>
      <c r="B431">
        <v>27</v>
      </c>
      <c r="P431">
        <v>30</v>
      </c>
      <c r="R431">
        <v>30</v>
      </c>
      <c r="S431">
        <v>26</v>
      </c>
      <c r="T431">
        <v>26</v>
      </c>
      <c r="W431">
        <v>31</v>
      </c>
      <c r="X431">
        <v>31</v>
      </c>
    </row>
    <row r="432" spans="1:24" x14ac:dyDescent="0.3">
      <c r="A432" t="s">
        <v>35</v>
      </c>
      <c r="B432">
        <v>27</v>
      </c>
      <c r="P432">
        <v>31</v>
      </c>
      <c r="R432">
        <v>26</v>
      </c>
      <c r="S432">
        <v>30</v>
      </c>
      <c r="T432">
        <v>31</v>
      </c>
      <c r="W432">
        <v>26</v>
      </c>
      <c r="X432">
        <v>30</v>
      </c>
    </row>
    <row r="433" spans="1:24" x14ac:dyDescent="0.3">
      <c r="A433" t="s">
        <v>36</v>
      </c>
      <c r="B433">
        <v>27</v>
      </c>
      <c r="P433">
        <v>2</v>
      </c>
      <c r="R433">
        <v>1</v>
      </c>
      <c r="S433">
        <v>2</v>
      </c>
      <c r="T433">
        <v>3</v>
      </c>
      <c r="W433">
        <v>3</v>
      </c>
      <c r="X433">
        <v>1</v>
      </c>
    </row>
    <row r="434" spans="1:24" x14ac:dyDescent="0.3">
      <c r="A434" t="s">
        <v>37</v>
      </c>
      <c r="B434">
        <v>27</v>
      </c>
      <c r="P434">
        <v>0</v>
      </c>
      <c r="S434">
        <v>0</v>
      </c>
      <c r="T434">
        <v>0</v>
      </c>
      <c r="W434">
        <v>0</v>
      </c>
    </row>
    <row r="435" spans="1:24" x14ac:dyDescent="0.3">
      <c r="A435" t="s">
        <v>38</v>
      </c>
      <c r="B435">
        <v>27</v>
      </c>
      <c r="P435">
        <v>12</v>
      </c>
      <c r="R435">
        <v>12</v>
      </c>
      <c r="S435">
        <v>12</v>
      </c>
      <c r="T435">
        <v>12</v>
      </c>
      <c r="W435">
        <v>12</v>
      </c>
      <c r="X435">
        <v>12</v>
      </c>
    </row>
    <row r="436" spans="1:24" x14ac:dyDescent="0.3">
      <c r="A436" t="s">
        <v>39</v>
      </c>
      <c r="B436">
        <v>27</v>
      </c>
      <c r="S436">
        <v>285</v>
      </c>
      <c r="X436">
        <v>390</v>
      </c>
    </row>
    <row r="437" spans="1:24" x14ac:dyDescent="0.3">
      <c r="A437" t="s">
        <v>695</v>
      </c>
      <c r="B437">
        <v>27</v>
      </c>
      <c r="S437">
        <v>155</v>
      </c>
      <c r="X437">
        <v>270</v>
      </c>
    </row>
    <row r="438" spans="1:24" x14ac:dyDescent="0.3">
      <c r="A438" t="s">
        <v>40</v>
      </c>
      <c r="B438">
        <v>27</v>
      </c>
      <c r="S438">
        <v>2</v>
      </c>
      <c r="X438">
        <v>1</v>
      </c>
    </row>
    <row r="439" spans="1:24" x14ac:dyDescent="0.3">
      <c r="A439" t="s">
        <v>41</v>
      </c>
      <c r="B439">
        <v>27</v>
      </c>
    </row>
    <row r="440" spans="1:24" x14ac:dyDescent="0.3">
      <c r="A440" t="s">
        <v>42</v>
      </c>
      <c r="B440">
        <v>27</v>
      </c>
      <c r="P440">
        <v>30</v>
      </c>
      <c r="T440">
        <v>45</v>
      </c>
      <c r="W440">
        <v>45</v>
      </c>
    </row>
    <row r="441" spans="1:24" x14ac:dyDescent="0.3">
      <c r="A441" t="s">
        <v>45</v>
      </c>
      <c r="B441">
        <v>27</v>
      </c>
      <c r="P441">
        <v>4</v>
      </c>
      <c r="S441">
        <v>5</v>
      </c>
      <c r="T441">
        <v>2</v>
      </c>
      <c r="W441">
        <v>6</v>
      </c>
    </row>
    <row r="442" spans="1:24" x14ac:dyDescent="0.3">
      <c r="A442" t="s">
        <v>46</v>
      </c>
      <c r="B442">
        <v>27</v>
      </c>
      <c r="R442">
        <v>4</v>
      </c>
      <c r="X442">
        <v>6</v>
      </c>
    </row>
    <row r="443" spans="1:24" x14ac:dyDescent="0.3">
      <c r="A443" t="s">
        <v>49</v>
      </c>
      <c r="B443">
        <v>27</v>
      </c>
      <c r="P443">
        <v>7.3</v>
      </c>
      <c r="R443">
        <v>7.3</v>
      </c>
      <c r="S443">
        <v>7</v>
      </c>
      <c r="T443">
        <v>5.8</v>
      </c>
      <c r="W443">
        <v>6.3</v>
      </c>
      <c r="X443">
        <v>6.3</v>
      </c>
    </row>
    <row r="444" spans="1:24" x14ac:dyDescent="0.3">
      <c r="A444" t="s">
        <v>696</v>
      </c>
      <c r="B444">
        <v>27</v>
      </c>
      <c r="P444">
        <v>0</v>
      </c>
      <c r="R444">
        <v>0</v>
      </c>
      <c r="S444">
        <v>0</v>
      </c>
      <c r="T444">
        <v>0</v>
      </c>
      <c r="W444">
        <v>0</v>
      </c>
      <c r="X444">
        <v>0</v>
      </c>
    </row>
    <row r="445" spans="1:24" x14ac:dyDescent="0.3">
      <c r="A445" t="s">
        <v>48</v>
      </c>
      <c r="B445">
        <v>27</v>
      </c>
      <c r="P445">
        <v>1900</v>
      </c>
      <c r="R445">
        <v>1900</v>
      </c>
      <c r="S445">
        <v>1900</v>
      </c>
      <c r="T445">
        <v>1900</v>
      </c>
      <c r="W445">
        <v>1900</v>
      </c>
      <c r="X445">
        <v>1900</v>
      </c>
    </row>
    <row r="446" spans="1:24" x14ac:dyDescent="0.3">
      <c r="A446" t="s">
        <v>697</v>
      </c>
      <c r="B446">
        <v>27</v>
      </c>
      <c r="P446">
        <v>3433</v>
      </c>
      <c r="R446">
        <v>1583</v>
      </c>
      <c r="S446">
        <v>3433</v>
      </c>
      <c r="T446">
        <v>5085</v>
      </c>
      <c r="W446">
        <v>5085</v>
      </c>
      <c r="X446">
        <v>1583</v>
      </c>
    </row>
    <row r="447" spans="1:24" x14ac:dyDescent="0.3">
      <c r="A447" t="s">
        <v>50</v>
      </c>
      <c r="B447">
        <v>27</v>
      </c>
      <c r="P447">
        <v>3433</v>
      </c>
      <c r="R447">
        <v>1583</v>
      </c>
      <c r="S447">
        <v>3433</v>
      </c>
      <c r="T447">
        <v>5085</v>
      </c>
      <c r="W447">
        <v>5085</v>
      </c>
      <c r="X447">
        <v>1583</v>
      </c>
    </row>
    <row r="448" spans="1:24" x14ac:dyDescent="0.3">
      <c r="A448" t="s">
        <v>698</v>
      </c>
      <c r="B448">
        <v>27</v>
      </c>
      <c r="P448">
        <v>1</v>
      </c>
      <c r="R448">
        <v>1</v>
      </c>
      <c r="S448">
        <v>1</v>
      </c>
      <c r="T448">
        <v>1</v>
      </c>
      <c r="W448">
        <v>1</v>
      </c>
      <c r="X448">
        <v>1</v>
      </c>
    </row>
    <row r="449" spans="1:24" x14ac:dyDescent="0.3">
      <c r="A449" t="s">
        <v>51</v>
      </c>
      <c r="B449">
        <v>27</v>
      </c>
      <c r="P449">
        <v>0</v>
      </c>
      <c r="R449">
        <v>34</v>
      </c>
      <c r="S449">
        <v>0</v>
      </c>
      <c r="T449">
        <v>0</v>
      </c>
      <c r="W449">
        <v>0</v>
      </c>
      <c r="X449">
        <v>99</v>
      </c>
    </row>
    <row r="450" spans="1:24" x14ac:dyDescent="0.3">
      <c r="A450" t="s">
        <v>53</v>
      </c>
      <c r="B450">
        <v>27</v>
      </c>
      <c r="P450">
        <v>129</v>
      </c>
      <c r="R450">
        <v>31</v>
      </c>
      <c r="S450">
        <v>12</v>
      </c>
      <c r="T450">
        <v>901</v>
      </c>
      <c r="W450">
        <v>816</v>
      </c>
      <c r="X450">
        <v>91</v>
      </c>
    </row>
    <row r="451" spans="1:24" x14ac:dyDescent="0.3">
      <c r="A451" t="s">
        <v>54</v>
      </c>
      <c r="B451">
        <v>27</v>
      </c>
      <c r="P451">
        <v>0</v>
      </c>
      <c r="R451">
        <v>0</v>
      </c>
      <c r="S451">
        <v>0</v>
      </c>
      <c r="T451">
        <v>0</v>
      </c>
      <c r="W451">
        <v>0</v>
      </c>
      <c r="X451">
        <v>0</v>
      </c>
    </row>
    <row r="452" spans="1:24" x14ac:dyDescent="0.3">
      <c r="A452" t="s">
        <v>55</v>
      </c>
      <c r="B452">
        <v>27</v>
      </c>
      <c r="P452">
        <v>0</v>
      </c>
      <c r="R452">
        <v>0</v>
      </c>
      <c r="S452">
        <v>0</v>
      </c>
      <c r="T452">
        <v>0</v>
      </c>
      <c r="W452">
        <v>0</v>
      </c>
      <c r="X452">
        <v>0</v>
      </c>
    </row>
    <row r="453" spans="1:24" x14ac:dyDescent="0.3">
      <c r="A453" t="s">
        <v>56</v>
      </c>
      <c r="B453">
        <v>27</v>
      </c>
      <c r="P453">
        <v>0.92</v>
      </c>
      <c r="R453">
        <v>0.92</v>
      </c>
      <c r="S453">
        <v>0.92</v>
      </c>
      <c r="T453">
        <v>0.92</v>
      </c>
      <c r="W453">
        <v>0.92</v>
      </c>
      <c r="X453">
        <v>0.92</v>
      </c>
    </row>
    <row r="454" spans="1:24" x14ac:dyDescent="0.3">
      <c r="A454" t="s">
        <v>57</v>
      </c>
      <c r="B454">
        <v>27</v>
      </c>
      <c r="P454">
        <v>100</v>
      </c>
      <c r="R454">
        <v>100</v>
      </c>
      <c r="S454">
        <v>100</v>
      </c>
      <c r="T454">
        <v>100</v>
      </c>
      <c r="W454">
        <v>100</v>
      </c>
      <c r="X454">
        <v>100</v>
      </c>
    </row>
    <row r="455" spans="1:24" x14ac:dyDescent="0.3">
      <c r="A455" t="s">
        <v>58</v>
      </c>
      <c r="B455">
        <v>27</v>
      </c>
      <c r="P455">
        <v>2</v>
      </c>
      <c r="R455">
        <v>2</v>
      </c>
      <c r="S455">
        <v>2</v>
      </c>
      <c r="T455">
        <v>2</v>
      </c>
      <c r="W455">
        <v>2</v>
      </c>
      <c r="X455">
        <v>2</v>
      </c>
    </row>
    <row r="456" spans="1:24" x14ac:dyDescent="0.3">
      <c r="A456" t="s">
        <v>59</v>
      </c>
      <c r="B456">
        <v>27</v>
      </c>
      <c r="P456">
        <v>0</v>
      </c>
      <c r="R456">
        <v>0</v>
      </c>
      <c r="S456">
        <v>0</v>
      </c>
      <c r="T456">
        <v>0</v>
      </c>
      <c r="W456">
        <v>0</v>
      </c>
      <c r="X456">
        <v>0</v>
      </c>
    </row>
    <row r="457" spans="1:24" x14ac:dyDescent="0.3">
      <c r="A457" t="s">
        <v>699</v>
      </c>
      <c r="B457">
        <v>27</v>
      </c>
      <c r="P457">
        <v>0</v>
      </c>
      <c r="T457">
        <v>0</v>
      </c>
      <c r="W457">
        <v>0</v>
      </c>
    </row>
    <row r="458" spans="1:24" x14ac:dyDescent="0.3">
      <c r="A458" t="s">
        <v>678</v>
      </c>
      <c r="B458">
        <v>27</v>
      </c>
      <c r="P458">
        <v>262</v>
      </c>
      <c r="T458">
        <v>1261</v>
      </c>
      <c r="W458">
        <v>2453</v>
      </c>
    </row>
    <row r="459" spans="1:24" x14ac:dyDescent="0.3">
      <c r="A459" t="s">
        <v>78</v>
      </c>
      <c r="B459">
        <v>27</v>
      </c>
      <c r="P459">
        <v>6</v>
      </c>
      <c r="T459">
        <v>19.100000000000001</v>
      </c>
      <c r="W459">
        <v>37.200000000000003</v>
      </c>
    </row>
    <row r="460" spans="1:24" x14ac:dyDescent="0.3">
      <c r="A460" t="s">
        <v>700</v>
      </c>
      <c r="B460">
        <v>27</v>
      </c>
      <c r="R460">
        <v>0</v>
      </c>
      <c r="T460">
        <v>0</v>
      </c>
      <c r="X460">
        <v>0</v>
      </c>
    </row>
    <row r="461" spans="1:24" x14ac:dyDescent="0.3">
      <c r="A461" t="s">
        <v>701</v>
      </c>
      <c r="B461">
        <v>27</v>
      </c>
      <c r="P461">
        <v>0</v>
      </c>
      <c r="R461">
        <v>1</v>
      </c>
      <c r="S461">
        <v>0</v>
      </c>
      <c r="T461">
        <v>0</v>
      </c>
      <c r="W461">
        <v>0</v>
      </c>
      <c r="X461">
        <v>1</v>
      </c>
    </row>
    <row r="462" spans="1:24" x14ac:dyDescent="0.3">
      <c r="A462" t="s">
        <v>702</v>
      </c>
      <c r="B462">
        <v>27</v>
      </c>
      <c r="P462">
        <v>0</v>
      </c>
      <c r="R462">
        <v>0</v>
      </c>
      <c r="S462">
        <v>0</v>
      </c>
      <c r="T462">
        <v>0</v>
      </c>
      <c r="W462">
        <v>0</v>
      </c>
      <c r="X462">
        <v>0</v>
      </c>
    </row>
    <row r="463" spans="1:24" x14ac:dyDescent="0.3">
      <c r="A463" t="s">
        <v>52</v>
      </c>
      <c r="B463">
        <v>27</v>
      </c>
      <c r="P463">
        <v>1</v>
      </c>
      <c r="R463">
        <v>1</v>
      </c>
      <c r="S463">
        <v>1</v>
      </c>
      <c r="T463">
        <v>1</v>
      </c>
      <c r="W463">
        <v>1</v>
      </c>
      <c r="X463">
        <v>1</v>
      </c>
    </row>
    <row r="464" spans="1:24" x14ac:dyDescent="0.3">
      <c r="A464" t="s">
        <v>703</v>
      </c>
      <c r="B464">
        <v>27</v>
      </c>
      <c r="P464">
        <v>15</v>
      </c>
      <c r="R464">
        <v>9</v>
      </c>
      <c r="S464">
        <v>15</v>
      </c>
      <c r="T464">
        <v>60</v>
      </c>
      <c r="W464">
        <v>60</v>
      </c>
      <c r="X464">
        <v>9</v>
      </c>
    </row>
    <row r="465" spans="1:24" x14ac:dyDescent="0.3">
      <c r="A465" t="s">
        <v>43</v>
      </c>
      <c r="B465">
        <v>27</v>
      </c>
      <c r="P465">
        <v>0</v>
      </c>
      <c r="R465">
        <v>0</v>
      </c>
      <c r="S465">
        <v>0</v>
      </c>
      <c r="T465">
        <v>0</v>
      </c>
      <c r="W465">
        <v>0</v>
      </c>
      <c r="X465">
        <v>0</v>
      </c>
    </row>
    <row r="466" spans="1:24" x14ac:dyDescent="0.3">
      <c r="A466" t="s">
        <v>44</v>
      </c>
      <c r="B466">
        <v>27</v>
      </c>
      <c r="P466">
        <v>0</v>
      </c>
      <c r="R466">
        <v>0</v>
      </c>
      <c r="S466">
        <v>0</v>
      </c>
      <c r="T466">
        <v>0</v>
      </c>
      <c r="W466">
        <v>0</v>
      </c>
      <c r="X466">
        <v>0</v>
      </c>
    </row>
    <row r="467" spans="1:24" x14ac:dyDescent="0.3">
      <c r="A467" t="s">
        <v>47</v>
      </c>
      <c r="B467">
        <v>27</v>
      </c>
      <c r="P467">
        <v>4</v>
      </c>
      <c r="R467">
        <v>4</v>
      </c>
      <c r="S467">
        <v>5</v>
      </c>
      <c r="T467">
        <v>2</v>
      </c>
      <c r="W467">
        <v>6</v>
      </c>
      <c r="X467">
        <v>6</v>
      </c>
    </row>
    <row r="468" spans="1:24" x14ac:dyDescent="0.3">
      <c r="A468" t="s">
        <v>704</v>
      </c>
      <c r="B468">
        <v>27</v>
      </c>
      <c r="P468">
        <v>0</v>
      </c>
      <c r="R468">
        <v>0</v>
      </c>
      <c r="S468">
        <v>0</v>
      </c>
      <c r="T468">
        <v>0</v>
      </c>
      <c r="W468">
        <v>0</v>
      </c>
      <c r="X468">
        <v>0</v>
      </c>
    </row>
    <row r="469" spans="1:24" x14ac:dyDescent="0.3">
      <c r="A469" t="s">
        <v>705</v>
      </c>
      <c r="B469">
        <v>27</v>
      </c>
      <c r="P469">
        <v>0</v>
      </c>
      <c r="R469">
        <v>0</v>
      </c>
      <c r="S469">
        <v>0</v>
      </c>
      <c r="T469">
        <v>0</v>
      </c>
      <c r="W469">
        <v>0</v>
      </c>
      <c r="X469">
        <v>0</v>
      </c>
    </row>
    <row r="470" spans="1:24" x14ac:dyDescent="0.3">
      <c r="A470" t="s">
        <v>706</v>
      </c>
      <c r="B470">
        <v>27</v>
      </c>
      <c r="P470">
        <v>0</v>
      </c>
      <c r="R470">
        <v>0</v>
      </c>
      <c r="S470">
        <v>0</v>
      </c>
      <c r="T470">
        <v>0</v>
      </c>
      <c r="W470">
        <v>0</v>
      </c>
      <c r="X470">
        <v>0</v>
      </c>
    </row>
    <row r="471" spans="1:24" x14ac:dyDescent="0.3">
      <c r="A471" t="s">
        <v>707</v>
      </c>
      <c r="B471">
        <v>27</v>
      </c>
      <c r="P471">
        <v>0</v>
      </c>
      <c r="R471">
        <v>0</v>
      </c>
      <c r="S471">
        <v>0</v>
      </c>
      <c r="T471">
        <v>0</v>
      </c>
      <c r="W471">
        <v>0</v>
      </c>
      <c r="X471">
        <v>0</v>
      </c>
    </row>
    <row r="472" spans="1:24" x14ac:dyDescent="0.3">
      <c r="A472" t="s">
        <v>708</v>
      </c>
      <c r="B472">
        <v>27</v>
      </c>
      <c r="P472">
        <v>0</v>
      </c>
      <c r="R472">
        <v>0</v>
      </c>
      <c r="S472">
        <v>0</v>
      </c>
      <c r="T472">
        <v>0</v>
      </c>
      <c r="W472">
        <v>0</v>
      </c>
      <c r="X472">
        <v>0</v>
      </c>
    </row>
    <row r="473" spans="1:24" x14ac:dyDescent="0.3">
      <c r="A473" t="s">
        <v>719</v>
      </c>
      <c r="B473">
        <v>27</v>
      </c>
      <c r="P473">
        <v>0</v>
      </c>
      <c r="T473">
        <v>0</v>
      </c>
      <c r="W473">
        <v>0</v>
      </c>
    </row>
    <row r="474" spans="1:24" x14ac:dyDescent="0.3">
      <c r="A474" t="s">
        <v>405</v>
      </c>
      <c r="B474">
        <v>27</v>
      </c>
      <c r="P474">
        <v>0</v>
      </c>
    </row>
    <row r="475" spans="1:24" x14ac:dyDescent="0.3">
      <c r="A475" t="s">
        <v>720</v>
      </c>
      <c r="B475">
        <v>27</v>
      </c>
      <c r="P475">
        <v>140</v>
      </c>
      <c r="R475">
        <v>34</v>
      </c>
      <c r="S475">
        <v>13</v>
      </c>
      <c r="T475">
        <v>979</v>
      </c>
      <c r="W475">
        <v>887</v>
      </c>
      <c r="X475">
        <v>99</v>
      </c>
    </row>
    <row r="476" spans="1:24" x14ac:dyDescent="0.3">
      <c r="A476" t="s">
        <v>34</v>
      </c>
      <c r="B476">
        <v>28</v>
      </c>
      <c r="P476">
        <v>24</v>
      </c>
      <c r="R476">
        <v>24</v>
      </c>
      <c r="S476">
        <v>46</v>
      </c>
      <c r="T476">
        <v>46</v>
      </c>
      <c r="W476">
        <v>26</v>
      </c>
      <c r="X476">
        <v>26</v>
      </c>
    </row>
    <row r="477" spans="1:24" x14ac:dyDescent="0.3">
      <c r="A477" t="s">
        <v>35</v>
      </c>
      <c r="B477">
        <v>28</v>
      </c>
      <c r="P477">
        <v>26</v>
      </c>
      <c r="R477">
        <v>46</v>
      </c>
      <c r="S477">
        <v>24</v>
      </c>
      <c r="T477">
        <v>26</v>
      </c>
      <c r="W477">
        <v>46</v>
      </c>
      <c r="X477">
        <v>24</v>
      </c>
    </row>
    <row r="478" spans="1:24" x14ac:dyDescent="0.3">
      <c r="A478" t="s">
        <v>36</v>
      </c>
      <c r="B478">
        <v>28</v>
      </c>
      <c r="P478">
        <v>1</v>
      </c>
      <c r="R478">
        <v>1</v>
      </c>
      <c r="S478">
        <v>1</v>
      </c>
      <c r="T478">
        <v>3</v>
      </c>
      <c r="W478">
        <v>3</v>
      </c>
      <c r="X478">
        <v>1</v>
      </c>
    </row>
    <row r="479" spans="1:24" x14ac:dyDescent="0.3">
      <c r="A479" t="s">
        <v>37</v>
      </c>
      <c r="B479">
        <v>28</v>
      </c>
      <c r="P479">
        <v>0</v>
      </c>
      <c r="S479">
        <v>0</v>
      </c>
      <c r="T479">
        <v>0</v>
      </c>
      <c r="W479">
        <v>0</v>
      </c>
    </row>
    <row r="480" spans="1:24" x14ac:dyDescent="0.3">
      <c r="A480" t="s">
        <v>38</v>
      </c>
      <c r="B480">
        <v>28</v>
      </c>
      <c r="P480">
        <v>12</v>
      </c>
      <c r="R480">
        <v>12</v>
      </c>
      <c r="S480">
        <v>12</v>
      </c>
      <c r="T480">
        <v>12</v>
      </c>
      <c r="W480">
        <v>12</v>
      </c>
      <c r="X480">
        <v>12</v>
      </c>
    </row>
    <row r="481" spans="1:24" x14ac:dyDescent="0.3">
      <c r="A481" t="s">
        <v>39</v>
      </c>
      <c r="B481">
        <v>28</v>
      </c>
      <c r="S481">
        <v>335</v>
      </c>
      <c r="X481">
        <v>230</v>
      </c>
    </row>
    <row r="482" spans="1:24" x14ac:dyDescent="0.3">
      <c r="A482" t="s">
        <v>695</v>
      </c>
      <c r="B482">
        <v>28</v>
      </c>
      <c r="S482">
        <v>185</v>
      </c>
      <c r="X482">
        <v>120</v>
      </c>
    </row>
    <row r="483" spans="1:24" x14ac:dyDescent="0.3">
      <c r="A483" t="s">
        <v>40</v>
      </c>
      <c r="B483">
        <v>28</v>
      </c>
      <c r="S483">
        <v>1</v>
      </c>
      <c r="X483">
        <v>1</v>
      </c>
    </row>
    <row r="484" spans="1:24" x14ac:dyDescent="0.3">
      <c r="A484" t="s">
        <v>41</v>
      </c>
      <c r="B484">
        <v>28</v>
      </c>
    </row>
    <row r="485" spans="1:24" x14ac:dyDescent="0.3">
      <c r="A485" t="s">
        <v>42</v>
      </c>
      <c r="B485">
        <v>28</v>
      </c>
      <c r="P485">
        <v>25</v>
      </c>
      <c r="T485">
        <v>45</v>
      </c>
      <c r="W485">
        <v>45</v>
      </c>
    </row>
    <row r="486" spans="1:24" x14ac:dyDescent="0.3">
      <c r="A486" t="s">
        <v>45</v>
      </c>
      <c r="B486">
        <v>28</v>
      </c>
      <c r="P486">
        <v>4</v>
      </c>
      <c r="S486">
        <v>5</v>
      </c>
      <c r="T486">
        <v>2</v>
      </c>
      <c r="W486">
        <v>6</v>
      </c>
    </row>
    <row r="487" spans="1:24" x14ac:dyDescent="0.3">
      <c r="A487" t="s">
        <v>46</v>
      </c>
      <c r="B487">
        <v>28</v>
      </c>
      <c r="R487">
        <v>4</v>
      </c>
      <c r="X487">
        <v>6</v>
      </c>
    </row>
    <row r="488" spans="1:24" x14ac:dyDescent="0.3">
      <c r="A488" t="s">
        <v>49</v>
      </c>
      <c r="B488">
        <v>28</v>
      </c>
      <c r="P488">
        <v>8.3000000000000007</v>
      </c>
      <c r="R488">
        <v>8.3000000000000007</v>
      </c>
      <c r="S488">
        <v>6.9</v>
      </c>
      <c r="T488">
        <v>6.1</v>
      </c>
      <c r="W488">
        <v>6</v>
      </c>
      <c r="X488">
        <v>6</v>
      </c>
    </row>
    <row r="489" spans="1:24" x14ac:dyDescent="0.3">
      <c r="A489" t="s">
        <v>696</v>
      </c>
      <c r="B489">
        <v>28</v>
      </c>
      <c r="P489">
        <v>0</v>
      </c>
      <c r="R489">
        <v>0</v>
      </c>
      <c r="S489">
        <v>0</v>
      </c>
      <c r="T489">
        <v>0</v>
      </c>
      <c r="W489">
        <v>0</v>
      </c>
      <c r="X489">
        <v>0</v>
      </c>
    </row>
    <row r="490" spans="1:24" x14ac:dyDescent="0.3">
      <c r="A490" t="s">
        <v>48</v>
      </c>
      <c r="B490">
        <v>28</v>
      </c>
      <c r="P490">
        <v>1900</v>
      </c>
      <c r="R490">
        <v>1900</v>
      </c>
      <c r="S490">
        <v>1900</v>
      </c>
      <c r="T490">
        <v>1900</v>
      </c>
      <c r="W490">
        <v>1900</v>
      </c>
      <c r="X490">
        <v>1900</v>
      </c>
    </row>
    <row r="491" spans="1:24" x14ac:dyDescent="0.3">
      <c r="A491" t="s">
        <v>697</v>
      </c>
      <c r="B491">
        <v>28</v>
      </c>
      <c r="P491">
        <v>1770</v>
      </c>
      <c r="R491">
        <v>1583</v>
      </c>
      <c r="S491">
        <v>1770</v>
      </c>
      <c r="T491">
        <v>5085</v>
      </c>
      <c r="W491">
        <v>5085</v>
      </c>
      <c r="X491">
        <v>1583</v>
      </c>
    </row>
    <row r="492" spans="1:24" x14ac:dyDescent="0.3">
      <c r="A492" t="s">
        <v>50</v>
      </c>
      <c r="B492">
        <v>28</v>
      </c>
      <c r="P492">
        <v>1770</v>
      </c>
      <c r="R492">
        <v>1583</v>
      </c>
      <c r="S492">
        <v>1770</v>
      </c>
      <c r="T492">
        <v>5085</v>
      </c>
      <c r="W492">
        <v>5085</v>
      </c>
      <c r="X492">
        <v>1583</v>
      </c>
    </row>
    <row r="493" spans="1:24" x14ac:dyDescent="0.3">
      <c r="A493" t="s">
        <v>698</v>
      </c>
      <c r="B493">
        <v>28</v>
      </c>
      <c r="P493">
        <v>1</v>
      </c>
      <c r="R493">
        <v>1</v>
      </c>
      <c r="S493">
        <v>1</v>
      </c>
      <c r="T493">
        <v>1</v>
      </c>
      <c r="W493">
        <v>1</v>
      </c>
      <c r="X493">
        <v>1</v>
      </c>
    </row>
    <row r="494" spans="1:24" x14ac:dyDescent="0.3">
      <c r="A494" t="s">
        <v>51</v>
      </c>
      <c r="B494">
        <v>28</v>
      </c>
      <c r="P494">
        <v>0</v>
      </c>
      <c r="R494">
        <v>37</v>
      </c>
      <c r="S494">
        <v>0</v>
      </c>
      <c r="T494">
        <v>0</v>
      </c>
      <c r="W494">
        <v>0</v>
      </c>
      <c r="X494">
        <v>14</v>
      </c>
    </row>
    <row r="495" spans="1:24" x14ac:dyDescent="0.3">
      <c r="A495" t="s">
        <v>53</v>
      </c>
      <c r="B495">
        <v>28</v>
      </c>
      <c r="P495">
        <v>26</v>
      </c>
      <c r="R495">
        <v>34</v>
      </c>
      <c r="S495">
        <v>41</v>
      </c>
      <c r="T495">
        <v>748</v>
      </c>
      <c r="W495">
        <v>587</v>
      </c>
      <c r="X495">
        <v>13</v>
      </c>
    </row>
    <row r="496" spans="1:24" x14ac:dyDescent="0.3">
      <c r="A496" t="s">
        <v>54</v>
      </c>
      <c r="B496">
        <v>28</v>
      </c>
      <c r="P496">
        <v>0</v>
      </c>
      <c r="R496">
        <v>0</v>
      </c>
      <c r="S496">
        <v>0</v>
      </c>
      <c r="T496">
        <v>0</v>
      </c>
      <c r="W496">
        <v>0</v>
      </c>
      <c r="X496">
        <v>0</v>
      </c>
    </row>
    <row r="497" spans="1:24" x14ac:dyDescent="0.3">
      <c r="A497" t="s">
        <v>55</v>
      </c>
      <c r="B497">
        <v>28</v>
      </c>
      <c r="P497">
        <v>0</v>
      </c>
      <c r="R497">
        <v>0</v>
      </c>
      <c r="S497">
        <v>0</v>
      </c>
      <c r="T497">
        <v>0</v>
      </c>
      <c r="W497">
        <v>0</v>
      </c>
      <c r="X497">
        <v>0</v>
      </c>
    </row>
    <row r="498" spans="1:24" x14ac:dyDescent="0.3">
      <c r="A498" t="s">
        <v>56</v>
      </c>
      <c r="B498">
        <v>28</v>
      </c>
      <c r="P498">
        <v>0.92</v>
      </c>
      <c r="R498">
        <v>0.92</v>
      </c>
      <c r="S498">
        <v>0.92</v>
      </c>
      <c r="T498">
        <v>0.92</v>
      </c>
      <c r="W498">
        <v>0.92</v>
      </c>
      <c r="X498">
        <v>0.92</v>
      </c>
    </row>
    <row r="499" spans="1:24" x14ac:dyDescent="0.3">
      <c r="A499" t="s">
        <v>57</v>
      </c>
      <c r="B499">
        <v>28</v>
      </c>
      <c r="P499">
        <v>100</v>
      </c>
      <c r="R499">
        <v>100</v>
      </c>
      <c r="S499">
        <v>100</v>
      </c>
      <c r="T499">
        <v>100</v>
      </c>
      <c r="W499">
        <v>100</v>
      </c>
      <c r="X499">
        <v>100</v>
      </c>
    </row>
    <row r="500" spans="1:24" x14ac:dyDescent="0.3">
      <c r="A500" t="s">
        <v>58</v>
      </c>
      <c r="B500">
        <v>28</v>
      </c>
      <c r="P500">
        <v>2</v>
      </c>
      <c r="R500">
        <v>2</v>
      </c>
      <c r="S500">
        <v>2</v>
      </c>
      <c r="T500">
        <v>2</v>
      </c>
      <c r="W500">
        <v>2</v>
      </c>
      <c r="X500">
        <v>2</v>
      </c>
    </row>
    <row r="501" spans="1:24" x14ac:dyDescent="0.3">
      <c r="A501" t="s">
        <v>59</v>
      </c>
      <c r="B501">
        <v>28</v>
      </c>
      <c r="P501">
        <v>0</v>
      </c>
      <c r="R501">
        <v>0</v>
      </c>
      <c r="S501">
        <v>0</v>
      </c>
      <c r="T501">
        <v>0</v>
      </c>
      <c r="W501">
        <v>0</v>
      </c>
      <c r="X501">
        <v>0</v>
      </c>
    </row>
    <row r="502" spans="1:24" x14ac:dyDescent="0.3">
      <c r="A502" t="s">
        <v>699</v>
      </c>
      <c r="B502">
        <v>28</v>
      </c>
      <c r="P502">
        <v>0</v>
      </c>
      <c r="T502">
        <v>0</v>
      </c>
      <c r="W502">
        <v>0</v>
      </c>
    </row>
    <row r="503" spans="1:24" x14ac:dyDescent="0.3">
      <c r="A503" t="s">
        <v>678</v>
      </c>
      <c r="B503">
        <v>28</v>
      </c>
      <c r="P503">
        <v>274</v>
      </c>
      <c r="T503">
        <v>1161</v>
      </c>
      <c r="W503">
        <v>3236</v>
      </c>
    </row>
    <row r="504" spans="1:24" x14ac:dyDescent="0.3">
      <c r="A504" t="s">
        <v>78</v>
      </c>
      <c r="B504">
        <v>28</v>
      </c>
      <c r="P504">
        <v>7.5</v>
      </c>
      <c r="T504">
        <v>17.600000000000001</v>
      </c>
      <c r="W504">
        <v>49</v>
      </c>
    </row>
    <row r="505" spans="1:24" x14ac:dyDescent="0.3">
      <c r="A505" t="s">
        <v>700</v>
      </c>
      <c r="B505">
        <v>28</v>
      </c>
      <c r="R505">
        <v>0</v>
      </c>
      <c r="T505">
        <v>0</v>
      </c>
      <c r="X505">
        <v>0</v>
      </c>
    </row>
    <row r="506" spans="1:24" x14ac:dyDescent="0.3">
      <c r="A506" t="s">
        <v>701</v>
      </c>
      <c r="B506">
        <v>28</v>
      </c>
      <c r="P506">
        <v>0</v>
      </c>
      <c r="R506">
        <v>1</v>
      </c>
      <c r="S506">
        <v>0</v>
      </c>
      <c r="T506">
        <v>0</v>
      </c>
      <c r="W506">
        <v>0</v>
      </c>
      <c r="X506">
        <v>1</v>
      </c>
    </row>
    <row r="507" spans="1:24" x14ac:dyDescent="0.3">
      <c r="A507" t="s">
        <v>702</v>
      </c>
      <c r="B507">
        <v>28</v>
      </c>
      <c r="P507">
        <v>0</v>
      </c>
      <c r="R507">
        <v>0</v>
      </c>
      <c r="S507">
        <v>0</v>
      </c>
      <c r="T507">
        <v>0</v>
      </c>
      <c r="W507">
        <v>0</v>
      </c>
      <c r="X507">
        <v>0</v>
      </c>
    </row>
    <row r="508" spans="1:24" x14ac:dyDescent="0.3">
      <c r="A508" t="s">
        <v>52</v>
      </c>
      <c r="B508">
        <v>28</v>
      </c>
      <c r="P508">
        <v>1</v>
      </c>
      <c r="R508">
        <v>1</v>
      </c>
      <c r="S508">
        <v>1</v>
      </c>
      <c r="T508">
        <v>1</v>
      </c>
      <c r="W508">
        <v>1</v>
      </c>
      <c r="X508">
        <v>1</v>
      </c>
    </row>
    <row r="509" spans="1:24" x14ac:dyDescent="0.3">
      <c r="A509" t="s">
        <v>703</v>
      </c>
      <c r="B509">
        <v>28</v>
      </c>
      <c r="P509">
        <v>15</v>
      </c>
      <c r="R509">
        <v>9</v>
      </c>
      <c r="S509">
        <v>15</v>
      </c>
      <c r="T509">
        <v>60</v>
      </c>
      <c r="W509">
        <v>60</v>
      </c>
      <c r="X509">
        <v>9</v>
      </c>
    </row>
    <row r="510" spans="1:24" x14ac:dyDescent="0.3">
      <c r="A510" t="s">
        <v>43</v>
      </c>
      <c r="B510">
        <v>28</v>
      </c>
      <c r="P510">
        <v>0</v>
      </c>
      <c r="R510">
        <v>0</v>
      </c>
      <c r="S510">
        <v>0</v>
      </c>
      <c r="T510">
        <v>0</v>
      </c>
      <c r="W510">
        <v>0</v>
      </c>
      <c r="X510">
        <v>0</v>
      </c>
    </row>
    <row r="511" spans="1:24" x14ac:dyDescent="0.3">
      <c r="A511" t="s">
        <v>44</v>
      </c>
      <c r="B511">
        <v>28</v>
      </c>
      <c r="P511">
        <v>0</v>
      </c>
      <c r="R511">
        <v>0</v>
      </c>
      <c r="S511">
        <v>0</v>
      </c>
      <c r="T511">
        <v>0</v>
      </c>
      <c r="W511">
        <v>0</v>
      </c>
      <c r="X511">
        <v>0</v>
      </c>
    </row>
    <row r="512" spans="1:24" x14ac:dyDescent="0.3">
      <c r="A512" t="s">
        <v>47</v>
      </c>
      <c r="B512">
        <v>28</v>
      </c>
      <c r="P512">
        <v>4</v>
      </c>
      <c r="R512">
        <v>4</v>
      </c>
      <c r="S512">
        <v>5</v>
      </c>
      <c r="T512">
        <v>2</v>
      </c>
      <c r="W512">
        <v>6</v>
      </c>
      <c r="X512">
        <v>6</v>
      </c>
    </row>
    <row r="513" spans="1:24" x14ac:dyDescent="0.3">
      <c r="A513" t="s">
        <v>704</v>
      </c>
      <c r="B513">
        <v>28</v>
      </c>
      <c r="P513">
        <v>0</v>
      </c>
      <c r="R513">
        <v>0</v>
      </c>
      <c r="S513">
        <v>0</v>
      </c>
      <c r="T513">
        <v>0</v>
      </c>
      <c r="W513">
        <v>0</v>
      </c>
      <c r="X513">
        <v>0</v>
      </c>
    </row>
    <row r="514" spans="1:24" x14ac:dyDescent="0.3">
      <c r="A514" t="s">
        <v>705</v>
      </c>
      <c r="B514">
        <v>28</v>
      </c>
      <c r="P514">
        <v>0</v>
      </c>
      <c r="R514">
        <v>0</v>
      </c>
      <c r="S514">
        <v>0</v>
      </c>
      <c r="T514">
        <v>0</v>
      </c>
      <c r="W514">
        <v>0</v>
      </c>
      <c r="X514">
        <v>0</v>
      </c>
    </row>
    <row r="515" spans="1:24" x14ac:dyDescent="0.3">
      <c r="A515" t="s">
        <v>706</v>
      </c>
      <c r="B515">
        <v>28</v>
      </c>
      <c r="P515">
        <v>0</v>
      </c>
      <c r="R515">
        <v>0</v>
      </c>
      <c r="S515">
        <v>0</v>
      </c>
      <c r="T515">
        <v>0</v>
      </c>
      <c r="W515">
        <v>0</v>
      </c>
      <c r="X515">
        <v>0</v>
      </c>
    </row>
    <row r="516" spans="1:24" x14ac:dyDescent="0.3">
      <c r="A516" t="s">
        <v>707</v>
      </c>
      <c r="B516">
        <v>28</v>
      </c>
      <c r="P516">
        <v>0</v>
      </c>
      <c r="R516">
        <v>0</v>
      </c>
      <c r="S516">
        <v>0</v>
      </c>
      <c r="T516">
        <v>0</v>
      </c>
      <c r="W516">
        <v>0</v>
      </c>
      <c r="X516">
        <v>0</v>
      </c>
    </row>
    <row r="517" spans="1:24" x14ac:dyDescent="0.3">
      <c r="A517" t="s">
        <v>708</v>
      </c>
      <c r="B517">
        <v>28</v>
      </c>
      <c r="P517">
        <v>0</v>
      </c>
      <c r="R517">
        <v>0</v>
      </c>
      <c r="S517">
        <v>0</v>
      </c>
      <c r="T517">
        <v>0</v>
      </c>
      <c r="W517">
        <v>0</v>
      </c>
      <c r="X517">
        <v>0</v>
      </c>
    </row>
    <row r="518" spans="1:24" x14ac:dyDescent="0.3">
      <c r="A518" t="s">
        <v>719</v>
      </c>
      <c r="B518">
        <v>28</v>
      </c>
      <c r="P518">
        <v>0</v>
      </c>
      <c r="T518">
        <v>0</v>
      </c>
      <c r="W518">
        <v>0</v>
      </c>
    </row>
    <row r="519" spans="1:24" x14ac:dyDescent="0.3">
      <c r="A519" t="s">
        <v>405</v>
      </c>
      <c r="B519">
        <v>28</v>
      </c>
      <c r="P519">
        <v>0</v>
      </c>
    </row>
    <row r="520" spans="1:24" x14ac:dyDescent="0.3">
      <c r="A520" t="s">
        <v>720</v>
      </c>
      <c r="B520">
        <v>28</v>
      </c>
      <c r="P520">
        <v>28</v>
      </c>
      <c r="R520">
        <v>37</v>
      </c>
      <c r="S520">
        <v>45</v>
      </c>
      <c r="T520">
        <v>813</v>
      </c>
      <c r="W520">
        <v>638</v>
      </c>
      <c r="X520">
        <v>14</v>
      </c>
    </row>
    <row r="521" spans="1:24" x14ac:dyDescent="0.3">
      <c r="A521" t="s">
        <v>34</v>
      </c>
      <c r="B521">
        <v>31</v>
      </c>
      <c r="P521">
        <v>32</v>
      </c>
      <c r="R521">
        <v>32</v>
      </c>
      <c r="S521">
        <v>27</v>
      </c>
      <c r="T521">
        <v>27</v>
      </c>
      <c r="W521">
        <v>33</v>
      </c>
      <c r="X521">
        <v>33</v>
      </c>
    </row>
    <row r="522" spans="1:24" x14ac:dyDescent="0.3">
      <c r="A522" t="s">
        <v>35</v>
      </c>
      <c r="B522">
        <v>31</v>
      </c>
      <c r="P522">
        <v>33</v>
      </c>
      <c r="R522">
        <v>27</v>
      </c>
      <c r="S522">
        <v>32</v>
      </c>
      <c r="T522">
        <v>33</v>
      </c>
      <c r="W522">
        <v>27</v>
      </c>
      <c r="X522">
        <v>32</v>
      </c>
    </row>
    <row r="523" spans="1:24" x14ac:dyDescent="0.3">
      <c r="A523" t="s">
        <v>36</v>
      </c>
      <c r="B523">
        <v>31</v>
      </c>
      <c r="P523">
        <v>2</v>
      </c>
      <c r="R523">
        <v>1</v>
      </c>
      <c r="S523">
        <v>2</v>
      </c>
      <c r="T523">
        <v>3</v>
      </c>
      <c r="W523">
        <v>3</v>
      </c>
      <c r="X523">
        <v>1</v>
      </c>
    </row>
    <row r="524" spans="1:24" x14ac:dyDescent="0.3">
      <c r="A524" t="s">
        <v>37</v>
      </c>
      <c r="B524">
        <v>31</v>
      </c>
      <c r="P524">
        <v>0</v>
      </c>
      <c r="S524">
        <v>0</v>
      </c>
      <c r="T524">
        <v>0</v>
      </c>
      <c r="W524">
        <v>0</v>
      </c>
    </row>
    <row r="525" spans="1:24" x14ac:dyDescent="0.3">
      <c r="A525" t="s">
        <v>38</v>
      </c>
      <c r="B525">
        <v>31</v>
      </c>
      <c r="P525">
        <v>12</v>
      </c>
      <c r="R525">
        <v>12</v>
      </c>
      <c r="S525">
        <v>12</v>
      </c>
      <c r="T525">
        <v>12</v>
      </c>
      <c r="W525">
        <v>12</v>
      </c>
      <c r="X525">
        <v>12</v>
      </c>
    </row>
    <row r="526" spans="1:24" x14ac:dyDescent="0.3">
      <c r="A526" t="s">
        <v>39</v>
      </c>
      <c r="B526">
        <v>31</v>
      </c>
      <c r="P526">
        <v>260</v>
      </c>
      <c r="S526">
        <v>370</v>
      </c>
    </row>
    <row r="527" spans="1:24" x14ac:dyDescent="0.3">
      <c r="A527" t="s">
        <v>695</v>
      </c>
      <c r="B527">
        <v>31</v>
      </c>
      <c r="P527">
        <v>70</v>
      </c>
      <c r="S527">
        <v>165</v>
      </c>
    </row>
    <row r="528" spans="1:24" x14ac:dyDescent="0.3">
      <c r="A528" t="s">
        <v>40</v>
      </c>
      <c r="B528">
        <v>31</v>
      </c>
      <c r="P528">
        <v>1</v>
      </c>
      <c r="S528">
        <v>2</v>
      </c>
    </row>
    <row r="529" spans="1:24" x14ac:dyDescent="0.3">
      <c r="A529" t="s">
        <v>41</v>
      </c>
      <c r="B529">
        <v>31</v>
      </c>
    </row>
    <row r="530" spans="1:24" x14ac:dyDescent="0.3">
      <c r="A530" t="s">
        <v>42</v>
      </c>
      <c r="B530">
        <v>31</v>
      </c>
      <c r="P530">
        <v>25</v>
      </c>
      <c r="T530">
        <v>45</v>
      </c>
      <c r="W530">
        <v>45</v>
      </c>
    </row>
    <row r="531" spans="1:24" x14ac:dyDescent="0.3">
      <c r="A531" t="s">
        <v>45</v>
      </c>
      <c r="B531">
        <v>31</v>
      </c>
      <c r="P531">
        <v>4</v>
      </c>
      <c r="S531">
        <v>5</v>
      </c>
      <c r="T531">
        <v>2</v>
      </c>
      <c r="W531">
        <v>6</v>
      </c>
    </row>
    <row r="532" spans="1:24" x14ac:dyDescent="0.3">
      <c r="A532" t="s">
        <v>46</v>
      </c>
      <c r="B532">
        <v>31</v>
      </c>
      <c r="R532">
        <v>4</v>
      </c>
      <c r="X532">
        <v>6</v>
      </c>
    </row>
    <row r="533" spans="1:24" x14ac:dyDescent="0.3">
      <c r="A533" t="s">
        <v>49</v>
      </c>
      <c r="B533">
        <v>31</v>
      </c>
      <c r="P533">
        <v>7</v>
      </c>
      <c r="R533">
        <v>7</v>
      </c>
      <c r="S533">
        <v>6.7</v>
      </c>
      <c r="T533">
        <v>5.9</v>
      </c>
      <c r="W533">
        <v>6.3</v>
      </c>
      <c r="X533">
        <v>6.3</v>
      </c>
    </row>
    <row r="534" spans="1:24" x14ac:dyDescent="0.3">
      <c r="A534" t="s">
        <v>696</v>
      </c>
      <c r="B534">
        <v>31</v>
      </c>
      <c r="P534">
        <v>0</v>
      </c>
      <c r="R534">
        <v>0</v>
      </c>
      <c r="S534">
        <v>0</v>
      </c>
      <c r="T534">
        <v>0</v>
      </c>
      <c r="W534">
        <v>0</v>
      </c>
      <c r="X534">
        <v>0</v>
      </c>
    </row>
    <row r="535" spans="1:24" x14ac:dyDescent="0.3">
      <c r="A535" t="s">
        <v>48</v>
      </c>
      <c r="B535">
        <v>31</v>
      </c>
      <c r="P535">
        <v>1900</v>
      </c>
      <c r="R535">
        <v>1900</v>
      </c>
      <c r="S535">
        <v>1900</v>
      </c>
      <c r="T535">
        <v>1900</v>
      </c>
      <c r="W535">
        <v>1900</v>
      </c>
      <c r="X535">
        <v>1900</v>
      </c>
    </row>
    <row r="536" spans="1:24" x14ac:dyDescent="0.3">
      <c r="A536" t="s">
        <v>697</v>
      </c>
      <c r="B536">
        <v>31</v>
      </c>
      <c r="P536">
        <v>3433</v>
      </c>
      <c r="R536">
        <v>1583</v>
      </c>
      <c r="S536">
        <v>3433</v>
      </c>
      <c r="T536">
        <v>5085</v>
      </c>
      <c r="W536">
        <v>5085</v>
      </c>
      <c r="X536">
        <v>1583</v>
      </c>
    </row>
    <row r="537" spans="1:24" x14ac:dyDescent="0.3">
      <c r="A537" t="s">
        <v>50</v>
      </c>
      <c r="B537">
        <v>31</v>
      </c>
      <c r="P537">
        <v>3433</v>
      </c>
      <c r="R537">
        <v>1583</v>
      </c>
      <c r="S537">
        <v>3433</v>
      </c>
      <c r="T537">
        <v>5085</v>
      </c>
      <c r="W537">
        <v>5085</v>
      </c>
      <c r="X537">
        <v>1583</v>
      </c>
    </row>
    <row r="538" spans="1:24" x14ac:dyDescent="0.3">
      <c r="A538" t="s">
        <v>698</v>
      </c>
      <c r="B538">
        <v>31</v>
      </c>
      <c r="P538">
        <v>1</v>
      </c>
      <c r="R538">
        <v>1</v>
      </c>
      <c r="S538">
        <v>1</v>
      </c>
      <c r="T538">
        <v>1</v>
      </c>
      <c r="W538">
        <v>1</v>
      </c>
      <c r="X538">
        <v>1</v>
      </c>
    </row>
    <row r="539" spans="1:24" x14ac:dyDescent="0.3">
      <c r="A539" t="s">
        <v>51</v>
      </c>
      <c r="B539">
        <v>31</v>
      </c>
      <c r="P539">
        <v>0</v>
      </c>
      <c r="R539">
        <v>67</v>
      </c>
      <c r="S539">
        <v>0</v>
      </c>
      <c r="T539">
        <v>0</v>
      </c>
      <c r="W539">
        <v>0</v>
      </c>
      <c r="X539">
        <v>30</v>
      </c>
    </row>
    <row r="540" spans="1:24" x14ac:dyDescent="0.3">
      <c r="A540" t="s">
        <v>53</v>
      </c>
      <c r="B540">
        <v>31</v>
      </c>
      <c r="P540">
        <v>59</v>
      </c>
      <c r="R540">
        <v>62</v>
      </c>
      <c r="S540">
        <v>119</v>
      </c>
      <c r="T540">
        <v>906</v>
      </c>
      <c r="W540">
        <v>837</v>
      </c>
      <c r="X540">
        <v>28</v>
      </c>
    </row>
    <row r="541" spans="1:24" x14ac:dyDescent="0.3">
      <c r="A541" t="s">
        <v>54</v>
      </c>
      <c r="B541">
        <v>31</v>
      </c>
      <c r="P541">
        <v>0</v>
      </c>
      <c r="R541">
        <v>0</v>
      </c>
      <c r="S541">
        <v>0</v>
      </c>
      <c r="T541">
        <v>0</v>
      </c>
      <c r="W541">
        <v>0</v>
      </c>
      <c r="X541">
        <v>0</v>
      </c>
    </row>
    <row r="542" spans="1:24" x14ac:dyDescent="0.3">
      <c r="A542" t="s">
        <v>55</v>
      </c>
      <c r="B542">
        <v>31</v>
      </c>
      <c r="P542">
        <v>0</v>
      </c>
      <c r="R542">
        <v>0</v>
      </c>
      <c r="S542">
        <v>0</v>
      </c>
      <c r="T542">
        <v>0</v>
      </c>
      <c r="W542">
        <v>0</v>
      </c>
      <c r="X542">
        <v>0</v>
      </c>
    </row>
    <row r="543" spans="1:24" x14ac:dyDescent="0.3">
      <c r="A543" t="s">
        <v>56</v>
      </c>
      <c r="B543">
        <v>31</v>
      </c>
      <c r="P543">
        <v>0.92</v>
      </c>
      <c r="R543">
        <v>0.92</v>
      </c>
      <c r="S543">
        <v>0.92</v>
      </c>
      <c r="T543">
        <v>0.92</v>
      </c>
      <c r="W543">
        <v>0.92</v>
      </c>
      <c r="X543">
        <v>0.92</v>
      </c>
    </row>
    <row r="544" spans="1:24" x14ac:dyDescent="0.3">
      <c r="A544" t="s">
        <v>57</v>
      </c>
      <c r="B544">
        <v>31</v>
      </c>
      <c r="P544">
        <v>100</v>
      </c>
      <c r="R544">
        <v>100</v>
      </c>
      <c r="S544">
        <v>100</v>
      </c>
      <c r="T544">
        <v>100</v>
      </c>
      <c r="W544">
        <v>100</v>
      </c>
      <c r="X544">
        <v>100</v>
      </c>
    </row>
    <row r="545" spans="1:24" x14ac:dyDescent="0.3">
      <c r="A545" t="s">
        <v>58</v>
      </c>
      <c r="B545">
        <v>31</v>
      </c>
      <c r="P545">
        <v>2</v>
      </c>
      <c r="R545">
        <v>2</v>
      </c>
      <c r="S545">
        <v>2</v>
      </c>
      <c r="T545">
        <v>2</v>
      </c>
      <c r="W545">
        <v>2</v>
      </c>
      <c r="X545">
        <v>2</v>
      </c>
    </row>
    <row r="546" spans="1:24" x14ac:dyDescent="0.3">
      <c r="A546" t="s">
        <v>59</v>
      </c>
      <c r="B546">
        <v>31</v>
      </c>
      <c r="P546">
        <v>0</v>
      </c>
      <c r="R546">
        <v>0</v>
      </c>
      <c r="S546">
        <v>0</v>
      </c>
      <c r="T546">
        <v>0</v>
      </c>
      <c r="W546">
        <v>0</v>
      </c>
      <c r="X546">
        <v>0</v>
      </c>
    </row>
    <row r="547" spans="1:24" x14ac:dyDescent="0.3">
      <c r="A547" t="s">
        <v>699</v>
      </c>
      <c r="B547">
        <v>31</v>
      </c>
      <c r="P547">
        <v>0</v>
      </c>
      <c r="T547">
        <v>0</v>
      </c>
      <c r="W547">
        <v>0</v>
      </c>
    </row>
    <row r="548" spans="1:24" x14ac:dyDescent="0.3">
      <c r="A548" t="s">
        <v>678</v>
      </c>
      <c r="B548">
        <v>31</v>
      </c>
      <c r="P548">
        <v>456</v>
      </c>
      <c r="T548">
        <v>2453</v>
      </c>
      <c r="W548">
        <v>2608</v>
      </c>
    </row>
    <row r="549" spans="1:24" x14ac:dyDescent="0.3">
      <c r="A549" t="s">
        <v>78</v>
      </c>
      <c r="B549">
        <v>31</v>
      </c>
      <c r="P549">
        <v>12.4</v>
      </c>
      <c r="T549">
        <v>37.200000000000003</v>
      </c>
      <c r="W549">
        <v>39.5</v>
      </c>
    </row>
    <row r="550" spans="1:24" x14ac:dyDescent="0.3">
      <c r="A550" t="s">
        <v>700</v>
      </c>
      <c r="B550">
        <v>31</v>
      </c>
      <c r="R550">
        <v>0</v>
      </c>
      <c r="T550">
        <v>0</v>
      </c>
      <c r="X550">
        <v>0</v>
      </c>
    </row>
    <row r="551" spans="1:24" x14ac:dyDescent="0.3">
      <c r="A551" t="s">
        <v>701</v>
      </c>
      <c r="B551">
        <v>31</v>
      </c>
      <c r="P551">
        <v>0</v>
      </c>
      <c r="R551">
        <v>1</v>
      </c>
      <c r="S551">
        <v>0</v>
      </c>
      <c r="T551">
        <v>0</v>
      </c>
      <c r="W551">
        <v>0</v>
      </c>
      <c r="X551">
        <v>1</v>
      </c>
    </row>
    <row r="552" spans="1:24" x14ac:dyDescent="0.3">
      <c r="A552" t="s">
        <v>702</v>
      </c>
      <c r="B552">
        <v>31</v>
      </c>
      <c r="P552">
        <v>0</v>
      </c>
      <c r="R552">
        <v>0</v>
      </c>
      <c r="S552">
        <v>0</v>
      </c>
      <c r="T552">
        <v>0</v>
      </c>
      <c r="W552">
        <v>0</v>
      </c>
      <c r="X552">
        <v>0</v>
      </c>
    </row>
    <row r="553" spans="1:24" x14ac:dyDescent="0.3">
      <c r="A553" t="s">
        <v>52</v>
      </c>
      <c r="B553">
        <v>31</v>
      </c>
      <c r="P553">
        <v>1</v>
      </c>
      <c r="R553">
        <v>1</v>
      </c>
      <c r="S553">
        <v>1</v>
      </c>
      <c r="T553">
        <v>1</v>
      </c>
      <c r="W553">
        <v>1</v>
      </c>
      <c r="X553">
        <v>1</v>
      </c>
    </row>
    <row r="554" spans="1:24" x14ac:dyDescent="0.3">
      <c r="A554" t="s">
        <v>703</v>
      </c>
      <c r="B554">
        <v>31</v>
      </c>
      <c r="P554">
        <v>15</v>
      </c>
      <c r="R554">
        <v>9</v>
      </c>
      <c r="S554">
        <v>15</v>
      </c>
      <c r="T554">
        <v>60</v>
      </c>
      <c r="W554">
        <v>60</v>
      </c>
      <c r="X554">
        <v>9</v>
      </c>
    </row>
    <row r="555" spans="1:24" x14ac:dyDescent="0.3">
      <c r="A555" t="s">
        <v>43</v>
      </c>
      <c r="B555">
        <v>31</v>
      </c>
      <c r="P555">
        <v>20</v>
      </c>
      <c r="R555">
        <v>20</v>
      </c>
      <c r="S555">
        <v>20</v>
      </c>
      <c r="T555">
        <v>100</v>
      </c>
      <c r="W555">
        <v>100</v>
      </c>
      <c r="X555">
        <v>20</v>
      </c>
    </row>
    <row r="556" spans="1:24" x14ac:dyDescent="0.3">
      <c r="A556" t="s">
        <v>44</v>
      </c>
      <c r="B556">
        <v>31</v>
      </c>
      <c r="P556">
        <v>0</v>
      </c>
      <c r="R556">
        <v>0</v>
      </c>
      <c r="S556">
        <v>0</v>
      </c>
      <c r="T556">
        <v>0</v>
      </c>
      <c r="W556">
        <v>0</v>
      </c>
      <c r="X556">
        <v>0</v>
      </c>
    </row>
    <row r="557" spans="1:24" x14ac:dyDescent="0.3">
      <c r="A557" t="s">
        <v>47</v>
      </c>
      <c r="B557">
        <v>31</v>
      </c>
      <c r="P557">
        <v>4</v>
      </c>
      <c r="R557">
        <v>4</v>
      </c>
      <c r="S557">
        <v>5</v>
      </c>
      <c r="T557">
        <v>2</v>
      </c>
      <c r="W557">
        <v>6</v>
      </c>
      <c r="X557">
        <v>6</v>
      </c>
    </row>
    <row r="558" spans="1:24" x14ac:dyDescent="0.3">
      <c r="A558" t="s">
        <v>704</v>
      </c>
      <c r="B558">
        <v>31</v>
      </c>
      <c r="P558">
        <v>0</v>
      </c>
      <c r="R558">
        <v>0</v>
      </c>
      <c r="S558">
        <v>0</v>
      </c>
      <c r="T558">
        <v>0</v>
      </c>
      <c r="W558">
        <v>0</v>
      </c>
      <c r="X558">
        <v>0</v>
      </c>
    </row>
    <row r="559" spans="1:24" x14ac:dyDescent="0.3">
      <c r="A559" t="s">
        <v>705</v>
      </c>
      <c r="B559">
        <v>31</v>
      </c>
      <c r="P559">
        <v>0</v>
      </c>
      <c r="R559">
        <v>0</v>
      </c>
      <c r="S559">
        <v>0</v>
      </c>
      <c r="T559">
        <v>0</v>
      </c>
      <c r="W559">
        <v>0</v>
      </c>
      <c r="X559">
        <v>0</v>
      </c>
    </row>
    <row r="560" spans="1:24" x14ac:dyDescent="0.3">
      <c r="A560" t="s">
        <v>706</v>
      </c>
      <c r="B560">
        <v>31</v>
      </c>
      <c r="P560">
        <v>0</v>
      </c>
      <c r="R560">
        <v>0</v>
      </c>
      <c r="S560">
        <v>0</v>
      </c>
      <c r="T560">
        <v>0</v>
      </c>
      <c r="W560">
        <v>0</v>
      </c>
      <c r="X560">
        <v>0</v>
      </c>
    </row>
    <row r="561" spans="1:24" x14ac:dyDescent="0.3">
      <c r="A561" t="s">
        <v>707</v>
      </c>
      <c r="B561">
        <v>31</v>
      </c>
      <c r="P561">
        <v>0</v>
      </c>
      <c r="R561">
        <v>0</v>
      </c>
      <c r="S561">
        <v>0</v>
      </c>
      <c r="T561">
        <v>0</v>
      </c>
      <c r="W561">
        <v>0</v>
      </c>
      <c r="X561">
        <v>0</v>
      </c>
    </row>
    <row r="562" spans="1:24" x14ac:dyDescent="0.3">
      <c r="A562" t="s">
        <v>708</v>
      </c>
      <c r="B562">
        <v>31</v>
      </c>
      <c r="P562">
        <v>1</v>
      </c>
      <c r="R562">
        <v>1</v>
      </c>
      <c r="S562">
        <v>1</v>
      </c>
      <c r="T562">
        <v>2</v>
      </c>
      <c r="W562">
        <v>2</v>
      </c>
      <c r="X562">
        <v>1</v>
      </c>
    </row>
    <row r="563" spans="1:24" x14ac:dyDescent="0.3">
      <c r="A563" t="s">
        <v>709</v>
      </c>
      <c r="B563">
        <v>31</v>
      </c>
      <c r="P563">
        <v>0</v>
      </c>
      <c r="R563">
        <v>0</v>
      </c>
      <c r="S563">
        <v>0</v>
      </c>
      <c r="T563">
        <v>0</v>
      </c>
      <c r="W563">
        <v>0</v>
      </c>
      <c r="X563">
        <v>0</v>
      </c>
    </row>
    <row r="564" spans="1:24" x14ac:dyDescent="0.3">
      <c r="A564" t="s">
        <v>710</v>
      </c>
      <c r="B564">
        <v>31</v>
      </c>
      <c r="P564">
        <v>20</v>
      </c>
      <c r="R564">
        <v>20</v>
      </c>
      <c r="S564">
        <v>20</v>
      </c>
      <c r="T564">
        <v>6</v>
      </c>
      <c r="W564">
        <v>6</v>
      </c>
      <c r="X564">
        <v>20</v>
      </c>
    </row>
    <row r="565" spans="1:24" x14ac:dyDescent="0.3">
      <c r="A565" t="s">
        <v>711</v>
      </c>
      <c r="B565">
        <v>31</v>
      </c>
      <c r="P565">
        <v>3</v>
      </c>
      <c r="R565">
        <v>3</v>
      </c>
      <c r="S565">
        <v>3</v>
      </c>
      <c r="T565">
        <v>3</v>
      </c>
      <c r="W565">
        <v>3</v>
      </c>
      <c r="X565">
        <v>3</v>
      </c>
    </row>
    <row r="566" spans="1:24" x14ac:dyDescent="0.3">
      <c r="A566" t="s">
        <v>712</v>
      </c>
      <c r="B566">
        <v>31</v>
      </c>
      <c r="P566">
        <v>0</v>
      </c>
      <c r="R566">
        <v>0</v>
      </c>
      <c r="S566">
        <v>0</v>
      </c>
      <c r="T566">
        <v>0</v>
      </c>
      <c r="W566">
        <v>0</v>
      </c>
      <c r="X566">
        <v>0</v>
      </c>
    </row>
    <row r="567" spans="1:24" x14ac:dyDescent="0.3">
      <c r="A567" t="s">
        <v>713</v>
      </c>
      <c r="B567">
        <v>31</v>
      </c>
      <c r="P567">
        <v>0</v>
      </c>
      <c r="R567">
        <v>0</v>
      </c>
      <c r="S567">
        <v>0</v>
      </c>
      <c r="T567">
        <v>0</v>
      </c>
      <c r="W567">
        <v>0</v>
      </c>
      <c r="X567">
        <v>0</v>
      </c>
    </row>
    <row r="568" spans="1:24" x14ac:dyDescent="0.3">
      <c r="A568" t="s">
        <v>714</v>
      </c>
      <c r="B568">
        <v>31</v>
      </c>
      <c r="P568">
        <v>0</v>
      </c>
      <c r="R568">
        <v>0</v>
      </c>
      <c r="S568">
        <v>0</v>
      </c>
      <c r="T568">
        <v>0</v>
      </c>
      <c r="W568">
        <v>0</v>
      </c>
      <c r="X568">
        <v>0</v>
      </c>
    </row>
    <row r="569" spans="1:24" x14ac:dyDescent="0.3">
      <c r="A569" t="s">
        <v>715</v>
      </c>
      <c r="B569">
        <v>31</v>
      </c>
      <c r="T569">
        <v>94</v>
      </c>
      <c r="W569">
        <v>94</v>
      </c>
    </row>
    <row r="570" spans="1:24" x14ac:dyDescent="0.3">
      <c r="A570" t="s">
        <v>716</v>
      </c>
      <c r="B570">
        <v>31</v>
      </c>
      <c r="T570">
        <v>6</v>
      </c>
      <c r="W570">
        <v>6</v>
      </c>
    </row>
    <row r="571" spans="1:24" x14ac:dyDescent="0.3">
      <c r="A571" t="s">
        <v>717</v>
      </c>
      <c r="B571">
        <v>31</v>
      </c>
      <c r="T571">
        <v>3</v>
      </c>
      <c r="W571">
        <v>3</v>
      </c>
    </row>
    <row r="572" spans="1:24" x14ac:dyDescent="0.3">
      <c r="A572" t="s">
        <v>718</v>
      </c>
      <c r="B572">
        <v>31</v>
      </c>
      <c r="T572">
        <v>0</v>
      </c>
      <c r="W572">
        <v>0</v>
      </c>
    </row>
    <row r="573" spans="1:24" x14ac:dyDescent="0.3">
      <c r="A573" t="s">
        <v>719</v>
      </c>
      <c r="B573">
        <v>31</v>
      </c>
      <c r="P573">
        <v>0</v>
      </c>
      <c r="T573">
        <v>0</v>
      </c>
      <c r="W573">
        <v>0</v>
      </c>
    </row>
    <row r="574" spans="1:24" x14ac:dyDescent="0.3">
      <c r="A574" t="s">
        <v>405</v>
      </c>
      <c r="B574">
        <v>31</v>
      </c>
      <c r="P574">
        <v>0</v>
      </c>
    </row>
    <row r="575" spans="1:24" x14ac:dyDescent="0.3">
      <c r="A575" t="s">
        <v>720</v>
      </c>
      <c r="B575">
        <v>31</v>
      </c>
      <c r="P575">
        <v>64</v>
      </c>
      <c r="R575">
        <v>67</v>
      </c>
      <c r="S575">
        <v>129</v>
      </c>
      <c r="T575">
        <v>985</v>
      </c>
      <c r="W575">
        <v>910</v>
      </c>
      <c r="X575">
        <v>30</v>
      </c>
    </row>
    <row r="576" spans="1:24" x14ac:dyDescent="0.3">
      <c r="A576" t="s">
        <v>34</v>
      </c>
      <c r="B576">
        <v>33</v>
      </c>
      <c r="P576">
        <v>35</v>
      </c>
      <c r="R576">
        <v>35</v>
      </c>
      <c r="S576">
        <v>31</v>
      </c>
      <c r="T576">
        <v>31</v>
      </c>
      <c r="W576">
        <v>34</v>
      </c>
      <c r="X576">
        <v>34</v>
      </c>
    </row>
    <row r="577" spans="1:24" x14ac:dyDescent="0.3">
      <c r="A577" t="s">
        <v>35</v>
      </c>
      <c r="B577">
        <v>33</v>
      </c>
      <c r="P577">
        <v>34</v>
      </c>
      <c r="R577">
        <v>31</v>
      </c>
      <c r="S577">
        <v>35</v>
      </c>
      <c r="T577">
        <v>34</v>
      </c>
      <c r="W577">
        <v>31</v>
      </c>
      <c r="X577">
        <v>35</v>
      </c>
    </row>
    <row r="578" spans="1:24" x14ac:dyDescent="0.3">
      <c r="A578" t="s">
        <v>36</v>
      </c>
      <c r="B578">
        <v>33</v>
      </c>
      <c r="P578">
        <v>1</v>
      </c>
      <c r="R578">
        <v>1</v>
      </c>
      <c r="S578">
        <v>1</v>
      </c>
      <c r="T578">
        <v>3</v>
      </c>
      <c r="W578">
        <v>3</v>
      </c>
      <c r="X578">
        <v>1</v>
      </c>
    </row>
    <row r="579" spans="1:24" x14ac:dyDescent="0.3">
      <c r="A579" t="s">
        <v>37</v>
      </c>
      <c r="B579">
        <v>33</v>
      </c>
      <c r="P579">
        <v>0</v>
      </c>
      <c r="S579">
        <v>0</v>
      </c>
      <c r="T579">
        <v>0</v>
      </c>
      <c r="W579">
        <v>0</v>
      </c>
    </row>
    <row r="580" spans="1:24" x14ac:dyDescent="0.3">
      <c r="A580" t="s">
        <v>38</v>
      </c>
      <c r="B580">
        <v>33</v>
      </c>
      <c r="P580">
        <v>12</v>
      </c>
      <c r="R580">
        <v>12</v>
      </c>
      <c r="S580">
        <v>12</v>
      </c>
      <c r="T580">
        <v>12</v>
      </c>
      <c r="W580">
        <v>12</v>
      </c>
      <c r="X580">
        <v>12</v>
      </c>
    </row>
    <row r="581" spans="1:24" x14ac:dyDescent="0.3">
      <c r="A581" t="s">
        <v>39</v>
      </c>
      <c r="B581">
        <v>33</v>
      </c>
      <c r="P581">
        <v>115</v>
      </c>
      <c r="S581">
        <v>520</v>
      </c>
      <c r="X581">
        <v>360</v>
      </c>
    </row>
    <row r="582" spans="1:24" x14ac:dyDescent="0.3">
      <c r="A582" t="s">
        <v>695</v>
      </c>
      <c r="B582">
        <v>33</v>
      </c>
      <c r="P582">
        <v>25</v>
      </c>
      <c r="S582">
        <v>160</v>
      </c>
      <c r="X582">
        <v>145</v>
      </c>
    </row>
    <row r="583" spans="1:24" x14ac:dyDescent="0.3">
      <c r="A583" t="s">
        <v>40</v>
      </c>
      <c r="B583">
        <v>33</v>
      </c>
      <c r="P583">
        <v>1</v>
      </c>
      <c r="S583">
        <v>1</v>
      </c>
      <c r="X583">
        <v>1</v>
      </c>
    </row>
    <row r="584" spans="1:24" x14ac:dyDescent="0.3">
      <c r="A584" t="s">
        <v>41</v>
      </c>
      <c r="B584">
        <v>33</v>
      </c>
    </row>
    <row r="585" spans="1:24" x14ac:dyDescent="0.3">
      <c r="A585" t="s">
        <v>42</v>
      </c>
      <c r="B585">
        <v>33</v>
      </c>
      <c r="P585">
        <v>25</v>
      </c>
      <c r="T585">
        <v>45</v>
      </c>
      <c r="W585">
        <v>45</v>
      </c>
    </row>
    <row r="586" spans="1:24" x14ac:dyDescent="0.3">
      <c r="A586" t="s">
        <v>45</v>
      </c>
      <c r="B586">
        <v>33</v>
      </c>
      <c r="P586">
        <v>4</v>
      </c>
      <c r="S586">
        <v>5</v>
      </c>
      <c r="T586">
        <v>2</v>
      </c>
      <c r="W586">
        <v>6</v>
      </c>
    </row>
    <row r="587" spans="1:24" x14ac:dyDescent="0.3">
      <c r="A587" t="s">
        <v>46</v>
      </c>
      <c r="B587">
        <v>33</v>
      </c>
      <c r="R587">
        <v>4</v>
      </c>
      <c r="S587">
        <v>2</v>
      </c>
      <c r="X587">
        <v>6</v>
      </c>
    </row>
    <row r="588" spans="1:24" x14ac:dyDescent="0.3">
      <c r="A588" t="s">
        <v>49</v>
      </c>
      <c r="B588">
        <v>33</v>
      </c>
      <c r="P588">
        <v>7</v>
      </c>
      <c r="R588">
        <v>7</v>
      </c>
      <c r="S588">
        <v>5.8</v>
      </c>
      <c r="T588">
        <v>5.7</v>
      </c>
      <c r="W588">
        <v>6.1</v>
      </c>
      <c r="X588">
        <v>6.1</v>
      </c>
    </row>
    <row r="589" spans="1:24" x14ac:dyDescent="0.3">
      <c r="A589" t="s">
        <v>696</v>
      </c>
      <c r="B589">
        <v>33</v>
      </c>
      <c r="P589">
        <v>0</v>
      </c>
      <c r="R589">
        <v>0</v>
      </c>
      <c r="S589">
        <v>0</v>
      </c>
      <c r="T589">
        <v>0</v>
      </c>
      <c r="W589">
        <v>0</v>
      </c>
      <c r="X589">
        <v>0</v>
      </c>
    </row>
    <row r="590" spans="1:24" x14ac:dyDescent="0.3">
      <c r="A590" t="s">
        <v>48</v>
      </c>
      <c r="B590">
        <v>33</v>
      </c>
      <c r="P590">
        <v>1900</v>
      </c>
      <c r="R590">
        <v>1900</v>
      </c>
      <c r="S590">
        <v>1900</v>
      </c>
      <c r="T590">
        <v>1900</v>
      </c>
      <c r="W590">
        <v>1900</v>
      </c>
      <c r="X590">
        <v>1900</v>
      </c>
    </row>
    <row r="591" spans="1:24" x14ac:dyDescent="0.3">
      <c r="A591" t="s">
        <v>697</v>
      </c>
      <c r="B591">
        <v>33</v>
      </c>
      <c r="P591">
        <v>1770</v>
      </c>
      <c r="R591">
        <v>1583</v>
      </c>
      <c r="S591">
        <v>1770</v>
      </c>
      <c r="T591">
        <v>5085</v>
      </c>
      <c r="W591">
        <v>5085</v>
      </c>
      <c r="X591">
        <v>1583</v>
      </c>
    </row>
    <row r="592" spans="1:24" x14ac:dyDescent="0.3">
      <c r="A592" t="s">
        <v>50</v>
      </c>
      <c r="B592">
        <v>33</v>
      </c>
      <c r="P592">
        <v>1770</v>
      </c>
      <c r="R592">
        <v>1583</v>
      </c>
      <c r="S592">
        <v>531</v>
      </c>
      <c r="T592">
        <v>5085</v>
      </c>
      <c r="W592">
        <v>5085</v>
      </c>
      <c r="X592">
        <v>1583</v>
      </c>
    </row>
    <row r="593" spans="1:24" x14ac:dyDescent="0.3">
      <c r="A593" t="s">
        <v>698</v>
      </c>
      <c r="B593">
        <v>33</v>
      </c>
      <c r="P593">
        <v>1</v>
      </c>
      <c r="R593">
        <v>1</v>
      </c>
      <c r="S593">
        <v>1</v>
      </c>
      <c r="T593">
        <v>1</v>
      </c>
      <c r="W593">
        <v>1</v>
      </c>
      <c r="X593">
        <v>1</v>
      </c>
    </row>
    <row r="594" spans="1:24" x14ac:dyDescent="0.3">
      <c r="A594" t="s">
        <v>51</v>
      </c>
      <c r="B594">
        <v>33</v>
      </c>
      <c r="P594">
        <v>0</v>
      </c>
      <c r="R594">
        <v>99</v>
      </c>
      <c r="S594">
        <v>0</v>
      </c>
      <c r="T594">
        <v>0</v>
      </c>
      <c r="W594">
        <v>0</v>
      </c>
      <c r="X594">
        <v>38</v>
      </c>
    </row>
    <row r="595" spans="1:24" x14ac:dyDescent="0.3">
      <c r="A595" t="s">
        <v>53</v>
      </c>
      <c r="B595">
        <v>33</v>
      </c>
      <c r="P595">
        <v>56</v>
      </c>
      <c r="R595">
        <v>91</v>
      </c>
      <c r="S595">
        <v>86</v>
      </c>
      <c r="T595">
        <v>887</v>
      </c>
      <c r="W595">
        <v>823</v>
      </c>
      <c r="X595">
        <v>35</v>
      </c>
    </row>
    <row r="596" spans="1:24" x14ac:dyDescent="0.3">
      <c r="A596" t="s">
        <v>54</v>
      </c>
      <c r="B596">
        <v>33</v>
      </c>
      <c r="P596">
        <v>0</v>
      </c>
      <c r="R596">
        <v>0</v>
      </c>
      <c r="S596">
        <v>0</v>
      </c>
      <c r="T596">
        <v>0</v>
      </c>
      <c r="W596">
        <v>0</v>
      </c>
      <c r="X596">
        <v>0</v>
      </c>
    </row>
    <row r="597" spans="1:24" x14ac:dyDescent="0.3">
      <c r="A597" t="s">
        <v>55</v>
      </c>
      <c r="B597">
        <v>33</v>
      </c>
      <c r="P597">
        <v>0</v>
      </c>
      <c r="R597">
        <v>0</v>
      </c>
      <c r="S597">
        <v>0</v>
      </c>
      <c r="T597">
        <v>0</v>
      </c>
      <c r="W597">
        <v>0</v>
      </c>
      <c r="X597">
        <v>0</v>
      </c>
    </row>
    <row r="598" spans="1:24" x14ac:dyDescent="0.3">
      <c r="A598" t="s">
        <v>56</v>
      </c>
      <c r="B598">
        <v>33</v>
      </c>
      <c r="P598">
        <v>0.92</v>
      </c>
      <c r="R598">
        <v>0.92</v>
      </c>
      <c r="S598">
        <v>0.92</v>
      </c>
      <c r="T598">
        <v>0.92</v>
      </c>
      <c r="W598">
        <v>0.92</v>
      </c>
      <c r="X598">
        <v>0.92</v>
      </c>
    </row>
    <row r="599" spans="1:24" x14ac:dyDescent="0.3">
      <c r="A599" t="s">
        <v>57</v>
      </c>
      <c r="B599">
        <v>33</v>
      </c>
      <c r="P599">
        <v>100</v>
      </c>
      <c r="R599">
        <v>100</v>
      </c>
      <c r="S599">
        <v>100</v>
      </c>
      <c r="T599">
        <v>100</v>
      </c>
      <c r="W599">
        <v>100</v>
      </c>
      <c r="X599">
        <v>100</v>
      </c>
    </row>
    <row r="600" spans="1:24" x14ac:dyDescent="0.3">
      <c r="A600" t="s">
        <v>58</v>
      </c>
      <c r="B600">
        <v>33</v>
      </c>
      <c r="P600">
        <v>2</v>
      </c>
      <c r="R600">
        <v>2</v>
      </c>
      <c r="S600">
        <v>2</v>
      </c>
      <c r="T600">
        <v>2</v>
      </c>
      <c r="W600">
        <v>2</v>
      </c>
      <c r="X600">
        <v>2</v>
      </c>
    </row>
    <row r="601" spans="1:24" x14ac:dyDescent="0.3">
      <c r="A601" t="s">
        <v>59</v>
      </c>
      <c r="B601">
        <v>33</v>
      </c>
      <c r="P601">
        <v>0</v>
      </c>
      <c r="R601">
        <v>0</v>
      </c>
      <c r="S601">
        <v>0</v>
      </c>
      <c r="T601">
        <v>0</v>
      </c>
      <c r="W601">
        <v>0</v>
      </c>
      <c r="X601">
        <v>0</v>
      </c>
    </row>
    <row r="602" spans="1:24" x14ac:dyDescent="0.3">
      <c r="A602" t="s">
        <v>699</v>
      </c>
      <c r="B602">
        <v>33</v>
      </c>
      <c r="P602">
        <v>0</v>
      </c>
      <c r="T602">
        <v>0</v>
      </c>
      <c r="W602">
        <v>0</v>
      </c>
    </row>
    <row r="603" spans="1:24" x14ac:dyDescent="0.3">
      <c r="A603" t="s">
        <v>678</v>
      </c>
      <c r="B603">
        <v>33</v>
      </c>
      <c r="P603">
        <v>375</v>
      </c>
      <c r="T603">
        <v>2608</v>
      </c>
      <c r="W603">
        <v>1440</v>
      </c>
    </row>
    <row r="604" spans="1:24" x14ac:dyDescent="0.3">
      <c r="A604" t="s">
        <v>78</v>
      </c>
      <c r="B604">
        <v>33</v>
      </c>
      <c r="P604">
        <v>10.199999999999999</v>
      </c>
      <c r="T604">
        <v>39.5</v>
      </c>
      <c r="W604">
        <v>21.8</v>
      </c>
    </row>
    <row r="605" spans="1:24" x14ac:dyDescent="0.3">
      <c r="A605" t="s">
        <v>700</v>
      </c>
      <c r="B605">
        <v>33</v>
      </c>
      <c r="R605">
        <v>0</v>
      </c>
      <c r="T605">
        <v>0</v>
      </c>
      <c r="X605">
        <v>0</v>
      </c>
    </row>
    <row r="606" spans="1:24" x14ac:dyDescent="0.3">
      <c r="A606" t="s">
        <v>701</v>
      </c>
      <c r="B606">
        <v>33</v>
      </c>
      <c r="P606">
        <v>0</v>
      </c>
      <c r="R606">
        <v>1</v>
      </c>
      <c r="S606">
        <v>0</v>
      </c>
      <c r="T606">
        <v>0</v>
      </c>
      <c r="W606">
        <v>0</v>
      </c>
      <c r="X606">
        <v>1</v>
      </c>
    </row>
    <row r="607" spans="1:24" x14ac:dyDescent="0.3">
      <c r="A607" t="s">
        <v>702</v>
      </c>
      <c r="B607">
        <v>33</v>
      </c>
      <c r="P607">
        <v>0</v>
      </c>
      <c r="R607">
        <v>0</v>
      </c>
      <c r="S607">
        <v>0</v>
      </c>
      <c r="T607">
        <v>0</v>
      </c>
      <c r="W607">
        <v>0</v>
      </c>
      <c r="X607">
        <v>0</v>
      </c>
    </row>
    <row r="608" spans="1:24" x14ac:dyDescent="0.3">
      <c r="A608" t="s">
        <v>52</v>
      </c>
      <c r="B608">
        <v>33</v>
      </c>
      <c r="P608">
        <v>1</v>
      </c>
      <c r="R608">
        <v>1</v>
      </c>
      <c r="S608">
        <v>1</v>
      </c>
      <c r="T608">
        <v>1</v>
      </c>
      <c r="W608">
        <v>1</v>
      </c>
      <c r="X608">
        <v>1</v>
      </c>
    </row>
    <row r="609" spans="1:24" x14ac:dyDescent="0.3">
      <c r="A609" t="s">
        <v>703</v>
      </c>
      <c r="B609">
        <v>33</v>
      </c>
      <c r="P609">
        <v>15</v>
      </c>
      <c r="R609">
        <v>9</v>
      </c>
      <c r="S609">
        <v>15</v>
      </c>
      <c r="T609">
        <v>60</v>
      </c>
      <c r="W609">
        <v>60</v>
      </c>
      <c r="X609">
        <v>9</v>
      </c>
    </row>
    <row r="610" spans="1:24" x14ac:dyDescent="0.3">
      <c r="A610" t="s">
        <v>43</v>
      </c>
      <c r="B610">
        <v>33</v>
      </c>
      <c r="P610">
        <v>20</v>
      </c>
      <c r="R610">
        <v>20</v>
      </c>
      <c r="S610">
        <v>20</v>
      </c>
      <c r="T610">
        <v>100</v>
      </c>
      <c r="W610">
        <v>100</v>
      </c>
      <c r="X610">
        <v>20</v>
      </c>
    </row>
    <row r="611" spans="1:24" x14ac:dyDescent="0.3">
      <c r="A611" t="s">
        <v>44</v>
      </c>
      <c r="B611">
        <v>33</v>
      </c>
      <c r="P611">
        <v>0</v>
      </c>
      <c r="R611">
        <v>0</v>
      </c>
      <c r="S611">
        <v>0</v>
      </c>
      <c r="T611">
        <v>0</v>
      </c>
      <c r="W611">
        <v>0</v>
      </c>
      <c r="X611">
        <v>0</v>
      </c>
    </row>
    <row r="612" spans="1:24" x14ac:dyDescent="0.3">
      <c r="A612" t="s">
        <v>47</v>
      </c>
      <c r="B612">
        <v>33</v>
      </c>
      <c r="P612">
        <v>4</v>
      </c>
      <c r="R612">
        <v>4</v>
      </c>
      <c r="S612">
        <v>5</v>
      </c>
      <c r="T612">
        <v>2</v>
      </c>
      <c r="W612">
        <v>6</v>
      </c>
      <c r="X612">
        <v>6</v>
      </c>
    </row>
    <row r="613" spans="1:24" x14ac:dyDescent="0.3">
      <c r="A613" t="s">
        <v>704</v>
      </c>
      <c r="B613">
        <v>33</v>
      </c>
      <c r="P613">
        <v>0</v>
      </c>
      <c r="R613">
        <v>0</v>
      </c>
      <c r="S613">
        <v>0</v>
      </c>
      <c r="T613">
        <v>0</v>
      </c>
      <c r="W613">
        <v>0</v>
      </c>
      <c r="X613">
        <v>0</v>
      </c>
    </row>
    <row r="614" spans="1:24" x14ac:dyDescent="0.3">
      <c r="A614" t="s">
        <v>705</v>
      </c>
      <c r="B614">
        <v>33</v>
      </c>
      <c r="P614">
        <v>0</v>
      </c>
      <c r="R614">
        <v>0</v>
      </c>
      <c r="S614">
        <v>0</v>
      </c>
      <c r="T614">
        <v>0</v>
      </c>
      <c r="W614">
        <v>0</v>
      </c>
      <c r="X614">
        <v>0</v>
      </c>
    </row>
    <row r="615" spans="1:24" x14ac:dyDescent="0.3">
      <c r="A615" t="s">
        <v>706</v>
      </c>
      <c r="B615">
        <v>33</v>
      </c>
      <c r="P615">
        <v>0</v>
      </c>
      <c r="R615">
        <v>0</v>
      </c>
      <c r="S615">
        <v>0</v>
      </c>
      <c r="T615">
        <v>0</v>
      </c>
      <c r="W615">
        <v>0</v>
      </c>
      <c r="X615">
        <v>0</v>
      </c>
    </row>
    <row r="616" spans="1:24" x14ac:dyDescent="0.3">
      <c r="A616" t="s">
        <v>707</v>
      </c>
      <c r="B616">
        <v>33</v>
      </c>
      <c r="P616">
        <v>0</v>
      </c>
      <c r="R616">
        <v>0</v>
      </c>
      <c r="S616">
        <v>0</v>
      </c>
      <c r="T616">
        <v>0</v>
      </c>
      <c r="W616">
        <v>0</v>
      </c>
      <c r="X616">
        <v>0</v>
      </c>
    </row>
    <row r="617" spans="1:24" x14ac:dyDescent="0.3">
      <c r="A617" t="s">
        <v>708</v>
      </c>
      <c r="B617">
        <v>33</v>
      </c>
      <c r="P617">
        <v>1</v>
      </c>
      <c r="R617">
        <v>1</v>
      </c>
      <c r="S617">
        <v>1</v>
      </c>
      <c r="T617">
        <v>2</v>
      </c>
      <c r="W617">
        <v>2</v>
      </c>
      <c r="X617">
        <v>1</v>
      </c>
    </row>
    <row r="618" spans="1:24" x14ac:dyDescent="0.3">
      <c r="A618" t="s">
        <v>709</v>
      </c>
      <c r="B618">
        <v>33</v>
      </c>
      <c r="P618">
        <v>0</v>
      </c>
      <c r="R618">
        <v>0</v>
      </c>
      <c r="S618">
        <v>0</v>
      </c>
      <c r="T618">
        <v>0</v>
      </c>
      <c r="W618">
        <v>0</v>
      </c>
      <c r="X618">
        <v>0</v>
      </c>
    </row>
    <row r="619" spans="1:24" x14ac:dyDescent="0.3">
      <c r="A619" t="s">
        <v>710</v>
      </c>
      <c r="B619">
        <v>33</v>
      </c>
      <c r="P619">
        <v>20</v>
      </c>
      <c r="R619">
        <v>20</v>
      </c>
      <c r="S619">
        <v>20</v>
      </c>
      <c r="T619">
        <v>6</v>
      </c>
      <c r="W619">
        <v>6</v>
      </c>
      <c r="X619">
        <v>20</v>
      </c>
    </row>
    <row r="620" spans="1:24" x14ac:dyDescent="0.3">
      <c r="A620" t="s">
        <v>711</v>
      </c>
      <c r="B620">
        <v>33</v>
      </c>
      <c r="P620">
        <v>3</v>
      </c>
      <c r="R620">
        <v>3</v>
      </c>
      <c r="S620">
        <v>3</v>
      </c>
      <c r="T620">
        <v>3</v>
      </c>
      <c r="W620">
        <v>3</v>
      </c>
      <c r="X620">
        <v>3</v>
      </c>
    </row>
    <row r="621" spans="1:24" x14ac:dyDescent="0.3">
      <c r="A621" t="s">
        <v>712</v>
      </c>
      <c r="B621">
        <v>33</v>
      </c>
      <c r="P621">
        <v>0</v>
      </c>
      <c r="R621">
        <v>0</v>
      </c>
      <c r="S621">
        <v>0</v>
      </c>
      <c r="T621">
        <v>0</v>
      </c>
      <c r="W621">
        <v>0</v>
      </c>
      <c r="X621">
        <v>0</v>
      </c>
    </row>
    <row r="622" spans="1:24" x14ac:dyDescent="0.3">
      <c r="A622" t="s">
        <v>713</v>
      </c>
      <c r="B622">
        <v>33</v>
      </c>
      <c r="P622">
        <v>0</v>
      </c>
      <c r="R622">
        <v>0</v>
      </c>
      <c r="S622">
        <v>0</v>
      </c>
      <c r="T622">
        <v>0</v>
      </c>
      <c r="W622">
        <v>0</v>
      </c>
      <c r="X622">
        <v>0</v>
      </c>
    </row>
    <row r="623" spans="1:24" x14ac:dyDescent="0.3">
      <c r="A623" t="s">
        <v>714</v>
      </c>
      <c r="B623">
        <v>33</v>
      </c>
      <c r="P623">
        <v>0</v>
      </c>
      <c r="R623">
        <v>0</v>
      </c>
      <c r="S623">
        <v>0</v>
      </c>
      <c r="T623">
        <v>0</v>
      </c>
      <c r="W623">
        <v>0</v>
      </c>
      <c r="X623">
        <v>0</v>
      </c>
    </row>
    <row r="624" spans="1:24" x14ac:dyDescent="0.3">
      <c r="A624" t="s">
        <v>715</v>
      </c>
      <c r="B624">
        <v>33</v>
      </c>
      <c r="T624">
        <v>94</v>
      </c>
      <c r="W624">
        <v>94</v>
      </c>
    </row>
    <row r="625" spans="1:27" x14ac:dyDescent="0.3">
      <c r="A625" t="s">
        <v>716</v>
      </c>
      <c r="B625">
        <v>33</v>
      </c>
      <c r="T625">
        <v>6</v>
      </c>
      <c r="W625">
        <v>6</v>
      </c>
    </row>
    <row r="626" spans="1:27" x14ac:dyDescent="0.3">
      <c r="A626" t="s">
        <v>717</v>
      </c>
      <c r="B626">
        <v>33</v>
      </c>
      <c r="T626">
        <v>3</v>
      </c>
      <c r="W626">
        <v>3</v>
      </c>
    </row>
    <row r="627" spans="1:27" x14ac:dyDescent="0.3">
      <c r="A627" t="s">
        <v>718</v>
      </c>
      <c r="B627">
        <v>33</v>
      </c>
      <c r="T627">
        <v>0</v>
      </c>
      <c r="W627">
        <v>0</v>
      </c>
    </row>
    <row r="628" spans="1:27" x14ac:dyDescent="0.3">
      <c r="A628" t="s">
        <v>719</v>
      </c>
      <c r="B628">
        <v>33</v>
      </c>
      <c r="P628">
        <v>0</v>
      </c>
      <c r="T628">
        <v>0</v>
      </c>
      <c r="W628">
        <v>0</v>
      </c>
    </row>
    <row r="629" spans="1:27" x14ac:dyDescent="0.3">
      <c r="A629" t="s">
        <v>405</v>
      </c>
      <c r="B629">
        <v>33</v>
      </c>
      <c r="P629">
        <v>0</v>
      </c>
    </row>
    <row r="630" spans="1:27" x14ac:dyDescent="0.3">
      <c r="A630" t="s">
        <v>720</v>
      </c>
      <c r="B630">
        <v>33</v>
      </c>
      <c r="P630">
        <v>61</v>
      </c>
      <c r="R630">
        <v>99</v>
      </c>
      <c r="S630">
        <v>93</v>
      </c>
      <c r="T630">
        <v>964</v>
      </c>
      <c r="W630">
        <v>895</v>
      </c>
      <c r="X630">
        <v>38</v>
      </c>
    </row>
    <row r="631" spans="1:27" x14ac:dyDescent="0.3">
      <c r="A631" t="s">
        <v>34</v>
      </c>
      <c r="B631">
        <v>34</v>
      </c>
      <c r="P631">
        <v>37</v>
      </c>
      <c r="Q631">
        <v>37</v>
      </c>
      <c r="R631">
        <v>37</v>
      </c>
      <c r="S631">
        <v>33</v>
      </c>
      <c r="T631">
        <v>33</v>
      </c>
      <c r="U631">
        <v>33</v>
      </c>
      <c r="V631">
        <v>36</v>
      </c>
      <c r="W631">
        <v>36</v>
      </c>
      <c r="X631">
        <v>36</v>
      </c>
      <c r="Y631">
        <v>38</v>
      </c>
      <c r="Z631">
        <v>38</v>
      </c>
      <c r="AA631">
        <v>38</v>
      </c>
    </row>
    <row r="632" spans="1:27" x14ac:dyDescent="0.3">
      <c r="A632" t="s">
        <v>35</v>
      </c>
      <c r="B632">
        <v>34</v>
      </c>
      <c r="P632">
        <v>36</v>
      </c>
      <c r="Q632">
        <v>38</v>
      </c>
      <c r="R632">
        <v>33</v>
      </c>
      <c r="S632">
        <v>37</v>
      </c>
      <c r="T632">
        <v>36</v>
      </c>
      <c r="U632">
        <v>38</v>
      </c>
      <c r="V632">
        <v>38</v>
      </c>
      <c r="W632">
        <v>33</v>
      </c>
      <c r="X632">
        <v>37</v>
      </c>
      <c r="Y632">
        <v>33</v>
      </c>
      <c r="Z632">
        <v>37</v>
      </c>
      <c r="AA632">
        <v>36</v>
      </c>
    </row>
    <row r="633" spans="1:27" x14ac:dyDescent="0.3">
      <c r="A633" t="s">
        <v>36</v>
      </c>
      <c r="B633">
        <v>34</v>
      </c>
      <c r="P633">
        <v>1</v>
      </c>
      <c r="Q633">
        <v>2</v>
      </c>
      <c r="R633">
        <v>1</v>
      </c>
      <c r="S633">
        <v>2</v>
      </c>
      <c r="T633">
        <v>3</v>
      </c>
      <c r="U633">
        <v>1</v>
      </c>
      <c r="V633">
        <v>2</v>
      </c>
      <c r="W633">
        <v>3</v>
      </c>
      <c r="X633">
        <v>1</v>
      </c>
      <c r="Y633">
        <v>2</v>
      </c>
      <c r="Z633">
        <v>2</v>
      </c>
      <c r="AA633">
        <v>0</v>
      </c>
    </row>
    <row r="634" spans="1:27" x14ac:dyDescent="0.3">
      <c r="A634" t="s">
        <v>37</v>
      </c>
      <c r="B634">
        <v>34</v>
      </c>
      <c r="P634">
        <v>0</v>
      </c>
      <c r="Q634">
        <v>0</v>
      </c>
      <c r="S634">
        <v>0</v>
      </c>
      <c r="T634">
        <v>0</v>
      </c>
      <c r="V634">
        <v>0</v>
      </c>
      <c r="W634">
        <v>0</v>
      </c>
      <c r="Y634">
        <v>0</v>
      </c>
      <c r="Z634">
        <v>2</v>
      </c>
    </row>
    <row r="635" spans="1:27" x14ac:dyDescent="0.3">
      <c r="A635" t="s">
        <v>38</v>
      </c>
      <c r="B635">
        <v>34</v>
      </c>
      <c r="P635">
        <v>12</v>
      </c>
      <c r="Q635">
        <v>12</v>
      </c>
      <c r="R635">
        <v>12</v>
      </c>
      <c r="S635">
        <v>12</v>
      </c>
      <c r="T635">
        <v>12</v>
      </c>
      <c r="U635">
        <v>12</v>
      </c>
      <c r="V635">
        <v>12</v>
      </c>
      <c r="W635">
        <v>12</v>
      </c>
      <c r="X635">
        <v>12</v>
      </c>
      <c r="Y635">
        <v>12</v>
      </c>
      <c r="Z635">
        <v>12</v>
      </c>
      <c r="AA635">
        <v>12</v>
      </c>
    </row>
    <row r="636" spans="1:27" x14ac:dyDescent="0.3">
      <c r="A636" t="s">
        <v>39</v>
      </c>
      <c r="B636">
        <v>34</v>
      </c>
      <c r="P636">
        <v>170</v>
      </c>
      <c r="S636">
        <v>500</v>
      </c>
      <c r="U636">
        <v>310</v>
      </c>
      <c r="V636">
        <v>290</v>
      </c>
      <c r="X636">
        <v>840</v>
      </c>
      <c r="Y636">
        <v>340</v>
      </c>
    </row>
    <row r="637" spans="1:27" x14ac:dyDescent="0.3">
      <c r="A637" t="s">
        <v>695</v>
      </c>
      <c r="B637">
        <v>34</v>
      </c>
      <c r="P637">
        <v>95</v>
      </c>
      <c r="S637">
        <v>170</v>
      </c>
      <c r="U637">
        <v>110</v>
      </c>
      <c r="V637">
        <v>125</v>
      </c>
      <c r="X637">
        <v>90</v>
      </c>
      <c r="Y637">
        <v>90</v>
      </c>
    </row>
    <row r="638" spans="1:27" x14ac:dyDescent="0.3">
      <c r="A638" t="s">
        <v>40</v>
      </c>
      <c r="B638">
        <v>34</v>
      </c>
      <c r="P638">
        <v>1</v>
      </c>
      <c r="S638">
        <v>2</v>
      </c>
      <c r="U638">
        <v>1</v>
      </c>
      <c r="V638">
        <v>2</v>
      </c>
      <c r="X638">
        <v>1</v>
      </c>
      <c r="Y638">
        <v>1</v>
      </c>
    </row>
    <row r="639" spans="1:27" x14ac:dyDescent="0.3">
      <c r="A639" t="s">
        <v>41</v>
      </c>
      <c r="B639">
        <v>34</v>
      </c>
    </row>
    <row r="640" spans="1:27" x14ac:dyDescent="0.3">
      <c r="A640" t="s">
        <v>42</v>
      </c>
      <c r="B640">
        <v>34</v>
      </c>
      <c r="Q640">
        <v>35</v>
      </c>
      <c r="T640">
        <v>45</v>
      </c>
      <c r="W640">
        <v>45</v>
      </c>
      <c r="Z640">
        <v>35</v>
      </c>
    </row>
    <row r="641" spans="1:27" x14ac:dyDescent="0.3">
      <c r="A641" t="s">
        <v>45</v>
      </c>
      <c r="B641">
        <v>34</v>
      </c>
      <c r="P641">
        <v>3</v>
      </c>
      <c r="Q641">
        <v>8</v>
      </c>
      <c r="S641">
        <v>5</v>
      </c>
      <c r="T641">
        <v>2</v>
      </c>
      <c r="V641">
        <v>1</v>
      </c>
      <c r="W641">
        <v>6</v>
      </c>
      <c r="Y641">
        <v>7</v>
      </c>
      <c r="Z641">
        <v>4</v>
      </c>
    </row>
    <row r="642" spans="1:27" x14ac:dyDescent="0.3">
      <c r="A642" t="s">
        <v>46</v>
      </c>
      <c r="B642">
        <v>34</v>
      </c>
      <c r="R642">
        <v>8</v>
      </c>
      <c r="U642">
        <v>2</v>
      </c>
      <c r="X642">
        <v>6</v>
      </c>
    </row>
    <row r="643" spans="1:27" x14ac:dyDescent="0.3">
      <c r="A643" t="s">
        <v>49</v>
      </c>
      <c r="B643">
        <v>34</v>
      </c>
      <c r="P643">
        <v>7.7</v>
      </c>
      <c r="Q643">
        <v>6.9</v>
      </c>
      <c r="R643">
        <v>6.9</v>
      </c>
      <c r="S643">
        <v>7.7</v>
      </c>
      <c r="T643">
        <v>6.7</v>
      </c>
      <c r="U643">
        <v>6.7</v>
      </c>
      <c r="V643">
        <v>7.7</v>
      </c>
      <c r="W643">
        <v>6.4</v>
      </c>
      <c r="X643">
        <v>6.4</v>
      </c>
      <c r="Y643">
        <v>7.7</v>
      </c>
      <c r="Z643">
        <v>6.7</v>
      </c>
      <c r="AA643">
        <v>4</v>
      </c>
    </row>
    <row r="644" spans="1:27" x14ac:dyDescent="0.3">
      <c r="A644" t="s">
        <v>696</v>
      </c>
      <c r="B644">
        <v>34</v>
      </c>
      <c r="P644">
        <v>0</v>
      </c>
      <c r="Q644">
        <v>0</v>
      </c>
      <c r="R644">
        <v>0</v>
      </c>
      <c r="S644">
        <v>0</v>
      </c>
      <c r="T644">
        <v>0</v>
      </c>
      <c r="U644">
        <v>0</v>
      </c>
      <c r="V644">
        <v>0</v>
      </c>
      <c r="W644">
        <v>0</v>
      </c>
      <c r="X644">
        <v>0</v>
      </c>
      <c r="Y644">
        <v>0</v>
      </c>
      <c r="Z644">
        <v>0</v>
      </c>
      <c r="AA644">
        <v>0</v>
      </c>
    </row>
    <row r="645" spans="1:27" x14ac:dyDescent="0.3">
      <c r="A645" t="s">
        <v>48</v>
      </c>
      <c r="B645">
        <v>34</v>
      </c>
      <c r="P645">
        <v>1900</v>
      </c>
      <c r="Q645">
        <v>1900</v>
      </c>
      <c r="R645">
        <v>1900</v>
      </c>
      <c r="S645">
        <v>1900</v>
      </c>
      <c r="T645">
        <v>1900</v>
      </c>
      <c r="U645">
        <v>1900</v>
      </c>
      <c r="V645">
        <v>1900</v>
      </c>
      <c r="W645">
        <v>1900</v>
      </c>
      <c r="X645">
        <v>1900</v>
      </c>
      <c r="Y645">
        <v>1900</v>
      </c>
      <c r="Z645">
        <v>1900</v>
      </c>
      <c r="AA645">
        <v>1900</v>
      </c>
    </row>
    <row r="646" spans="1:27" x14ac:dyDescent="0.3">
      <c r="A646" t="s">
        <v>697</v>
      </c>
      <c r="B646">
        <v>34</v>
      </c>
      <c r="P646">
        <v>1770</v>
      </c>
      <c r="Q646">
        <v>3539</v>
      </c>
      <c r="R646">
        <v>1583</v>
      </c>
      <c r="S646">
        <v>3433</v>
      </c>
      <c r="T646">
        <v>5085</v>
      </c>
      <c r="U646">
        <v>1583</v>
      </c>
      <c r="V646">
        <v>3433</v>
      </c>
      <c r="W646">
        <v>5085</v>
      </c>
      <c r="X646">
        <v>1583</v>
      </c>
      <c r="Y646">
        <v>3433</v>
      </c>
      <c r="Z646">
        <v>3426</v>
      </c>
      <c r="AA646">
        <v>0</v>
      </c>
    </row>
    <row r="647" spans="1:27" x14ac:dyDescent="0.3">
      <c r="A647" t="s">
        <v>50</v>
      </c>
      <c r="B647">
        <v>34</v>
      </c>
      <c r="P647">
        <v>1770</v>
      </c>
      <c r="Q647">
        <v>3539</v>
      </c>
      <c r="R647">
        <v>1583</v>
      </c>
      <c r="S647">
        <v>3433</v>
      </c>
      <c r="T647">
        <v>5085</v>
      </c>
      <c r="U647">
        <v>1583</v>
      </c>
      <c r="V647">
        <v>3433</v>
      </c>
      <c r="W647">
        <v>5085</v>
      </c>
      <c r="X647">
        <v>1583</v>
      </c>
      <c r="Y647">
        <v>3433</v>
      </c>
      <c r="Z647">
        <v>3426</v>
      </c>
      <c r="AA647">
        <v>0</v>
      </c>
    </row>
    <row r="648" spans="1:27" x14ac:dyDescent="0.3">
      <c r="A648" t="s">
        <v>698</v>
      </c>
      <c r="B648">
        <v>34</v>
      </c>
      <c r="P648">
        <v>1</v>
      </c>
      <c r="Q648">
        <v>1</v>
      </c>
      <c r="R648">
        <v>1</v>
      </c>
      <c r="S648">
        <v>1</v>
      </c>
      <c r="T648">
        <v>1</v>
      </c>
      <c r="U648">
        <v>1</v>
      </c>
      <c r="V648">
        <v>1</v>
      </c>
      <c r="W648">
        <v>1</v>
      </c>
      <c r="X648">
        <v>1</v>
      </c>
      <c r="Y648">
        <v>1</v>
      </c>
      <c r="Z648">
        <v>1</v>
      </c>
      <c r="AA648">
        <v>1</v>
      </c>
    </row>
    <row r="649" spans="1:27" x14ac:dyDescent="0.3">
      <c r="A649" t="s">
        <v>51</v>
      </c>
      <c r="B649">
        <v>34</v>
      </c>
      <c r="P649">
        <v>0</v>
      </c>
      <c r="Q649">
        <v>0</v>
      </c>
      <c r="R649">
        <v>149</v>
      </c>
      <c r="S649">
        <v>0</v>
      </c>
      <c r="T649">
        <v>0</v>
      </c>
      <c r="U649">
        <v>359</v>
      </c>
      <c r="V649">
        <v>0</v>
      </c>
      <c r="W649">
        <v>0</v>
      </c>
      <c r="X649">
        <v>150</v>
      </c>
      <c r="Y649">
        <v>0</v>
      </c>
      <c r="Z649">
        <v>26</v>
      </c>
      <c r="AA649">
        <v>0</v>
      </c>
    </row>
    <row r="650" spans="1:27" x14ac:dyDescent="0.3">
      <c r="A650" t="s">
        <v>53</v>
      </c>
      <c r="B650">
        <v>34</v>
      </c>
      <c r="P650">
        <v>95</v>
      </c>
      <c r="Q650">
        <v>369</v>
      </c>
      <c r="R650">
        <v>98</v>
      </c>
      <c r="S650">
        <v>125</v>
      </c>
      <c r="T650">
        <v>452</v>
      </c>
      <c r="U650">
        <v>357</v>
      </c>
      <c r="V650">
        <v>183</v>
      </c>
      <c r="W650">
        <v>612</v>
      </c>
      <c r="X650">
        <v>121</v>
      </c>
      <c r="Y650">
        <v>167</v>
      </c>
      <c r="Z650">
        <v>210</v>
      </c>
      <c r="AA650">
        <v>57</v>
      </c>
    </row>
    <row r="651" spans="1:27" x14ac:dyDescent="0.3">
      <c r="A651" t="s">
        <v>54</v>
      </c>
      <c r="B651">
        <v>34</v>
      </c>
      <c r="P651">
        <v>0</v>
      </c>
      <c r="Q651">
        <v>0</v>
      </c>
      <c r="R651">
        <v>0</v>
      </c>
      <c r="S651">
        <v>0</v>
      </c>
      <c r="T651">
        <v>0</v>
      </c>
      <c r="U651">
        <v>0</v>
      </c>
      <c r="V651">
        <v>0</v>
      </c>
      <c r="W651">
        <v>0</v>
      </c>
      <c r="X651">
        <v>0</v>
      </c>
      <c r="Y651">
        <v>0</v>
      </c>
      <c r="Z651">
        <v>0</v>
      </c>
      <c r="AA651">
        <v>0</v>
      </c>
    </row>
    <row r="652" spans="1:27" x14ac:dyDescent="0.3">
      <c r="A652" t="s">
        <v>55</v>
      </c>
      <c r="B652">
        <v>34</v>
      </c>
      <c r="P652">
        <v>0</v>
      </c>
      <c r="Q652">
        <v>0</v>
      </c>
      <c r="R652">
        <v>0</v>
      </c>
      <c r="S652">
        <v>0</v>
      </c>
      <c r="T652">
        <v>0</v>
      </c>
      <c r="U652">
        <v>0</v>
      </c>
      <c r="V652">
        <v>0</v>
      </c>
      <c r="W652">
        <v>0</v>
      </c>
      <c r="X652">
        <v>0</v>
      </c>
      <c r="Y652">
        <v>0</v>
      </c>
      <c r="Z652">
        <v>0</v>
      </c>
      <c r="AA652">
        <v>0</v>
      </c>
    </row>
    <row r="653" spans="1:27" x14ac:dyDescent="0.3">
      <c r="A653" t="s">
        <v>56</v>
      </c>
      <c r="B653">
        <v>34</v>
      </c>
      <c r="P653">
        <v>0.92</v>
      </c>
      <c r="Q653">
        <v>0.92</v>
      </c>
      <c r="R653">
        <v>0.92</v>
      </c>
      <c r="S653">
        <v>0.92</v>
      </c>
      <c r="T653">
        <v>0.92</v>
      </c>
      <c r="U653">
        <v>0.92</v>
      </c>
      <c r="V653">
        <v>0.92</v>
      </c>
      <c r="W653">
        <v>0.92</v>
      </c>
      <c r="X653">
        <v>0.92</v>
      </c>
      <c r="Y653">
        <v>0.92</v>
      </c>
      <c r="Z653">
        <v>0.92</v>
      </c>
      <c r="AA653">
        <v>0.92</v>
      </c>
    </row>
    <row r="654" spans="1:27" x14ac:dyDescent="0.3">
      <c r="A654" t="s">
        <v>57</v>
      </c>
      <c r="B654">
        <v>34</v>
      </c>
      <c r="P654">
        <v>100</v>
      </c>
      <c r="Q654">
        <v>100</v>
      </c>
      <c r="R654">
        <v>100</v>
      </c>
      <c r="S654">
        <v>100</v>
      </c>
      <c r="T654">
        <v>100</v>
      </c>
      <c r="U654">
        <v>100</v>
      </c>
      <c r="V654">
        <v>100</v>
      </c>
      <c r="W654">
        <v>100</v>
      </c>
      <c r="X654">
        <v>100</v>
      </c>
      <c r="Y654">
        <v>100</v>
      </c>
      <c r="Z654">
        <v>100</v>
      </c>
      <c r="AA654">
        <v>100</v>
      </c>
    </row>
    <row r="655" spans="1:27" x14ac:dyDescent="0.3">
      <c r="A655" t="s">
        <v>58</v>
      </c>
      <c r="B655">
        <v>34</v>
      </c>
      <c r="P655">
        <v>2</v>
      </c>
      <c r="Q655">
        <v>2</v>
      </c>
      <c r="R655">
        <v>2</v>
      </c>
      <c r="S655">
        <v>2</v>
      </c>
      <c r="T655">
        <v>2</v>
      </c>
      <c r="U655">
        <v>2</v>
      </c>
      <c r="V655">
        <v>2</v>
      </c>
      <c r="W655">
        <v>2</v>
      </c>
      <c r="X655">
        <v>2</v>
      </c>
      <c r="Y655">
        <v>2</v>
      </c>
      <c r="Z655">
        <v>2</v>
      </c>
      <c r="AA655">
        <v>2</v>
      </c>
    </row>
    <row r="656" spans="1:27" x14ac:dyDescent="0.3">
      <c r="A656" t="s">
        <v>59</v>
      </c>
      <c r="B656">
        <v>34</v>
      </c>
      <c r="P656">
        <v>0</v>
      </c>
      <c r="Q656">
        <v>0</v>
      </c>
      <c r="R656">
        <v>0</v>
      </c>
      <c r="S656">
        <v>0</v>
      </c>
      <c r="T656">
        <v>0</v>
      </c>
      <c r="U656">
        <v>0</v>
      </c>
      <c r="V656">
        <v>0</v>
      </c>
      <c r="W656">
        <v>0</v>
      </c>
      <c r="X656">
        <v>0</v>
      </c>
      <c r="Y656">
        <v>0</v>
      </c>
      <c r="Z656">
        <v>0</v>
      </c>
      <c r="AA656">
        <v>0</v>
      </c>
    </row>
    <row r="657" spans="1:27" x14ac:dyDescent="0.3">
      <c r="A657" t="s">
        <v>699</v>
      </c>
      <c r="B657">
        <v>34</v>
      </c>
      <c r="Q657">
        <v>0</v>
      </c>
      <c r="T657">
        <v>0</v>
      </c>
      <c r="W657">
        <v>0</v>
      </c>
      <c r="Z657">
        <v>0</v>
      </c>
    </row>
    <row r="658" spans="1:27" x14ac:dyDescent="0.3">
      <c r="A658" t="s">
        <v>678</v>
      </c>
      <c r="B658">
        <v>34</v>
      </c>
      <c r="Q658">
        <v>363</v>
      </c>
      <c r="T658">
        <v>1440</v>
      </c>
      <c r="W658">
        <v>6910</v>
      </c>
      <c r="Z658">
        <v>590</v>
      </c>
    </row>
    <row r="659" spans="1:27" x14ac:dyDescent="0.3">
      <c r="A659" t="s">
        <v>78</v>
      </c>
      <c r="B659">
        <v>34</v>
      </c>
      <c r="Q659">
        <v>7.1</v>
      </c>
      <c r="T659">
        <v>21.8</v>
      </c>
      <c r="W659">
        <v>104.7</v>
      </c>
      <c r="Z659">
        <v>11.5</v>
      </c>
    </row>
    <row r="660" spans="1:27" x14ac:dyDescent="0.3">
      <c r="A660" t="s">
        <v>700</v>
      </c>
      <c r="B660">
        <v>34</v>
      </c>
      <c r="R660">
        <v>0</v>
      </c>
      <c r="U660">
        <v>0</v>
      </c>
      <c r="X660">
        <v>0</v>
      </c>
      <c r="AA660">
        <v>0</v>
      </c>
    </row>
    <row r="661" spans="1:27" x14ac:dyDescent="0.3">
      <c r="A661" t="s">
        <v>701</v>
      </c>
      <c r="B661">
        <v>34</v>
      </c>
      <c r="P661">
        <v>0</v>
      </c>
      <c r="Q661">
        <v>0</v>
      </c>
      <c r="R661">
        <v>1</v>
      </c>
      <c r="S661">
        <v>0</v>
      </c>
      <c r="T661">
        <v>0</v>
      </c>
      <c r="U661">
        <v>1</v>
      </c>
      <c r="V661">
        <v>0</v>
      </c>
      <c r="W661">
        <v>0</v>
      </c>
      <c r="X661">
        <v>1</v>
      </c>
      <c r="Y661">
        <v>0</v>
      </c>
      <c r="Z661">
        <v>0</v>
      </c>
      <c r="AA661">
        <v>1</v>
      </c>
    </row>
    <row r="662" spans="1:27" x14ac:dyDescent="0.3">
      <c r="A662" t="s">
        <v>702</v>
      </c>
      <c r="B662">
        <v>34</v>
      </c>
      <c r="P662">
        <v>0</v>
      </c>
      <c r="Q662">
        <v>0</v>
      </c>
      <c r="R662">
        <v>0</v>
      </c>
      <c r="S662">
        <v>0</v>
      </c>
      <c r="T662">
        <v>0</v>
      </c>
      <c r="U662">
        <v>0</v>
      </c>
      <c r="V662">
        <v>0</v>
      </c>
      <c r="W662">
        <v>0</v>
      </c>
      <c r="X662">
        <v>0</v>
      </c>
      <c r="Y662">
        <v>0</v>
      </c>
      <c r="Z662">
        <v>0</v>
      </c>
      <c r="AA662">
        <v>0</v>
      </c>
    </row>
    <row r="663" spans="1:27" x14ac:dyDescent="0.3">
      <c r="A663" t="s">
        <v>52</v>
      </c>
      <c r="B663">
        <v>34</v>
      </c>
      <c r="P663">
        <v>1</v>
      </c>
      <c r="Q663">
        <v>1</v>
      </c>
      <c r="R663">
        <v>1</v>
      </c>
      <c r="S663">
        <v>1</v>
      </c>
      <c r="T663">
        <v>1</v>
      </c>
      <c r="U663">
        <v>1</v>
      </c>
      <c r="V663">
        <v>1</v>
      </c>
      <c r="W663">
        <v>1</v>
      </c>
      <c r="X663">
        <v>1</v>
      </c>
      <c r="Y663">
        <v>1</v>
      </c>
      <c r="Z663">
        <v>1</v>
      </c>
      <c r="AA663">
        <v>1</v>
      </c>
    </row>
    <row r="664" spans="1:27" x14ac:dyDescent="0.3">
      <c r="A664" t="s">
        <v>703</v>
      </c>
      <c r="B664">
        <v>34</v>
      </c>
      <c r="P664">
        <v>15</v>
      </c>
      <c r="Q664">
        <v>60</v>
      </c>
      <c r="R664">
        <v>9</v>
      </c>
      <c r="S664">
        <v>15</v>
      </c>
      <c r="T664">
        <v>60</v>
      </c>
      <c r="U664">
        <v>9</v>
      </c>
      <c r="V664">
        <v>15</v>
      </c>
      <c r="W664">
        <v>60</v>
      </c>
      <c r="X664">
        <v>9</v>
      </c>
      <c r="Y664">
        <v>15</v>
      </c>
      <c r="Z664">
        <v>60</v>
      </c>
      <c r="AA664">
        <v>9</v>
      </c>
    </row>
    <row r="665" spans="1:27" x14ac:dyDescent="0.3">
      <c r="A665" t="s">
        <v>43</v>
      </c>
      <c r="B665">
        <v>34</v>
      </c>
      <c r="P665">
        <v>20</v>
      </c>
      <c r="Q665">
        <v>100</v>
      </c>
      <c r="R665">
        <v>20</v>
      </c>
      <c r="S665">
        <v>20</v>
      </c>
      <c r="T665">
        <v>100</v>
      </c>
      <c r="U665">
        <v>20</v>
      </c>
      <c r="V665">
        <v>20</v>
      </c>
      <c r="W665">
        <v>100</v>
      </c>
      <c r="X665">
        <v>20</v>
      </c>
      <c r="Y665">
        <v>20</v>
      </c>
      <c r="Z665">
        <v>100</v>
      </c>
    </row>
    <row r="666" spans="1:27" x14ac:dyDescent="0.3">
      <c r="A666" t="s">
        <v>44</v>
      </c>
      <c r="B666">
        <v>34</v>
      </c>
      <c r="P666">
        <v>0</v>
      </c>
      <c r="Q666">
        <v>0</v>
      </c>
      <c r="R666">
        <v>0</v>
      </c>
      <c r="S666">
        <v>0</v>
      </c>
      <c r="T666">
        <v>0</v>
      </c>
      <c r="U666">
        <v>0</v>
      </c>
      <c r="V666">
        <v>0</v>
      </c>
      <c r="W666">
        <v>0</v>
      </c>
      <c r="X666">
        <v>0</v>
      </c>
      <c r="Y666">
        <v>0</v>
      </c>
      <c r="Z666">
        <v>0</v>
      </c>
    </row>
    <row r="667" spans="1:27" x14ac:dyDescent="0.3">
      <c r="A667" t="s">
        <v>47</v>
      </c>
      <c r="B667">
        <v>34</v>
      </c>
      <c r="P667">
        <v>3</v>
      </c>
      <c r="Q667">
        <v>8</v>
      </c>
      <c r="R667">
        <v>8</v>
      </c>
      <c r="S667">
        <v>5</v>
      </c>
      <c r="T667">
        <v>2</v>
      </c>
      <c r="U667">
        <v>2</v>
      </c>
      <c r="V667">
        <v>1</v>
      </c>
      <c r="W667">
        <v>6</v>
      </c>
      <c r="X667">
        <v>6</v>
      </c>
      <c r="Y667">
        <v>7</v>
      </c>
      <c r="Z667">
        <v>4</v>
      </c>
    </row>
    <row r="668" spans="1:27" x14ac:dyDescent="0.3">
      <c r="A668" t="s">
        <v>704</v>
      </c>
      <c r="B668">
        <v>34</v>
      </c>
      <c r="P668">
        <v>0</v>
      </c>
      <c r="Q668">
        <v>0</v>
      </c>
      <c r="R668">
        <v>0</v>
      </c>
      <c r="S668">
        <v>0</v>
      </c>
      <c r="T668">
        <v>0</v>
      </c>
      <c r="U668">
        <v>0</v>
      </c>
      <c r="V668">
        <v>0</v>
      </c>
      <c r="W668">
        <v>0</v>
      </c>
      <c r="X668">
        <v>0</v>
      </c>
      <c r="Y668">
        <v>0</v>
      </c>
      <c r="Z668">
        <v>0</v>
      </c>
    </row>
    <row r="669" spans="1:27" x14ac:dyDescent="0.3">
      <c r="A669" t="s">
        <v>705</v>
      </c>
      <c r="B669">
        <v>34</v>
      </c>
      <c r="P669">
        <v>0</v>
      </c>
      <c r="Q669">
        <v>0</v>
      </c>
      <c r="R669">
        <v>0</v>
      </c>
      <c r="S669">
        <v>0</v>
      </c>
      <c r="T669">
        <v>0</v>
      </c>
      <c r="U669">
        <v>0</v>
      </c>
      <c r="V669">
        <v>0</v>
      </c>
      <c r="W669">
        <v>0</v>
      </c>
      <c r="X669">
        <v>0</v>
      </c>
      <c r="Y669">
        <v>0</v>
      </c>
      <c r="Z669">
        <v>0</v>
      </c>
    </row>
    <row r="670" spans="1:27" x14ac:dyDescent="0.3">
      <c r="A670" t="s">
        <v>706</v>
      </c>
      <c r="B670">
        <v>34</v>
      </c>
      <c r="P670">
        <v>0</v>
      </c>
      <c r="Q670">
        <v>0</v>
      </c>
      <c r="R670">
        <v>0</v>
      </c>
      <c r="S670">
        <v>0</v>
      </c>
      <c r="T670">
        <v>0</v>
      </c>
      <c r="U670">
        <v>0</v>
      </c>
      <c r="V670">
        <v>0</v>
      </c>
      <c r="W670">
        <v>0</v>
      </c>
      <c r="X670">
        <v>0</v>
      </c>
      <c r="Y670">
        <v>0</v>
      </c>
      <c r="Z670">
        <v>0</v>
      </c>
    </row>
    <row r="671" spans="1:27" x14ac:dyDescent="0.3">
      <c r="A671" t="s">
        <v>707</v>
      </c>
      <c r="B671">
        <v>34</v>
      </c>
      <c r="P671">
        <v>0</v>
      </c>
      <c r="Q671">
        <v>0</v>
      </c>
      <c r="R671">
        <v>0</v>
      </c>
      <c r="S671">
        <v>0</v>
      </c>
      <c r="T671">
        <v>0</v>
      </c>
      <c r="U671">
        <v>0</v>
      </c>
      <c r="V671">
        <v>0</v>
      </c>
      <c r="W671">
        <v>0</v>
      </c>
      <c r="X671">
        <v>0</v>
      </c>
      <c r="Y671">
        <v>0</v>
      </c>
      <c r="Z671">
        <v>0</v>
      </c>
    </row>
    <row r="672" spans="1:27" x14ac:dyDescent="0.3">
      <c r="A672" t="s">
        <v>708</v>
      </c>
      <c r="B672">
        <v>34</v>
      </c>
      <c r="P672">
        <v>1</v>
      </c>
      <c r="Q672">
        <v>2</v>
      </c>
      <c r="R672">
        <v>1</v>
      </c>
      <c r="S672">
        <v>1</v>
      </c>
      <c r="T672">
        <v>2</v>
      </c>
      <c r="U672">
        <v>1</v>
      </c>
      <c r="V672">
        <v>1</v>
      </c>
      <c r="W672">
        <v>2</v>
      </c>
      <c r="X672">
        <v>1</v>
      </c>
      <c r="Y672">
        <v>1</v>
      </c>
      <c r="Z672">
        <v>2</v>
      </c>
    </row>
    <row r="673" spans="1:27" x14ac:dyDescent="0.3">
      <c r="A673" t="s">
        <v>709</v>
      </c>
      <c r="B673">
        <v>34</v>
      </c>
      <c r="P673">
        <v>0</v>
      </c>
      <c r="Q673">
        <v>0</v>
      </c>
      <c r="R673">
        <v>0</v>
      </c>
      <c r="S673">
        <v>0</v>
      </c>
      <c r="T673">
        <v>0</v>
      </c>
      <c r="U673">
        <v>0</v>
      </c>
      <c r="V673">
        <v>0</v>
      </c>
      <c r="W673">
        <v>0</v>
      </c>
      <c r="X673">
        <v>0</v>
      </c>
      <c r="Y673">
        <v>0</v>
      </c>
      <c r="Z673">
        <v>0</v>
      </c>
    </row>
    <row r="674" spans="1:27" x14ac:dyDescent="0.3">
      <c r="A674" t="s">
        <v>710</v>
      </c>
      <c r="B674">
        <v>34</v>
      </c>
      <c r="P674">
        <v>20</v>
      </c>
      <c r="Q674">
        <v>6</v>
      </c>
      <c r="R674">
        <v>20</v>
      </c>
      <c r="S674">
        <v>20</v>
      </c>
      <c r="T674">
        <v>6</v>
      </c>
      <c r="U674">
        <v>20</v>
      </c>
      <c r="V674">
        <v>20</v>
      </c>
      <c r="W674">
        <v>6</v>
      </c>
      <c r="X674">
        <v>20</v>
      </c>
      <c r="Y674">
        <v>20</v>
      </c>
      <c r="Z674">
        <v>6</v>
      </c>
    </row>
    <row r="675" spans="1:27" x14ac:dyDescent="0.3">
      <c r="A675" t="s">
        <v>711</v>
      </c>
      <c r="B675">
        <v>34</v>
      </c>
      <c r="P675">
        <v>3</v>
      </c>
      <c r="Q675">
        <v>3</v>
      </c>
      <c r="R675">
        <v>3</v>
      </c>
      <c r="S675">
        <v>3</v>
      </c>
      <c r="T675">
        <v>3</v>
      </c>
      <c r="U675">
        <v>3</v>
      </c>
      <c r="V675">
        <v>3</v>
      </c>
      <c r="W675">
        <v>3</v>
      </c>
      <c r="X675">
        <v>3</v>
      </c>
      <c r="Y675">
        <v>3</v>
      </c>
      <c r="Z675">
        <v>3</v>
      </c>
    </row>
    <row r="676" spans="1:27" x14ac:dyDescent="0.3">
      <c r="A676" t="s">
        <v>712</v>
      </c>
      <c r="B676">
        <v>34</v>
      </c>
      <c r="P676">
        <v>0</v>
      </c>
      <c r="Q676">
        <v>0</v>
      </c>
      <c r="R676">
        <v>0</v>
      </c>
      <c r="S676">
        <v>0</v>
      </c>
      <c r="T676">
        <v>0</v>
      </c>
      <c r="U676">
        <v>0</v>
      </c>
      <c r="V676">
        <v>0</v>
      </c>
      <c r="W676">
        <v>0</v>
      </c>
      <c r="X676">
        <v>0</v>
      </c>
      <c r="Y676">
        <v>0</v>
      </c>
      <c r="Z676">
        <v>0</v>
      </c>
    </row>
    <row r="677" spans="1:27" x14ac:dyDescent="0.3">
      <c r="A677" t="s">
        <v>713</v>
      </c>
      <c r="B677">
        <v>34</v>
      </c>
      <c r="P677">
        <v>0</v>
      </c>
      <c r="Q677">
        <v>0</v>
      </c>
      <c r="R677">
        <v>0</v>
      </c>
      <c r="S677">
        <v>0</v>
      </c>
      <c r="T677">
        <v>0</v>
      </c>
      <c r="U677">
        <v>0</v>
      </c>
      <c r="V677">
        <v>0</v>
      </c>
      <c r="W677">
        <v>0</v>
      </c>
      <c r="X677">
        <v>0</v>
      </c>
      <c r="Y677">
        <v>0</v>
      </c>
      <c r="Z677">
        <v>0</v>
      </c>
    </row>
    <row r="678" spans="1:27" x14ac:dyDescent="0.3">
      <c r="A678" t="s">
        <v>714</v>
      </c>
      <c r="B678">
        <v>34</v>
      </c>
      <c r="P678">
        <v>0</v>
      </c>
      <c r="Q678">
        <v>0</v>
      </c>
      <c r="R678">
        <v>0</v>
      </c>
      <c r="S678">
        <v>0</v>
      </c>
      <c r="T678">
        <v>0</v>
      </c>
      <c r="U678">
        <v>0</v>
      </c>
      <c r="V678">
        <v>0</v>
      </c>
      <c r="W678">
        <v>0</v>
      </c>
      <c r="X678">
        <v>0</v>
      </c>
      <c r="Y678">
        <v>0</v>
      </c>
      <c r="Z678">
        <v>0</v>
      </c>
    </row>
    <row r="679" spans="1:27" x14ac:dyDescent="0.3">
      <c r="A679" t="s">
        <v>715</v>
      </c>
      <c r="B679">
        <v>34</v>
      </c>
      <c r="Q679">
        <v>94</v>
      </c>
      <c r="T679">
        <v>94</v>
      </c>
      <c r="W679">
        <v>94</v>
      </c>
      <c r="Z679">
        <v>94</v>
      </c>
    </row>
    <row r="680" spans="1:27" x14ac:dyDescent="0.3">
      <c r="A680" t="s">
        <v>716</v>
      </c>
      <c r="B680">
        <v>34</v>
      </c>
      <c r="Q680">
        <v>6</v>
      </c>
      <c r="T680">
        <v>6</v>
      </c>
      <c r="W680">
        <v>6</v>
      </c>
      <c r="Z680">
        <v>6</v>
      </c>
    </row>
    <row r="681" spans="1:27" x14ac:dyDescent="0.3">
      <c r="A681" t="s">
        <v>717</v>
      </c>
      <c r="B681">
        <v>34</v>
      </c>
      <c r="Q681">
        <v>3</v>
      </c>
      <c r="T681">
        <v>3</v>
      </c>
      <c r="W681">
        <v>3</v>
      </c>
      <c r="Z681">
        <v>3</v>
      </c>
    </row>
    <row r="682" spans="1:27" x14ac:dyDescent="0.3">
      <c r="A682" t="s">
        <v>718</v>
      </c>
      <c r="B682">
        <v>34</v>
      </c>
      <c r="Q682">
        <v>0</v>
      </c>
      <c r="T682">
        <v>0</v>
      </c>
      <c r="W682">
        <v>0</v>
      </c>
      <c r="Z682">
        <v>0</v>
      </c>
    </row>
    <row r="683" spans="1:27" x14ac:dyDescent="0.3">
      <c r="A683" t="s">
        <v>719</v>
      </c>
      <c r="B683">
        <v>34</v>
      </c>
      <c r="Q683">
        <v>0</v>
      </c>
      <c r="T683">
        <v>0</v>
      </c>
      <c r="W683">
        <v>0</v>
      </c>
      <c r="Z683">
        <v>0</v>
      </c>
    </row>
    <row r="684" spans="1:27" x14ac:dyDescent="0.3">
      <c r="A684" t="s">
        <v>405</v>
      </c>
      <c r="B684">
        <v>34</v>
      </c>
      <c r="Q684">
        <v>0</v>
      </c>
    </row>
    <row r="685" spans="1:27" x14ac:dyDescent="0.3">
      <c r="A685" t="s">
        <v>720</v>
      </c>
      <c r="B685">
        <v>34</v>
      </c>
      <c r="P685">
        <v>103</v>
      </c>
      <c r="Q685">
        <v>401</v>
      </c>
      <c r="R685">
        <v>107</v>
      </c>
      <c r="S685">
        <v>136</v>
      </c>
      <c r="T685">
        <v>491</v>
      </c>
      <c r="U685">
        <v>388</v>
      </c>
      <c r="V685">
        <v>199</v>
      </c>
      <c r="W685">
        <v>665</v>
      </c>
      <c r="X685">
        <v>132</v>
      </c>
      <c r="Y685">
        <v>182</v>
      </c>
      <c r="Z685">
        <v>290</v>
      </c>
      <c r="AA685">
        <v>0</v>
      </c>
    </row>
    <row r="686" spans="1:27" x14ac:dyDescent="0.3">
      <c r="A686" t="s">
        <v>34</v>
      </c>
      <c r="B686">
        <v>36</v>
      </c>
      <c r="P686">
        <v>40</v>
      </c>
      <c r="Q686">
        <v>40</v>
      </c>
      <c r="R686">
        <v>40</v>
      </c>
      <c r="S686">
        <v>34</v>
      </c>
      <c r="T686">
        <v>34</v>
      </c>
      <c r="U686">
        <v>34</v>
      </c>
      <c r="V686">
        <v>39</v>
      </c>
      <c r="W686">
        <v>39</v>
      </c>
      <c r="X686">
        <v>39</v>
      </c>
      <c r="Y686">
        <v>41</v>
      </c>
      <c r="Z686">
        <v>41</v>
      </c>
      <c r="AA686">
        <v>41</v>
      </c>
    </row>
    <row r="687" spans="1:27" x14ac:dyDescent="0.3">
      <c r="A687" t="s">
        <v>35</v>
      </c>
      <c r="B687">
        <v>36</v>
      </c>
      <c r="P687">
        <v>39</v>
      </c>
      <c r="Q687">
        <v>41</v>
      </c>
      <c r="R687">
        <v>34</v>
      </c>
      <c r="S687">
        <v>40</v>
      </c>
      <c r="T687">
        <v>39</v>
      </c>
      <c r="U687">
        <v>41</v>
      </c>
      <c r="V687">
        <v>41</v>
      </c>
      <c r="W687">
        <v>34</v>
      </c>
      <c r="X687">
        <v>40</v>
      </c>
      <c r="Y687">
        <v>34</v>
      </c>
      <c r="Z687">
        <v>40</v>
      </c>
      <c r="AA687">
        <v>39</v>
      </c>
    </row>
    <row r="688" spans="1:27" x14ac:dyDescent="0.3">
      <c r="A688" t="s">
        <v>36</v>
      </c>
      <c r="B688">
        <v>36</v>
      </c>
      <c r="P688">
        <v>1</v>
      </c>
      <c r="Q688">
        <v>2</v>
      </c>
      <c r="R688">
        <v>1</v>
      </c>
      <c r="S688">
        <v>2</v>
      </c>
      <c r="T688">
        <v>3</v>
      </c>
      <c r="U688">
        <v>1</v>
      </c>
      <c r="V688">
        <v>2</v>
      </c>
      <c r="W688">
        <v>3</v>
      </c>
      <c r="X688">
        <v>1</v>
      </c>
      <c r="Y688">
        <v>1</v>
      </c>
      <c r="Z688">
        <v>2</v>
      </c>
      <c r="AA688">
        <v>0</v>
      </c>
    </row>
    <row r="689" spans="1:27" x14ac:dyDescent="0.3">
      <c r="A689" t="s">
        <v>37</v>
      </c>
      <c r="B689">
        <v>36</v>
      </c>
      <c r="P689">
        <v>0</v>
      </c>
      <c r="Q689">
        <v>0</v>
      </c>
      <c r="S689">
        <v>0</v>
      </c>
      <c r="T689">
        <v>0</v>
      </c>
      <c r="V689">
        <v>0</v>
      </c>
      <c r="W689">
        <v>0</v>
      </c>
      <c r="Y689">
        <v>0</v>
      </c>
      <c r="Z689">
        <v>2</v>
      </c>
    </row>
    <row r="690" spans="1:27" x14ac:dyDescent="0.3">
      <c r="A690" t="s">
        <v>38</v>
      </c>
      <c r="B690">
        <v>36</v>
      </c>
      <c r="P690">
        <v>12</v>
      </c>
      <c r="Q690">
        <v>12</v>
      </c>
      <c r="R690">
        <v>12</v>
      </c>
      <c r="S690">
        <v>12</v>
      </c>
      <c r="T690">
        <v>12</v>
      </c>
      <c r="U690">
        <v>12</v>
      </c>
      <c r="V690">
        <v>12</v>
      </c>
      <c r="W690">
        <v>12</v>
      </c>
      <c r="X690">
        <v>12</v>
      </c>
      <c r="Y690">
        <v>12</v>
      </c>
      <c r="Z690">
        <v>12</v>
      </c>
      <c r="AA690">
        <v>12</v>
      </c>
    </row>
    <row r="691" spans="1:27" x14ac:dyDescent="0.3">
      <c r="A691" t="s">
        <v>39</v>
      </c>
      <c r="B691">
        <v>36</v>
      </c>
      <c r="P691">
        <v>145</v>
      </c>
      <c r="R691">
        <v>115</v>
      </c>
      <c r="S691">
        <v>515</v>
      </c>
      <c r="U691">
        <v>255</v>
      </c>
      <c r="V691">
        <v>350</v>
      </c>
      <c r="X691">
        <v>400</v>
      </c>
      <c r="Y691">
        <v>140</v>
      </c>
    </row>
    <row r="692" spans="1:27" x14ac:dyDescent="0.3">
      <c r="A692" t="s">
        <v>695</v>
      </c>
      <c r="B692">
        <v>36</v>
      </c>
      <c r="P692">
        <v>90</v>
      </c>
      <c r="R692">
        <v>60</v>
      </c>
      <c r="S692">
        <v>155</v>
      </c>
      <c r="U692">
        <v>100</v>
      </c>
      <c r="V692">
        <v>140</v>
      </c>
      <c r="X692">
        <v>130</v>
      </c>
      <c r="Y692">
        <v>100</v>
      </c>
    </row>
    <row r="693" spans="1:27" x14ac:dyDescent="0.3">
      <c r="A693" t="s">
        <v>40</v>
      </c>
      <c r="B693">
        <v>36</v>
      </c>
      <c r="P693">
        <v>1</v>
      </c>
      <c r="R693">
        <v>1</v>
      </c>
      <c r="S693">
        <v>2</v>
      </c>
      <c r="U693">
        <v>1</v>
      </c>
      <c r="V693">
        <v>2</v>
      </c>
      <c r="X693">
        <v>1</v>
      </c>
      <c r="Y693">
        <v>1</v>
      </c>
    </row>
    <row r="694" spans="1:27" x14ac:dyDescent="0.3">
      <c r="A694" t="s">
        <v>41</v>
      </c>
      <c r="B694">
        <v>36</v>
      </c>
    </row>
    <row r="695" spans="1:27" x14ac:dyDescent="0.3">
      <c r="A695" t="s">
        <v>42</v>
      </c>
      <c r="B695">
        <v>36</v>
      </c>
      <c r="Q695">
        <v>35</v>
      </c>
      <c r="T695">
        <v>45</v>
      </c>
      <c r="W695">
        <v>55</v>
      </c>
      <c r="Z695">
        <v>35</v>
      </c>
    </row>
    <row r="696" spans="1:27" x14ac:dyDescent="0.3">
      <c r="A696" t="s">
        <v>45</v>
      </c>
      <c r="B696">
        <v>36</v>
      </c>
      <c r="P696">
        <v>3</v>
      </c>
      <c r="Q696">
        <v>8</v>
      </c>
      <c r="S696">
        <v>5</v>
      </c>
      <c r="T696">
        <v>2</v>
      </c>
      <c r="V696">
        <v>1</v>
      </c>
      <c r="W696">
        <v>6</v>
      </c>
      <c r="Y696">
        <v>7</v>
      </c>
      <c r="Z696">
        <v>4</v>
      </c>
    </row>
    <row r="697" spans="1:27" x14ac:dyDescent="0.3">
      <c r="A697" t="s">
        <v>46</v>
      </c>
      <c r="B697">
        <v>36</v>
      </c>
      <c r="R697">
        <v>8</v>
      </c>
      <c r="U697">
        <v>2</v>
      </c>
      <c r="X697">
        <v>6</v>
      </c>
    </row>
    <row r="698" spans="1:27" x14ac:dyDescent="0.3">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3">
      <c r="A699" t="s">
        <v>696</v>
      </c>
      <c r="B699">
        <v>36</v>
      </c>
      <c r="P699">
        <v>0</v>
      </c>
      <c r="Q699">
        <v>0</v>
      </c>
      <c r="R699">
        <v>0</v>
      </c>
      <c r="S699">
        <v>0</v>
      </c>
      <c r="T699">
        <v>0</v>
      </c>
      <c r="U699">
        <v>0</v>
      </c>
      <c r="V699">
        <v>0</v>
      </c>
      <c r="W699">
        <v>0</v>
      </c>
      <c r="X699">
        <v>0</v>
      </c>
      <c r="Y699">
        <v>0</v>
      </c>
      <c r="Z699">
        <v>0</v>
      </c>
      <c r="AA699">
        <v>0</v>
      </c>
    </row>
    <row r="700" spans="1:27" x14ac:dyDescent="0.3">
      <c r="A700" t="s">
        <v>48</v>
      </c>
      <c r="B700">
        <v>36</v>
      </c>
      <c r="P700">
        <v>1900</v>
      </c>
      <c r="Q700">
        <v>1900</v>
      </c>
      <c r="R700">
        <v>1900</v>
      </c>
      <c r="S700">
        <v>1900</v>
      </c>
      <c r="T700">
        <v>1900</v>
      </c>
      <c r="U700">
        <v>1900</v>
      </c>
      <c r="V700">
        <v>1900</v>
      </c>
      <c r="W700">
        <v>1900</v>
      </c>
      <c r="X700">
        <v>1900</v>
      </c>
      <c r="Y700">
        <v>1900</v>
      </c>
      <c r="Z700">
        <v>1900</v>
      </c>
      <c r="AA700">
        <v>1900</v>
      </c>
    </row>
    <row r="701" spans="1:27" x14ac:dyDescent="0.3">
      <c r="A701" t="s">
        <v>697</v>
      </c>
      <c r="B701">
        <v>36</v>
      </c>
      <c r="P701">
        <v>1770</v>
      </c>
      <c r="Q701">
        <v>3539</v>
      </c>
      <c r="R701">
        <v>1583</v>
      </c>
      <c r="S701">
        <v>3433</v>
      </c>
      <c r="T701">
        <v>5085</v>
      </c>
      <c r="U701">
        <v>1583</v>
      </c>
      <c r="V701">
        <v>3433</v>
      </c>
      <c r="W701">
        <v>5085</v>
      </c>
      <c r="X701">
        <v>1583</v>
      </c>
      <c r="Y701">
        <v>1770</v>
      </c>
      <c r="Z701">
        <v>3153</v>
      </c>
      <c r="AA701">
        <v>0</v>
      </c>
    </row>
    <row r="702" spans="1:27" x14ac:dyDescent="0.3">
      <c r="A702" t="s">
        <v>50</v>
      </c>
      <c r="B702">
        <v>36</v>
      </c>
      <c r="P702">
        <v>1770</v>
      </c>
      <c r="Q702">
        <v>3539</v>
      </c>
      <c r="R702">
        <v>1583</v>
      </c>
      <c r="S702">
        <v>3433</v>
      </c>
      <c r="T702">
        <v>5085</v>
      </c>
      <c r="U702">
        <v>1583</v>
      </c>
      <c r="V702">
        <v>3433</v>
      </c>
      <c r="W702">
        <v>5085</v>
      </c>
      <c r="X702">
        <v>1583</v>
      </c>
      <c r="Y702">
        <v>1770</v>
      </c>
      <c r="Z702">
        <v>3153</v>
      </c>
      <c r="AA702">
        <v>0</v>
      </c>
    </row>
    <row r="703" spans="1:27" x14ac:dyDescent="0.3">
      <c r="A703" t="s">
        <v>698</v>
      </c>
      <c r="B703">
        <v>36</v>
      </c>
      <c r="P703">
        <v>1</v>
      </c>
      <c r="Q703">
        <v>1</v>
      </c>
      <c r="R703">
        <v>1</v>
      </c>
      <c r="S703">
        <v>1</v>
      </c>
      <c r="T703">
        <v>1</v>
      </c>
      <c r="U703">
        <v>1</v>
      </c>
      <c r="V703">
        <v>1</v>
      </c>
      <c r="W703">
        <v>1</v>
      </c>
      <c r="X703">
        <v>1</v>
      </c>
      <c r="Y703">
        <v>1</v>
      </c>
      <c r="Z703">
        <v>1</v>
      </c>
      <c r="AA703">
        <v>1</v>
      </c>
    </row>
    <row r="704" spans="1:27" x14ac:dyDescent="0.3">
      <c r="A704" t="s">
        <v>51</v>
      </c>
      <c r="B704">
        <v>36</v>
      </c>
      <c r="P704">
        <v>0</v>
      </c>
      <c r="Q704">
        <v>0</v>
      </c>
      <c r="R704">
        <v>217</v>
      </c>
      <c r="S704">
        <v>0</v>
      </c>
      <c r="T704">
        <v>0</v>
      </c>
      <c r="U704">
        <v>198</v>
      </c>
      <c r="V704">
        <v>0</v>
      </c>
      <c r="W704">
        <v>0</v>
      </c>
      <c r="X704">
        <v>139</v>
      </c>
      <c r="Y704">
        <v>0</v>
      </c>
      <c r="Z704">
        <v>89</v>
      </c>
      <c r="AA704">
        <v>0</v>
      </c>
    </row>
    <row r="705" spans="1:27" x14ac:dyDescent="0.3">
      <c r="A705" t="s">
        <v>53</v>
      </c>
      <c r="B705">
        <v>36</v>
      </c>
      <c r="P705">
        <v>46</v>
      </c>
      <c r="Q705">
        <v>90</v>
      </c>
      <c r="R705">
        <v>83</v>
      </c>
      <c r="S705">
        <v>42</v>
      </c>
      <c r="T705">
        <v>424</v>
      </c>
      <c r="U705">
        <v>64</v>
      </c>
      <c r="V705">
        <v>167</v>
      </c>
      <c r="W705">
        <v>816</v>
      </c>
      <c r="X705">
        <v>45</v>
      </c>
      <c r="Y705">
        <v>49</v>
      </c>
      <c r="Z705">
        <v>31</v>
      </c>
      <c r="AA705">
        <v>82</v>
      </c>
    </row>
    <row r="706" spans="1:27" x14ac:dyDescent="0.3">
      <c r="A706" t="s">
        <v>54</v>
      </c>
      <c r="B706">
        <v>36</v>
      </c>
      <c r="P706">
        <v>0</v>
      </c>
      <c r="Q706">
        <v>0</v>
      </c>
      <c r="R706">
        <v>0</v>
      </c>
      <c r="S706">
        <v>0</v>
      </c>
      <c r="T706">
        <v>0</v>
      </c>
      <c r="U706">
        <v>0</v>
      </c>
      <c r="V706">
        <v>0</v>
      </c>
      <c r="W706">
        <v>0</v>
      </c>
      <c r="X706">
        <v>0</v>
      </c>
      <c r="Y706">
        <v>0</v>
      </c>
      <c r="Z706">
        <v>0</v>
      </c>
      <c r="AA706">
        <v>0</v>
      </c>
    </row>
    <row r="707" spans="1:27" x14ac:dyDescent="0.3">
      <c r="A707" t="s">
        <v>55</v>
      </c>
      <c r="B707">
        <v>36</v>
      </c>
      <c r="P707">
        <v>0</v>
      </c>
      <c r="Q707">
        <v>0</v>
      </c>
      <c r="R707">
        <v>0</v>
      </c>
      <c r="S707">
        <v>0</v>
      </c>
      <c r="T707">
        <v>0</v>
      </c>
      <c r="U707">
        <v>0</v>
      </c>
      <c r="V707">
        <v>0</v>
      </c>
      <c r="W707">
        <v>0</v>
      </c>
      <c r="X707">
        <v>0</v>
      </c>
      <c r="Y707">
        <v>0</v>
      </c>
      <c r="Z707">
        <v>0</v>
      </c>
      <c r="AA707">
        <v>0</v>
      </c>
    </row>
    <row r="708" spans="1:27" x14ac:dyDescent="0.3">
      <c r="A708" t="s">
        <v>56</v>
      </c>
      <c r="B708">
        <v>36</v>
      </c>
      <c r="P708">
        <v>0.92</v>
      </c>
      <c r="Q708">
        <v>0.92</v>
      </c>
      <c r="R708">
        <v>0.92</v>
      </c>
      <c r="S708">
        <v>0.92</v>
      </c>
      <c r="T708">
        <v>0.92</v>
      </c>
      <c r="U708">
        <v>0.92</v>
      </c>
      <c r="V708">
        <v>0.92</v>
      </c>
      <c r="W708">
        <v>0.92</v>
      </c>
      <c r="X708">
        <v>0.92</v>
      </c>
      <c r="Y708">
        <v>0.92</v>
      </c>
      <c r="Z708">
        <v>0.92</v>
      </c>
      <c r="AA708">
        <v>0.92</v>
      </c>
    </row>
    <row r="709" spans="1:27" x14ac:dyDescent="0.3">
      <c r="A709" t="s">
        <v>57</v>
      </c>
      <c r="B709">
        <v>36</v>
      </c>
      <c r="P709">
        <v>100</v>
      </c>
      <c r="Q709">
        <v>100</v>
      </c>
      <c r="R709">
        <v>100</v>
      </c>
      <c r="S709">
        <v>100</v>
      </c>
      <c r="T709">
        <v>100</v>
      </c>
      <c r="U709">
        <v>100</v>
      </c>
      <c r="V709">
        <v>100</v>
      </c>
      <c r="W709">
        <v>100</v>
      </c>
      <c r="X709">
        <v>100</v>
      </c>
      <c r="Y709">
        <v>100</v>
      </c>
      <c r="Z709">
        <v>100</v>
      </c>
      <c r="AA709">
        <v>100</v>
      </c>
    </row>
    <row r="710" spans="1:27" x14ac:dyDescent="0.3">
      <c r="A710" t="s">
        <v>58</v>
      </c>
      <c r="B710">
        <v>36</v>
      </c>
      <c r="P710">
        <v>2</v>
      </c>
      <c r="Q710">
        <v>2</v>
      </c>
      <c r="R710">
        <v>2</v>
      </c>
      <c r="S710">
        <v>2</v>
      </c>
      <c r="T710">
        <v>2</v>
      </c>
      <c r="U710">
        <v>2</v>
      </c>
      <c r="V710">
        <v>2</v>
      </c>
      <c r="W710">
        <v>2</v>
      </c>
      <c r="X710">
        <v>2</v>
      </c>
      <c r="Y710">
        <v>2</v>
      </c>
      <c r="Z710">
        <v>2</v>
      </c>
      <c r="AA710">
        <v>2</v>
      </c>
    </row>
    <row r="711" spans="1:27" x14ac:dyDescent="0.3">
      <c r="A711" t="s">
        <v>59</v>
      </c>
      <c r="B711">
        <v>36</v>
      </c>
      <c r="P711">
        <v>0</v>
      </c>
      <c r="Q711">
        <v>0</v>
      </c>
      <c r="R711">
        <v>0</v>
      </c>
      <c r="S711">
        <v>0</v>
      </c>
      <c r="T711">
        <v>0</v>
      </c>
      <c r="U711">
        <v>0</v>
      </c>
      <c r="V711">
        <v>0</v>
      </c>
      <c r="W711">
        <v>0</v>
      </c>
      <c r="X711">
        <v>0</v>
      </c>
      <c r="Y711">
        <v>0</v>
      </c>
      <c r="Z711">
        <v>0</v>
      </c>
      <c r="AA711">
        <v>0</v>
      </c>
    </row>
    <row r="712" spans="1:27" x14ac:dyDescent="0.3">
      <c r="A712" t="s">
        <v>699</v>
      </c>
      <c r="B712">
        <v>36</v>
      </c>
      <c r="Q712">
        <v>0</v>
      </c>
      <c r="T712">
        <v>0</v>
      </c>
      <c r="W712">
        <v>0</v>
      </c>
      <c r="Z712">
        <v>0</v>
      </c>
    </row>
    <row r="713" spans="1:27" x14ac:dyDescent="0.3">
      <c r="A713" t="s">
        <v>678</v>
      </c>
      <c r="B713">
        <v>36</v>
      </c>
      <c r="Q713">
        <v>640</v>
      </c>
      <c r="T713">
        <v>6910</v>
      </c>
      <c r="W713">
        <v>5039</v>
      </c>
      <c r="Z713">
        <v>378</v>
      </c>
    </row>
    <row r="714" spans="1:27" x14ac:dyDescent="0.3">
      <c r="A714" t="s">
        <v>78</v>
      </c>
      <c r="B714">
        <v>36</v>
      </c>
      <c r="Q714">
        <v>12.5</v>
      </c>
      <c r="T714">
        <v>104.7</v>
      </c>
      <c r="W714">
        <v>62.5</v>
      </c>
      <c r="Z714">
        <v>7.4</v>
      </c>
    </row>
    <row r="715" spans="1:27" x14ac:dyDescent="0.3">
      <c r="A715" t="s">
        <v>700</v>
      </c>
      <c r="B715">
        <v>36</v>
      </c>
      <c r="R715">
        <v>1</v>
      </c>
      <c r="U715">
        <v>0</v>
      </c>
      <c r="X715">
        <v>1</v>
      </c>
      <c r="AA715">
        <v>0</v>
      </c>
    </row>
    <row r="716" spans="1:27" x14ac:dyDescent="0.3">
      <c r="A716" t="s">
        <v>721</v>
      </c>
      <c r="B716">
        <v>36</v>
      </c>
      <c r="R716">
        <v>50</v>
      </c>
      <c r="X716">
        <v>50</v>
      </c>
    </row>
    <row r="717" spans="1:27" x14ac:dyDescent="0.3">
      <c r="A717" t="s">
        <v>722</v>
      </c>
      <c r="B717">
        <v>36</v>
      </c>
      <c r="R717">
        <v>0</v>
      </c>
      <c r="X717">
        <v>0</v>
      </c>
    </row>
    <row r="718" spans="1:27" x14ac:dyDescent="0.3">
      <c r="A718" t="s">
        <v>701</v>
      </c>
      <c r="B718">
        <v>36</v>
      </c>
      <c r="P718">
        <v>0</v>
      </c>
      <c r="Q718">
        <v>0</v>
      </c>
      <c r="R718">
        <v>1</v>
      </c>
      <c r="S718">
        <v>0</v>
      </c>
      <c r="T718">
        <v>0</v>
      </c>
      <c r="U718">
        <v>1</v>
      </c>
      <c r="V718">
        <v>0</v>
      </c>
      <c r="W718">
        <v>0</v>
      </c>
      <c r="X718">
        <v>1</v>
      </c>
      <c r="Y718">
        <v>0</v>
      </c>
      <c r="Z718">
        <v>0</v>
      </c>
      <c r="AA718">
        <v>1</v>
      </c>
    </row>
    <row r="719" spans="1:27" x14ac:dyDescent="0.3">
      <c r="A719" t="s">
        <v>702</v>
      </c>
      <c r="B719">
        <v>36</v>
      </c>
      <c r="P719">
        <v>0</v>
      </c>
      <c r="Q719">
        <v>0</v>
      </c>
      <c r="R719">
        <v>0</v>
      </c>
      <c r="S719">
        <v>0</v>
      </c>
      <c r="T719">
        <v>0</v>
      </c>
      <c r="U719">
        <v>0</v>
      </c>
      <c r="V719">
        <v>0</v>
      </c>
      <c r="W719">
        <v>0</v>
      </c>
      <c r="X719">
        <v>0</v>
      </c>
      <c r="Y719">
        <v>0</v>
      </c>
      <c r="Z719">
        <v>0</v>
      </c>
      <c r="AA719">
        <v>0</v>
      </c>
    </row>
    <row r="720" spans="1:27" x14ac:dyDescent="0.3">
      <c r="A720" t="s">
        <v>52</v>
      </c>
      <c r="B720">
        <v>36</v>
      </c>
      <c r="P720">
        <v>1</v>
      </c>
      <c r="Q720">
        <v>1</v>
      </c>
      <c r="R720">
        <v>1</v>
      </c>
      <c r="S720">
        <v>1</v>
      </c>
      <c r="T720">
        <v>1</v>
      </c>
      <c r="U720">
        <v>1</v>
      </c>
      <c r="V720">
        <v>1</v>
      </c>
      <c r="W720">
        <v>1</v>
      </c>
      <c r="X720">
        <v>1</v>
      </c>
      <c r="Y720">
        <v>1</v>
      </c>
      <c r="Z720">
        <v>1</v>
      </c>
      <c r="AA720">
        <v>1</v>
      </c>
    </row>
    <row r="721" spans="1:27" x14ac:dyDescent="0.3">
      <c r="A721" t="s">
        <v>703</v>
      </c>
      <c r="B721">
        <v>36</v>
      </c>
      <c r="P721">
        <v>15</v>
      </c>
      <c r="Q721">
        <v>60</v>
      </c>
      <c r="R721">
        <v>9</v>
      </c>
      <c r="S721">
        <v>15</v>
      </c>
      <c r="T721">
        <v>60</v>
      </c>
      <c r="U721">
        <v>9</v>
      </c>
      <c r="V721">
        <v>15</v>
      </c>
      <c r="W721">
        <v>60</v>
      </c>
      <c r="X721">
        <v>9</v>
      </c>
      <c r="Y721">
        <v>15</v>
      </c>
      <c r="Z721">
        <v>60</v>
      </c>
      <c r="AA721">
        <v>9</v>
      </c>
    </row>
    <row r="722" spans="1:27" x14ac:dyDescent="0.3">
      <c r="A722" t="s">
        <v>43</v>
      </c>
      <c r="B722">
        <v>36</v>
      </c>
      <c r="P722">
        <v>20</v>
      </c>
      <c r="Q722">
        <v>100</v>
      </c>
      <c r="R722">
        <v>20</v>
      </c>
      <c r="S722">
        <v>20</v>
      </c>
      <c r="T722">
        <v>100</v>
      </c>
      <c r="U722">
        <v>20</v>
      </c>
      <c r="V722">
        <v>20</v>
      </c>
      <c r="W722">
        <v>100</v>
      </c>
      <c r="X722">
        <v>20</v>
      </c>
      <c r="Y722">
        <v>20</v>
      </c>
      <c r="Z722">
        <v>100</v>
      </c>
    </row>
    <row r="723" spans="1:27" x14ac:dyDescent="0.3">
      <c r="A723" t="s">
        <v>44</v>
      </c>
      <c r="B723">
        <v>36</v>
      </c>
      <c r="P723">
        <v>0</v>
      </c>
      <c r="Q723">
        <v>0</v>
      </c>
      <c r="R723">
        <v>0</v>
      </c>
      <c r="S723">
        <v>0</v>
      </c>
      <c r="T723">
        <v>0</v>
      </c>
      <c r="U723">
        <v>0</v>
      </c>
      <c r="V723">
        <v>0</v>
      </c>
      <c r="W723">
        <v>0</v>
      </c>
      <c r="X723">
        <v>0</v>
      </c>
      <c r="Y723">
        <v>0</v>
      </c>
      <c r="Z723">
        <v>0</v>
      </c>
    </row>
    <row r="724" spans="1:27" x14ac:dyDescent="0.3">
      <c r="A724" t="s">
        <v>47</v>
      </c>
      <c r="B724">
        <v>36</v>
      </c>
      <c r="P724">
        <v>3</v>
      </c>
      <c r="Q724">
        <v>8</v>
      </c>
      <c r="R724">
        <v>8</v>
      </c>
      <c r="S724">
        <v>5</v>
      </c>
      <c r="T724">
        <v>2</v>
      </c>
      <c r="U724">
        <v>2</v>
      </c>
      <c r="V724">
        <v>1</v>
      </c>
      <c r="W724">
        <v>6</v>
      </c>
      <c r="X724">
        <v>6</v>
      </c>
      <c r="Y724">
        <v>7</v>
      </c>
      <c r="Z724">
        <v>4</v>
      </c>
    </row>
    <row r="725" spans="1:27" x14ac:dyDescent="0.3">
      <c r="A725" t="s">
        <v>704</v>
      </c>
      <c r="B725">
        <v>36</v>
      </c>
      <c r="P725">
        <v>0</v>
      </c>
      <c r="Q725">
        <v>0</v>
      </c>
      <c r="R725">
        <v>0</v>
      </c>
      <c r="S725">
        <v>0</v>
      </c>
      <c r="T725">
        <v>0</v>
      </c>
      <c r="U725">
        <v>0</v>
      </c>
      <c r="V725">
        <v>0</v>
      </c>
      <c r="W725">
        <v>0</v>
      </c>
      <c r="X725">
        <v>0</v>
      </c>
      <c r="Y725">
        <v>0</v>
      </c>
      <c r="Z725">
        <v>0</v>
      </c>
    </row>
    <row r="726" spans="1:27" x14ac:dyDescent="0.3">
      <c r="A726" t="s">
        <v>705</v>
      </c>
      <c r="B726">
        <v>36</v>
      </c>
      <c r="P726">
        <v>0</v>
      </c>
      <c r="Q726">
        <v>0</v>
      </c>
      <c r="R726">
        <v>0</v>
      </c>
      <c r="S726">
        <v>0</v>
      </c>
      <c r="T726">
        <v>0</v>
      </c>
      <c r="U726">
        <v>0</v>
      </c>
      <c r="V726">
        <v>0</v>
      </c>
      <c r="W726">
        <v>0</v>
      </c>
      <c r="X726">
        <v>0</v>
      </c>
      <c r="Y726">
        <v>0</v>
      </c>
      <c r="Z726">
        <v>0</v>
      </c>
    </row>
    <row r="727" spans="1:27" x14ac:dyDescent="0.3">
      <c r="A727" t="s">
        <v>706</v>
      </c>
      <c r="B727">
        <v>36</v>
      </c>
      <c r="P727">
        <v>0</v>
      </c>
      <c r="Q727">
        <v>0</v>
      </c>
      <c r="R727">
        <v>0</v>
      </c>
      <c r="S727">
        <v>0</v>
      </c>
      <c r="T727">
        <v>0</v>
      </c>
      <c r="U727">
        <v>0</v>
      </c>
      <c r="V727">
        <v>0</v>
      </c>
      <c r="W727">
        <v>0</v>
      </c>
      <c r="X727">
        <v>0</v>
      </c>
      <c r="Y727">
        <v>0</v>
      </c>
      <c r="Z727">
        <v>0</v>
      </c>
    </row>
    <row r="728" spans="1:27" x14ac:dyDescent="0.3">
      <c r="A728" t="s">
        <v>707</v>
      </c>
      <c r="B728">
        <v>36</v>
      </c>
      <c r="P728">
        <v>0</v>
      </c>
      <c r="Q728">
        <v>0</v>
      </c>
      <c r="R728">
        <v>0</v>
      </c>
      <c r="S728">
        <v>0</v>
      </c>
      <c r="T728">
        <v>0</v>
      </c>
      <c r="U728">
        <v>0</v>
      </c>
      <c r="V728">
        <v>0</v>
      </c>
      <c r="W728">
        <v>0</v>
      </c>
      <c r="X728">
        <v>0</v>
      </c>
      <c r="Y728">
        <v>0</v>
      </c>
      <c r="Z728">
        <v>0</v>
      </c>
    </row>
    <row r="729" spans="1:27" x14ac:dyDescent="0.3">
      <c r="A729" t="s">
        <v>708</v>
      </c>
      <c r="B729">
        <v>36</v>
      </c>
      <c r="P729">
        <v>1</v>
      </c>
      <c r="Q729">
        <v>2</v>
      </c>
      <c r="R729">
        <v>1</v>
      </c>
      <c r="S729">
        <v>1</v>
      </c>
      <c r="T729">
        <v>2</v>
      </c>
      <c r="U729">
        <v>1</v>
      </c>
      <c r="V729">
        <v>1</v>
      </c>
      <c r="W729">
        <v>2</v>
      </c>
      <c r="X729">
        <v>1</v>
      </c>
      <c r="Y729">
        <v>1</v>
      </c>
      <c r="Z729">
        <v>2</v>
      </c>
    </row>
    <row r="730" spans="1:27" x14ac:dyDescent="0.3">
      <c r="A730" t="s">
        <v>709</v>
      </c>
      <c r="B730">
        <v>36</v>
      </c>
      <c r="P730">
        <v>0</v>
      </c>
      <c r="Q730">
        <v>0</v>
      </c>
      <c r="R730">
        <v>0</v>
      </c>
      <c r="S730">
        <v>0</v>
      </c>
      <c r="T730">
        <v>0</v>
      </c>
      <c r="U730">
        <v>0</v>
      </c>
      <c r="V730">
        <v>0</v>
      </c>
      <c r="W730">
        <v>0</v>
      </c>
      <c r="X730">
        <v>0</v>
      </c>
      <c r="Y730">
        <v>0</v>
      </c>
      <c r="Z730">
        <v>0</v>
      </c>
    </row>
    <row r="731" spans="1:27" x14ac:dyDescent="0.3">
      <c r="A731" t="s">
        <v>710</v>
      </c>
      <c r="B731">
        <v>36</v>
      </c>
      <c r="P731">
        <v>20</v>
      </c>
      <c r="Q731">
        <v>6</v>
      </c>
      <c r="R731">
        <v>20</v>
      </c>
      <c r="S731">
        <v>20</v>
      </c>
      <c r="T731">
        <v>6</v>
      </c>
      <c r="U731">
        <v>20</v>
      </c>
      <c r="V731">
        <v>20</v>
      </c>
      <c r="W731">
        <v>6</v>
      </c>
      <c r="X731">
        <v>20</v>
      </c>
      <c r="Y731">
        <v>20</v>
      </c>
      <c r="Z731">
        <v>6</v>
      </c>
    </row>
    <row r="732" spans="1:27" x14ac:dyDescent="0.3">
      <c r="A732" t="s">
        <v>711</v>
      </c>
      <c r="B732">
        <v>36</v>
      </c>
      <c r="P732">
        <v>3</v>
      </c>
      <c r="Q732">
        <v>3</v>
      </c>
      <c r="R732">
        <v>3</v>
      </c>
      <c r="S732">
        <v>3</v>
      </c>
      <c r="T732">
        <v>3</v>
      </c>
      <c r="U732">
        <v>3</v>
      </c>
      <c r="V732">
        <v>3</v>
      </c>
      <c r="W732">
        <v>3</v>
      </c>
      <c r="X732">
        <v>3</v>
      </c>
      <c r="Y732">
        <v>3</v>
      </c>
      <c r="Z732">
        <v>3</v>
      </c>
    </row>
    <row r="733" spans="1:27" x14ac:dyDescent="0.3">
      <c r="A733" t="s">
        <v>712</v>
      </c>
      <c r="B733">
        <v>36</v>
      </c>
      <c r="P733">
        <v>0</v>
      </c>
      <c r="Q733">
        <v>0</v>
      </c>
      <c r="R733">
        <v>0</v>
      </c>
      <c r="S733">
        <v>0</v>
      </c>
      <c r="T733">
        <v>0</v>
      </c>
      <c r="U733">
        <v>0</v>
      </c>
      <c r="V733">
        <v>0</v>
      </c>
      <c r="W733">
        <v>0</v>
      </c>
      <c r="X733">
        <v>0</v>
      </c>
      <c r="Y733">
        <v>0</v>
      </c>
      <c r="Z733">
        <v>0</v>
      </c>
    </row>
    <row r="734" spans="1:27" x14ac:dyDescent="0.3">
      <c r="A734" t="s">
        <v>713</v>
      </c>
      <c r="B734">
        <v>36</v>
      </c>
      <c r="P734">
        <v>0</v>
      </c>
      <c r="Q734">
        <v>0</v>
      </c>
      <c r="R734">
        <v>0</v>
      </c>
      <c r="S734">
        <v>0</v>
      </c>
      <c r="T734">
        <v>0</v>
      </c>
      <c r="U734">
        <v>0</v>
      </c>
      <c r="V734">
        <v>0</v>
      </c>
      <c r="W734">
        <v>0</v>
      </c>
      <c r="X734">
        <v>0</v>
      </c>
      <c r="Y734">
        <v>0</v>
      </c>
      <c r="Z734">
        <v>0</v>
      </c>
    </row>
    <row r="735" spans="1:27" x14ac:dyDescent="0.3">
      <c r="A735" t="s">
        <v>714</v>
      </c>
      <c r="B735">
        <v>36</v>
      </c>
      <c r="P735">
        <v>0</v>
      </c>
      <c r="Q735">
        <v>0</v>
      </c>
      <c r="R735">
        <v>0</v>
      </c>
      <c r="S735">
        <v>0</v>
      </c>
      <c r="T735">
        <v>0</v>
      </c>
      <c r="U735">
        <v>0</v>
      </c>
      <c r="V735">
        <v>0</v>
      </c>
      <c r="W735">
        <v>0</v>
      </c>
      <c r="X735">
        <v>0</v>
      </c>
      <c r="Y735">
        <v>0</v>
      </c>
      <c r="Z735">
        <v>0</v>
      </c>
    </row>
    <row r="736" spans="1:27" x14ac:dyDescent="0.3">
      <c r="A736" t="s">
        <v>715</v>
      </c>
      <c r="B736">
        <v>36</v>
      </c>
      <c r="Q736">
        <v>94</v>
      </c>
      <c r="T736">
        <v>94</v>
      </c>
      <c r="W736">
        <v>94</v>
      </c>
      <c r="Z736">
        <v>94</v>
      </c>
    </row>
    <row r="737" spans="1:27" x14ac:dyDescent="0.3">
      <c r="A737" t="s">
        <v>716</v>
      </c>
      <c r="B737">
        <v>36</v>
      </c>
      <c r="Q737">
        <v>6</v>
      </c>
      <c r="T737">
        <v>6</v>
      </c>
      <c r="W737">
        <v>6</v>
      </c>
      <c r="Z737">
        <v>6</v>
      </c>
    </row>
    <row r="738" spans="1:27" x14ac:dyDescent="0.3">
      <c r="A738" t="s">
        <v>717</v>
      </c>
      <c r="B738">
        <v>36</v>
      </c>
      <c r="Q738">
        <v>3</v>
      </c>
      <c r="T738">
        <v>3</v>
      </c>
      <c r="W738">
        <v>3</v>
      </c>
      <c r="Z738">
        <v>3</v>
      </c>
    </row>
    <row r="739" spans="1:27" x14ac:dyDescent="0.3">
      <c r="A739" t="s">
        <v>718</v>
      </c>
      <c r="B739">
        <v>36</v>
      </c>
      <c r="Q739">
        <v>0</v>
      </c>
      <c r="T739">
        <v>0</v>
      </c>
      <c r="W739">
        <v>0</v>
      </c>
      <c r="Z739">
        <v>0</v>
      </c>
    </row>
    <row r="740" spans="1:27" x14ac:dyDescent="0.3">
      <c r="A740" t="s">
        <v>719</v>
      </c>
      <c r="B740">
        <v>36</v>
      </c>
      <c r="Q740">
        <v>0</v>
      </c>
      <c r="T740">
        <v>0</v>
      </c>
      <c r="W740">
        <v>0</v>
      </c>
      <c r="Z740">
        <v>0</v>
      </c>
    </row>
    <row r="741" spans="1:27" x14ac:dyDescent="0.3">
      <c r="A741" t="s">
        <v>405</v>
      </c>
      <c r="B741">
        <v>36</v>
      </c>
      <c r="Q741">
        <v>0</v>
      </c>
    </row>
    <row r="742" spans="1:27" x14ac:dyDescent="0.3">
      <c r="A742" t="s">
        <v>720</v>
      </c>
      <c r="B742">
        <v>36</v>
      </c>
      <c r="P742">
        <v>50</v>
      </c>
      <c r="Q742">
        <v>98</v>
      </c>
      <c r="R742">
        <v>90</v>
      </c>
      <c r="S742">
        <v>46</v>
      </c>
      <c r="T742">
        <v>461</v>
      </c>
      <c r="U742">
        <v>70</v>
      </c>
      <c r="V742">
        <v>182</v>
      </c>
      <c r="W742">
        <v>887</v>
      </c>
      <c r="X742">
        <v>49</v>
      </c>
      <c r="Y742">
        <v>53</v>
      </c>
      <c r="Z742">
        <v>123</v>
      </c>
      <c r="AA742">
        <v>0</v>
      </c>
    </row>
    <row r="743" spans="1:27" x14ac:dyDescent="0.3">
      <c r="A743" t="s">
        <v>34</v>
      </c>
      <c r="B743">
        <v>39</v>
      </c>
      <c r="P743">
        <v>42</v>
      </c>
      <c r="R743">
        <v>42</v>
      </c>
      <c r="S743">
        <v>36</v>
      </c>
      <c r="T743">
        <v>36</v>
      </c>
      <c r="W743">
        <v>43</v>
      </c>
      <c r="X743">
        <v>43</v>
      </c>
    </row>
    <row r="744" spans="1:27" x14ac:dyDescent="0.3">
      <c r="A744" t="s">
        <v>35</v>
      </c>
      <c r="B744">
        <v>39</v>
      </c>
      <c r="P744">
        <v>43</v>
      </c>
      <c r="R744">
        <v>36</v>
      </c>
      <c r="S744">
        <v>42</v>
      </c>
      <c r="T744">
        <v>43</v>
      </c>
      <c r="W744">
        <v>36</v>
      </c>
      <c r="X744">
        <v>42</v>
      </c>
    </row>
    <row r="745" spans="1:27" x14ac:dyDescent="0.3">
      <c r="A745" t="s">
        <v>36</v>
      </c>
      <c r="B745">
        <v>39</v>
      </c>
      <c r="P745">
        <v>2</v>
      </c>
      <c r="R745">
        <v>1</v>
      </c>
      <c r="S745">
        <v>2</v>
      </c>
      <c r="T745">
        <v>3</v>
      </c>
      <c r="W745">
        <v>3</v>
      </c>
      <c r="X745">
        <v>1</v>
      </c>
    </row>
    <row r="746" spans="1:27" x14ac:dyDescent="0.3">
      <c r="A746" t="s">
        <v>37</v>
      </c>
      <c r="B746">
        <v>39</v>
      </c>
      <c r="P746">
        <v>0</v>
      </c>
      <c r="S746">
        <v>0</v>
      </c>
      <c r="T746">
        <v>0</v>
      </c>
      <c r="W746">
        <v>0</v>
      </c>
    </row>
    <row r="747" spans="1:27" x14ac:dyDescent="0.3">
      <c r="A747" t="s">
        <v>38</v>
      </c>
      <c r="B747">
        <v>39</v>
      </c>
      <c r="P747">
        <v>12</v>
      </c>
      <c r="R747">
        <v>12</v>
      </c>
      <c r="S747">
        <v>12</v>
      </c>
      <c r="T747">
        <v>12</v>
      </c>
      <c r="W747">
        <v>12</v>
      </c>
      <c r="X747">
        <v>12</v>
      </c>
    </row>
    <row r="748" spans="1:27" x14ac:dyDescent="0.3">
      <c r="A748" t="s">
        <v>39</v>
      </c>
      <c r="B748">
        <v>39</v>
      </c>
      <c r="R748">
        <v>340</v>
      </c>
      <c r="S748">
        <v>390</v>
      </c>
      <c r="X748">
        <v>795</v>
      </c>
    </row>
    <row r="749" spans="1:27" x14ac:dyDescent="0.3">
      <c r="A749" t="s">
        <v>695</v>
      </c>
      <c r="B749">
        <v>39</v>
      </c>
      <c r="R749">
        <v>100</v>
      </c>
      <c r="S749">
        <v>115</v>
      </c>
      <c r="X749">
        <v>85</v>
      </c>
    </row>
    <row r="750" spans="1:27" x14ac:dyDescent="0.3">
      <c r="A750" t="s">
        <v>40</v>
      </c>
      <c r="B750">
        <v>39</v>
      </c>
      <c r="R750">
        <v>1</v>
      </c>
      <c r="S750">
        <v>2</v>
      </c>
      <c r="X750">
        <v>1</v>
      </c>
    </row>
    <row r="751" spans="1:27" x14ac:dyDescent="0.3">
      <c r="A751" t="s">
        <v>41</v>
      </c>
      <c r="B751">
        <v>39</v>
      </c>
    </row>
    <row r="752" spans="1:27" x14ac:dyDescent="0.3">
      <c r="A752" t="s">
        <v>42</v>
      </c>
      <c r="B752">
        <v>39</v>
      </c>
      <c r="P752">
        <v>45</v>
      </c>
      <c r="T752">
        <v>55</v>
      </c>
      <c r="W752">
        <v>55</v>
      </c>
    </row>
    <row r="753" spans="1:24" x14ac:dyDescent="0.3">
      <c r="A753" t="s">
        <v>45</v>
      </c>
      <c r="B753">
        <v>39</v>
      </c>
      <c r="P753">
        <v>3</v>
      </c>
      <c r="R753">
        <v>2</v>
      </c>
      <c r="S753">
        <v>2</v>
      </c>
      <c r="T753">
        <v>1</v>
      </c>
      <c r="W753">
        <v>1</v>
      </c>
    </row>
    <row r="754" spans="1:24" x14ac:dyDescent="0.3">
      <c r="A754" t="s">
        <v>770</v>
      </c>
      <c r="B754">
        <v>39</v>
      </c>
      <c r="R754">
        <v>3</v>
      </c>
      <c r="T754">
        <v>2</v>
      </c>
      <c r="W754">
        <v>4</v>
      </c>
    </row>
    <row r="755" spans="1:24" x14ac:dyDescent="0.3">
      <c r="A755" t="s">
        <v>771</v>
      </c>
      <c r="B755">
        <v>39</v>
      </c>
      <c r="T755">
        <v>4</v>
      </c>
    </row>
    <row r="756" spans="1:24" x14ac:dyDescent="0.3">
      <c r="A756" t="s">
        <v>46</v>
      </c>
      <c r="B756">
        <v>39</v>
      </c>
      <c r="X756">
        <v>1</v>
      </c>
    </row>
    <row r="757" spans="1:24" x14ac:dyDescent="0.3">
      <c r="A757" t="s">
        <v>772</v>
      </c>
      <c r="B757">
        <v>39</v>
      </c>
      <c r="X757">
        <v>4</v>
      </c>
    </row>
    <row r="758" spans="1:24" x14ac:dyDescent="0.3">
      <c r="A758" t="s">
        <v>49</v>
      </c>
      <c r="B758">
        <v>39</v>
      </c>
      <c r="P758">
        <v>9.9</v>
      </c>
      <c r="R758">
        <v>9.6</v>
      </c>
      <c r="S758">
        <v>9.6</v>
      </c>
      <c r="T758">
        <v>7.3</v>
      </c>
      <c r="W758">
        <v>7.3</v>
      </c>
      <c r="X758">
        <v>7.3</v>
      </c>
    </row>
    <row r="759" spans="1:24" x14ac:dyDescent="0.3">
      <c r="A759" t="s">
        <v>696</v>
      </c>
      <c r="B759">
        <v>39</v>
      </c>
      <c r="P759">
        <v>0</v>
      </c>
      <c r="R759">
        <v>0</v>
      </c>
      <c r="S759">
        <v>0</v>
      </c>
      <c r="T759">
        <v>0</v>
      </c>
      <c r="W759">
        <v>0</v>
      </c>
      <c r="X759">
        <v>0</v>
      </c>
    </row>
    <row r="760" spans="1:24" x14ac:dyDescent="0.3">
      <c r="A760" t="s">
        <v>48</v>
      </c>
      <c r="B760">
        <v>39</v>
      </c>
      <c r="P760">
        <v>1900</v>
      </c>
      <c r="R760">
        <v>1900</v>
      </c>
      <c r="S760">
        <v>1900</v>
      </c>
      <c r="T760">
        <v>1900</v>
      </c>
      <c r="W760">
        <v>1900</v>
      </c>
      <c r="X760">
        <v>1900</v>
      </c>
    </row>
    <row r="761" spans="1:24" x14ac:dyDescent="0.3">
      <c r="A761" t="s">
        <v>697</v>
      </c>
      <c r="B761">
        <v>39</v>
      </c>
      <c r="P761">
        <v>3433</v>
      </c>
      <c r="R761">
        <v>1583</v>
      </c>
      <c r="S761">
        <v>3433</v>
      </c>
      <c r="T761">
        <v>5085</v>
      </c>
      <c r="W761">
        <v>5085</v>
      </c>
      <c r="X761">
        <v>1583</v>
      </c>
    </row>
    <row r="762" spans="1:24" x14ac:dyDescent="0.3">
      <c r="A762" t="s">
        <v>50</v>
      </c>
      <c r="B762">
        <v>39</v>
      </c>
      <c r="P762">
        <v>3433</v>
      </c>
      <c r="R762">
        <v>1583</v>
      </c>
      <c r="S762">
        <v>3433</v>
      </c>
      <c r="T762">
        <v>5085</v>
      </c>
      <c r="W762">
        <v>5085</v>
      </c>
      <c r="X762">
        <v>1583</v>
      </c>
    </row>
    <row r="763" spans="1:24" x14ac:dyDescent="0.3">
      <c r="A763" t="s">
        <v>698</v>
      </c>
      <c r="B763">
        <v>39</v>
      </c>
      <c r="P763">
        <v>1</v>
      </c>
      <c r="R763">
        <v>1</v>
      </c>
      <c r="S763">
        <v>1</v>
      </c>
      <c r="T763">
        <v>1</v>
      </c>
      <c r="W763">
        <v>1</v>
      </c>
      <c r="X763">
        <v>1</v>
      </c>
    </row>
    <row r="764" spans="1:24" x14ac:dyDescent="0.3">
      <c r="A764" t="s">
        <v>51</v>
      </c>
      <c r="B764">
        <v>39</v>
      </c>
      <c r="P764">
        <v>0</v>
      </c>
      <c r="R764">
        <v>77</v>
      </c>
      <c r="S764">
        <v>0</v>
      </c>
      <c r="T764">
        <v>0</v>
      </c>
      <c r="W764">
        <v>0</v>
      </c>
      <c r="X764">
        <v>233</v>
      </c>
    </row>
    <row r="765" spans="1:24" x14ac:dyDescent="0.3">
      <c r="A765" t="s">
        <v>53</v>
      </c>
      <c r="B765">
        <v>39</v>
      </c>
      <c r="P765">
        <v>488</v>
      </c>
      <c r="R765">
        <v>221</v>
      </c>
      <c r="S765">
        <v>72</v>
      </c>
      <c r="T765">
        <v>496</v>
      </c>
      <c r="W765">
        <v>806</v>
      </c>
      <c r="X765">
        <v>214</v>
      </c>
    </row>
    <row r="766" spans="1:24" x14ac:dyDescent="0.3">
      <c r="A766" t="s">
        <v>54</v>
      </c>
      <c r="B766">
        <v>39</v>
      </c>
      <c r="P766">
        <v>0</v>
      </c>
      <c r="R766">
        <v>0</v>
      </c>
      <c r="S766">
        <v>0</v>
      </c>
      <c r="T766">
        <v>0</v>
      </c>
      <c r="W766">
        <v>0</v>
      </c>
      <c r="X766">
        <v>0</v>
      </c>
    </row>
    <row r="767" spans="1:24" x14ac:dyDescent="0.3">
      <c r="A767" t="s">
        <v>55</v>
      </c>
      <c r="B767">
        <v>39</v>
      </c>
      <c r="P767">
        <v>0</v>
      </c>
      <c r="R767">
        <v>0</v>
      </c>
      <c r="S767">
        <v>0</v>
      </c>
      <c r="T767">
        <v>0</v>
      </c>
      <c r="W767">
        <v>0</v>
      </c>
      <c r="X767">
        <v>0</v>
      </c>
    </row>
    <row r="768" spans="1:24" x14ac:dyDescent="0.3">
      <c r="A768" t="s">
        <v>56</v>
      </c>
      <c r="B768">
        <v>39</v>
      </c>
      <c r="P768">
        <v>0.92</v>
      </c>
      <c r="R768">
        <v>0.92</v>
      </c>
      <c r="S768">
        <v>0.92</v>
      </c>
      <c r="T768">
        <v>0.92</v>
      </c>
      <c r="W768">
        <v>0.92</v>
      </c>
      <c r="X768">
        <v>0.92</v>
      </c>
    </row>
    <row r="769" spans="1:24" x14ac:dyDescent="0.3">
      <c r="A769" t="s">
        <v>57</v>
      </c>
      <c r="B769">
        <v>39</v>
      </c>
      <c r="P769">
        <v>100</v>
      </c>
      <c r="R769">
        <v>100</v>
      </c>
      <c r="S769">
        <v>100</v>
      </c>
      <c r="T769">
        <v>100</v>
      </c>
      <c r="W769">
        <v>100</v>
      </c>
      <c r="X769">
        <v>100</v>
      </c>
    </row>
    <row r="770" spans="1:24" x14ac:dyDescent="0.3">
      <c r="A770" t="s">
        <v>58</v>
      </c>
      <c r="B770">
        <v>39</v>
      </c>
      <c r="P770">
        <v>2</v>
      </c>
      <c r="R770">
        <v>2</v>
      </c>
      <c r="S770">
        <v>2</v>
      </c>
      <c r="T770">
        <v>2</v>
      </c>
      <c r="W770">
        <v>2</v>
      </c>
      <c r="X770">
        <v>2</v>
      </c>
    </row>
    <row r="771" spans="1:24" x14ac:dyDescent="0.3">
      <c r="A771" t="s">
        <v>59</v>
      </c>
      <c r="B771">
        <v>39</v>
      </c>
      <c r="P771">
        <v>0</v>
      </c>
      <c r="R771">
        <v>0</v>
      </c>
      <c r="S771">
        <v>0</v>
      </c>
      <c r="T771">
        <v>0</v>
      </c>
      <c r="W771">
        <v>0</v>
      </c>
      <c r="X771">
        <v>0</v>
      </c>
    </row>
    <row r="772" spans="1:24" x14ac:dyDescent="0.3">
      <c r="A772" t="s">
        <v>699</v>
      </c>
      <c r="B772">
        <v>39</v>
      </c>
      <c r="P772">
        <v>0</v>
      </c>
      <c r="T772">
        <v>0</v>
      </c>
      <c r="W772">
        <v>0</v>
      </c>
    </row>
    <row r="773" spans="1:24" x14ac:dyDescent="0.3">
      <c r="A773" t="s">
        <v>678</v>
      </c>
      <c r="B773">
        <v>39</v>
      </c>
      <c r="P773">
        <v>610</v>
      </c>
      <c r="T773">
        <v>5039</v>
      </c>
      <c r="W773">
        <v>1361</v>
      </c>
    </row>
    <row r="774" spans="1:24" x14ac:dyDescent="0.3">
      <c r="A774" t="s">
        <v>78</v>
      </c>
      <c r="B774">
        <v>39</v>
      </c>
      <c r="P774">
        <v>9.1999999999999993</v>
      </c>
      <c r="T774">
        <v>62.5</v>
      </c>
      <c r="W774">
        <v>16.899999999999999</v>
      </c>
    </row>
    <row r="775" spans="1:24" x14ac:dyDescent="0.3">
      <c r="A775" t="s">
        <v>700</v>
      </c>
      <c r="B775">
        <v>39</v>
      </c>
      <c r="R775">
        <v>0</v>
      </c>
      <c r="T775">
        <v>0</v>
      </c>
      <c r="X775">
        <v>0</v>
      </c>
    </row>
    <row r="776" spans="1:24" x14ac:dyDescent="0.3">
      <c r="A776" t="s">
        <v>701</v>
      </c>
      <c r="B776">
        <v>39</v>
      </c>
      <c r="P776">
        <v>0</v>
      </c>
      <c r="R776">
        <v>1</v>
      </c>
      <c r="S776">
        <v>0</v>
      </c>
      <c r="T776">
        <v>0</v>
      </c>
      <c r="W776">
        <v>0</v>
      </c>
      <c r="X776">
        <v>1</v>
      </c>
    </row>
    <row r="777" spans="1:24" x14ac:dyDescent="0.3">
      <c r="A777" t="s">
        <v>702</v>
      </c>
      <c r="B777">
        <v>39</v>
      </c>
      <c r="P777">
        <v>0</v>
      </c>
      <c r="R777">
        <v>0</v>
      </c>
      <c r="S777">
        <v>0</v>
      </c>
      <c r="T777">
        <v>0</v>
      </c>
      <c r="W777">
        <v>0</v>
      </c>
      <c r="X777">
        <v>0</v>
      </c>
    </row>
    <row r="778" spans="1:24" x14ac:dyDescent="0.3">
      <c r="A778" t="s">
        <v>52</v>
      </c>
      <c r="B778">
        <v>39</v>
      </c>
      <c r="P778">
        <v>1</v>
      </c>
      <c r="R778">
        <v>1</v>
      </c>
      <c r="S778">
        <v>1</v>
      </c>
      <c r="T778">
        <v>1</v>
      </c>
      <c r="W778">
        <v>1</v>
      </c>
      <c r="X778">
        <v>1</v>
      </c>
    </row>
    <row r="779" spans="1:24" x14ac:dyDescent="0.3">
      <c r="A779" t="s">
        <v>703</v>
      </c>
      <c r="B779">
        <v>39</v>
      </c>
      <c r="P779">
        <v>15</v>
      </c>
      <c r="R779">
        <v>9</v>
      </c>
      <c r="S779">
        <v>15</v>
      </c>
      <c r="T779">
        <v>60</v>
      </c>
      <c r="W779">
        <v>60</v>
      </c>
      <c r="X779">
        <v>9</v>
      </c>
    </row>
    <row r="780" spans="1:24" x14ac:dyDescent="0.3">
      <c r="A780" t="s">
        <v>43</v>
      </c>
      <c r="B780">
        <v>39</v>
      </c>
      <c r="P780">
        <v>20</v>
      </c>
      <c r="R780">
        <v>20</v>
      </c>
      <c r="S780">
        <v>20</v>
      </c>
      <c r="T780">
        <v>100</v>
      </c>
      <c r="W780">
        <v>100</v>
      </c>
      <c r="X780">
        <v>20</v>
      </c>
    </row>
    <row r="781" spans="1:24" x14ac:dyDescent="0.3">
      <c r="A781" t="s">
        <v>44</v>
      </c>
      <c r="B781">
        <v>39</v>
      </c>
      <c r="P781">
        <v>0</v>
      </c>
      <c r="R781">
        <v>0</v>
      </c>
      <c r="S781">
        <v>0</v>
      </c>
      <c r="T781">
        <v>0</v>
      </c>
      <c r="W781">
        <v>0</v>
      </c>
      <c r="X781">
        <v>0</v>
      </c>
    </row>
    <row r="782" spans="1:24" x14ac:dyDescent="0.3">
      <c r="A782" t="s">
        <v>47</v>
      </c>
      <c r="B782">
        <v>39</v>
      </c>
      <c r="P782">
        <v>3</v>
      </c>
      <c r="R782">
        <v>2</v>
      </c>
      <c r="S782">
        <v>2</v>
      </c>
      <c r="T782">
        <v>1</v>
      </c>
      <c r="W782">
        <v>1</v>
      </c>
      <c r="X782">
        <v>1</v>
      </c>
    </row>
    <row r="783" spans="1:24" x14ac:dyDescent="0.3">
      <c r="A783" t="s">
        <v>704</v>
      </c>
      <c r="B783">
        <v>39</v>
      </c>
      <c r="P783">
        <v>0</v>
      </c>
      <c r="R783">
        <v>3</v>
      </c>
      <c r="S783">
        <v>0</v>
      </c>
      <c r="T783">
        <v>2</v>
      </c>
      <c r="W783">
        <v>4</v>
      </c>
      <c r="X783">
        <v>4</v>
      </c>
    </row>
    <row r="784" spans="1:24" x14ac:dyDescent="0.3">
      <c r="A784" t="s">
        <v>705</v>
      </c>
      <c r="B784">
        <v>39</v>
      </c>
      <c r="P784">
        <v>0</v>
      </c>
      <c r="R784">
        <v>0</v>
      </c>
      <c r="S784">
        <v>0</v>
      </c>
      <c r="T784">
        <v>4</v>
      </c>
      <c r="W784">
        <v>0</v>
      </c>
      <c r="X784">
        <v>0</v>
      </c>
    </row>
    <row r="785" spans="1:24" x14ac:dyDescent="0.3">
      <c r="A785" t="s">
        <v>706</v>
      </c>
      <c r="B785">
        <v>39</v>
      </c>
      <c r="P785">
        <v>0</v>
      </c>
      <c r="R785">
        <v>0</v>
      </c>
      <c r="S785">
        <v>0</v>
      </c>
      <c r="T785">
        <v>0</v>
      </c>
      <c r="W785">
        <v>0</v>
      </c>
      <c r="X785">
        <v>0</v>
      </c>
    </row>
    <row r="786" spans="1:24" x14ac:dyDescent="0.3">
      <c r="A786" t="s">
        <v>707</v>
      </c>
      <c r="B786">
        <v>39</v>
      </c>
      <c r="P786">
        <v>0</v>
      </c>
      <c r="R786">
        <v>0</v>
      </c>
      <c r="S786">
        <v>0</v>
      </c>
      <c r="T786">
        <v>0</v>
      </c>
      <c r="W786">
        <v>0</v>
      </c>
      <c r="X786">
        <v>0</v>
      </c>
    </row>
    <row r="787" spans="1:24" x14ac:dyDescent="0.3">
      <c r="A787" t="s">
        <v>708</v>
      </c>
      <c r="B787">
        <v>39</v>
      </c>
      <c r="P787">
        <v>1</v>
      </c>
      <c r="R787">
        <v>1</v>
      </c>
      <c r="S787">
        <v>1</v>
      </c>
      <c r="T787">
        <v>2</v>
      </c>
      <c r="W787">
        <v>2</v>
      </c>
      <c r="X787">
        <v>1</v>
      </c>
    </row>
    <row r="788" spans="1:24" x14ac:dyDescent="0.3">
      <c r="A788" t="s">
        <v>709</v>
      </c>
      <c r="B788">
        <v>39</v>
      </c>
      <c r="P788">
        <v>0</v>
      </c>
      <c r="R788">
        <v>0</v>
      </c>
      <c r="S788">
        <v>0</v>
      </c>
      <c r="T788">
        <v>0</v>
      </c>
      <c r="W788">
        <v>0</v>
      </c>
      <c r="X788">
        <v>0</v>
      </c>
    </row>
    <row r="789" spans="1:24" x14ac:dyDescent="0.3">
      <c r="A789" t="s">
        <v>710</v>
      </c>
      <c r="B789">
        <v>39</v>
      </c>
      <c r="P789">
        <v>20</v>
      </c>
      <c r="R789">
        <v>20</v>
      </c>
      <c r="S789">
        <v>20</v>
      </c>
      <c r="T789">
        <v>6</v>
      </c>
      <c r="W789">
        <v>6</v>
      </c>
      <c r="X789">
        <v>20</v>
      </c>
    </row>
    <row r="790" spans="1:24" x14ac:dyDescent="0.3">
      <c r="A790" t="s">
        <v>711</v>
      </c>
      <c r="B790">
        <v>39</v>
      </c>
      <c r="P790">
        <v>3</v>
      </c>
      <c r="R790">
        <v>3</v>
      </c>
      <c r="S790">
        <v>3</v>
      </c>
      <c r="T790">
        <v>3</v>
      </c>
      <c r="W790">
        <v>3</v>
      </c>
      <c r="X790">
        <v>3</v>
      </c>
    </row>
    <row r="791" spans="1:24" x14ac:dyDescent="0.3">
      <c r="A791" t="s">
        <v>712</v>
      </c>
      <c r="B791">
        <v>39</v>
      </c>
      <c r="P791">
        <v>0</v>
      </c>
      <c r="R791">
        <v>0</v>
      </c>
      <c r="S791">
        <v>0</v>
      </c>
      <c r="T791">
        <v>0</v>
      </c>
      <c r="W791">
        <v>0</v>
      </c>
      <c r="X791">
        <v>0</v>
      </c>
    </row>
    <row r="792" spans="1:24" x14ac:dyDescent="0.3">
      <c r="A792" t="s">
        <v>713</v>
      </c>
      <c r="B792">
        <v>39</v>
      </c>
      <c r="P792">
        <v>0</v>
      </c>
      <c r="R792">
        <v>0</v>
      </c>
      <c r="S792">
        <v>0</v>
      </c>
      <c r="T792">
        <v>0</v>
      </c>
      <c r="W792">
        <v>0</v>
      </c>
      <c r="X792">
        <v>0</v>
      </c>
    </row>
    <row r="793" spans="1:24" x14ac:dyDescent="0.3">
      <c r="A793" t="s">
        <v>714</v>
      </c>
      <c r="B793">
        <v>39</v>
      </c>
      <c r="P793">
        <v>0</v>
      </c>
      <c r="R793">
        <v>0</v>
      </c>
      <c r="S793">
        <v>0</v>
      </c>
      <c r="T793">
        <v>0</v>
      </c>
      <c r="W793">
        <v>0</v>
      </c>
      <c r="X793">
        <v>0</v>
      </c>
    </row>
    <row r="794" spans="1:24" x14ac:dyDescent="0.3">
      <c r="A794" t="s">
        <v>715</v>
      </c>
      <c r="B794">
        <v>39</v>
      </c>
      <c r="T794">
        <v>94</v>
      </c>
      <c r="W794">
        <v>94</v>
      </c>
    </row>
    <row r="795" spans="1:24" x14ac:dyDescent="0.3">
      <c r="A795" t="s">
        <v>716</v>
      </c>
      <c r="B795">
        <v>39</v>
      </c>
      <c r="T795">
        <v>6</v>
      </c>
      <c r="W795">
        <v>6</v>
      </c>
    </row>
    <row r="796" spans="1:24" x14ac:dyDescent="0.3">
      <c r="A796" t="s">
        <v>717</v>
      </c>
      <c r="B796">
        <v>39</v>
      </c>
      <c r="T796">
        <v>3</v>
      </c>
      <c r="W796">
        <v>3</v>
      </c>
    </row>
    <row r="797" spans="1:24" x14ac:dyDescent="0.3">
      <c r="A797" t="s">
        <v>718</v>
      </c>
      <c r="B797">
        <v>39</v>
      </c>
      <c r="T797">
        <v>0</v>
      </c>
      <c r="W797">
        <v>0</v>
      </c>
    </row>
    <row r="798" spans="1:24" x14ac:dyDescent="0.3">
      <c r="A798" t="s">
        <v>719</v>
      </c>
      <c r="B798">
        <v>39</v>
      </c>
      <c r="P798">
        <v>0</v>
      </c>
      <c r="T798">
        <v>0</v>
      </c>
      <c r="W798">
        <v>0</v>
      </c>
    </row>
    <row r="799" spans="1:24" x14ac:dyDescent="0.3">
      <c r="A799" t="s">
        <v>405</v>
      </c>
      <c r="B799">
        <v>39</v>
      </c>
      <c r="P799">
        <v>0</v>
      </c>
    </row>
    <row r="800" spans="1:24" x14ac:dyDescent="0.3">
      <c r="A800" t="s">
        <v>720</v>
      </c>
      <c r="B800">
        <v>39</v>
      </c>
      <c r="P800">
        <v>530</v>
      </c>
      <c r="R800">
        <v>240</v>
      </c>
      <c r="S800">
        <v>78</v>
      </c>
      <c r="T800">
        <v>539</v>
      </c>
      <c r="W800">
        <v>876</v>
      </c>
      <c r="X800">
        <v>233</v>
      </c>
    </row>
    <row r="801" spans="1:24" x14ac:dyDescent="0.3">
      <c r="A801" t="s">
        <v>34</v>
      </c>
      <c r="B801">
        <v>43</v>
      </c>
      <c r="P801">
        <v>45</v>
      </c>
      <c r="R801">
        <v>45</v>
      </c>
      <c r="S801">
        <v>39</v>
      </c>
      <c r="T801">
        <v>39</v>
      </c>
      <c r="W801">
        <v>44</v>
      </c>
      <c r="X801">
        <v>44</v>
      </c>
    </row>
    <row r="802" spans="1:24" x14ac:dyDescent="0.3">
      <c r="A802" t="s">
        <v>35</v>
      </c>
      <c r="B802">
        <v>43</v>
      </c>
      <c r="P802">
        <v>44</v>
      </c>
      <c r="R802">
        <v>39</v>
      </c>
      <c r="S802">
        <v>45</v>
      </c>
      <c r="T802">
        <v>44</v>
      </c>
      <c r="W802">
        <v>39</v>
      </c>
      <c r="X802">
        <v>45</v>
      </c>
    </row>
    <row r="803" spans="1:24" x14ac:dyDescent="0.3">
      <c r="A803" t="s">
        <v>36</v>
      </c>
      <c r="B803">
        <v>43</v>
      </c>
      <c r="P803">
        <v>2</v>
      </c>
      <c r="R803">
        <v>1</v>
      </c>
      <c r="S803">
        <v>2</v>
      </c>
      <c r="T803">
        <v>3</v>
      </c>
      <c r="W803">
        <v>3</v>
      </c>
      <c r="X803">
        <v>1</v>
      </c>
    </row>
    <row r="804" spans="1:24" x14ac:dyDescent="0.3">
      <c r="A804" t="s">
        <v>37</v>
      </c>
      <c r="B804">
        <v>43</v>
      </c>
      <c r="P804">
        <v>0</v>
      </c>
      <c r="S804">
        <v>0</v>
      </c>
      <c r="T804">
        <v>0</v>
      </c>
      <c r="W804">
        <v>0</v>
      </c>
    </row>
    <row r="805" spans="1:24" x14ac:dyDescent="0.3">
      <c r="A805" t="s">
        <v>38</v>
      </c>
      <c r="B805">
        <v>43</v>
      </c>
      <c r="P805">
        <v>12</v>
      </c>
      <c r="R805">
        <v>12</v>
      </c>
      <c r="S805">
        <v>12</v>
      </c>
      <c r="T805">
        <v>12</v>
      </c>
      <c r="W805">
        <v>12</v>
      </c>
      <c r="X805">
        <v>12</v>
      </c>
    </row>
    <row r="806" spans="1:24" x14ac:dyDescent="0.3">
      <c r="A806" t="s">
        <v>39</v>
      </c>
      <c r="B806">
        <v>43</v>
      </c>
      <c r="R806">
        <v>325</v>
      </c>
      <c r="S806">
        <v>780</v>
      </c>
      <c r="X806">
        <v>570</v>
      </c>
    </row>
    <row r="807" spans="1:24" x14ac:dyDescent="0.3">
      <c r="A807" t="s">
        <v>695</v>
      </c>
      <c r="B807">
        <v>43</v>
      </c>
      <c r="R807">
        <v>200</v>
      </c>
      <c r="S807">
        <v>145</v>
      </c>
      <c r="X807">
        <v>85</v>
      </c>
    </row>
    <row r="808" spans="1:24" x14ac:dyDescent="0.3">
      <c r="A808" t="s">
        <v>40</v>
      </c>
      <c r="B808">
        <v>43</v>
      </c>
      <c r="R808">
        <v>1</v>
      </c>
      <c r="S808">
        <v>2</v>
      </c>
      <c r="X808">
        <v>1</v>
      </c>
    </row>
    <row r="809" spans="1:24" x14ac:dyDescent="0.3">
      <c r="A809" t="s">
        <v>41</v>
      </c>
      <c r="B809">
        <v>43</v>
      </c>
    </row>
    <row r="810" spans="1:24" x14ac:dyDescent="0.3">
      <c r="A810" t="s">
        <v>42</v>
      </c>
      <c r="B810">
        <v>43</v>
      </c>
      <c r="P810">
        <v>45</v>
      </c>
      <c r="T810">
        <v>55</v>
      </c>
      <c r="W810">
        <v>55</v>
      </c>
    </row>
    <row r="811" spans="1:24" x14ac:dyDescent="0.3">
      <c r="A811" t="s">
        <v>45</v>
      </c>
      <c r="B811">
        <v>43</v>
      </c>
      <c r="P811">
        <v>4</v>
      </c>
      <c r="R811">
        <v>4</v>
      </c>
      <c r="S811">
        <v>2</v>
      </c>
      <c r="T811">
        <v>1</v>
      </c>
      <c r="W811">
        <v>1</v>
      </c>
    </row>
    <row r="812" spans="1:24" x14ac:dyDescent="0.3">
      <c r="A812" t="s">
        <v>770</v>
      </c>
      <c r="B812">
        <v>43</v>
      </c>
      <c r="R812">
        <v>2</v>
      </c>
      <c r="T812">
        <v>2</v>
      </c>
      <c r="W812">
        <v>3</v>
      </c>
    </row>
    <row r="813" spans="1:24" x14ac:dyDescent="0.3">
      <c r="A813" t="s">
        <v>771</v>
      </c>
      <c r="B813">
        <v>43</v>
      </c>
      <c r="T813">
        <v>3</v>
      </c>
    </row>
    <row r="814" spans="1:24" x14ac:dyDescent="0.3">
      <c r="A814" t="s">
        <v>46</v>
      </c>
      <c r="B814">
        <v>43</v>
      </c>
      <c r="X814">
        <v>1</v>
      </c>
    </row>
    <row r="815" spans="1:24" x14ac:dyDescent="0.3">
      <c r="A815" t="s">
        <v>772</v>
      </c>
      <c r="B815">
        <v>43</v>
      </c>
      <c r="X815">
        <v>3</v>
      </c>
    </row>
    <row r="816" spans="1:24" x14ac:dyDescent="0.3">
      <c r="A816" t="s">
        <v>49</v>
      </c>
      <c r="B816">
        <v>43</v>
      </c>
      <c r="P816">
        <v>9.9</v>
      </c>
      <c r="R816">
        <v>9.9</v>
      </c>
      <c r="S816">
        <v>9.6</v>
      </c>
      <c r="T816">
        <v>7.3</v>
      </c>
      <c r="W816">
        <v>7.3</v>
      </c>
      <c r="X816">
        <v>7.3</v>
      </c>
    </row>
    <row r="817" spans="1:24" x14ac:dyDescent="0.3">
      <c r="A817" t="s">
        <v>696</v>
      </c>
      <c r="B817">
        <v>43</v>
      </c>
      <c r="P817">
        <v>0</v>
      </c>
      <c r="R817">
        <v>0</v>
      </c>
      <c r="S817">
        <v>0</v>
      </c>
      <c r="T817">
        <v>0</v>
      </c>
      <c r="W817">
        <v>0</v>
      </c>
      <c r="X817">
        <v>0</v>
      </c>
    </row>
    <row r="818" spans="1:24" x14ac:dyDescent="0.3">
      <c r="A818" t="s">
        <v>48</v>
      </c>
      <c r="B818">
        <v>43</v>
      </c>
      <c r="P818">
        <v>1900</v>
      </c>
      <c r="R818">
        <v>1900</v>
      </c>
      <c r="S818">
        <v>1900</v>
      </c>
      <c r="T818">
        <v>1900</v>
      </c>
      <c r="W818">
        <v>1900</v>
      </c>
      <c r="X818">
        <v>1900</v>
      </c>
    </row>
    <row r="819" spans="1:24" x14ac:dyDescent="0.3">
      <c r="A819" t="s">
        <v>697</v>
      </c>
      <c r="B819">
        <v>43</v>
      </c>
      <c r="P819">
        <v>3433</v>
      </c>
      <c r="R819">
        <v>1583</v>
      </c>
      <c r="S819">
        <v>3433</v>
      </c>
      <c r="T819">
        <v>5085</v>
      </c>
      <c r="W819">
        <v>5085</v>
      </c>
      <c r="X819">
        <v>1583</v>
      </c>
    </row>
    <row r="820" spans="1:24" x14ac:dyDescent="0.3">
      <c r="A820" t="s">
        <v>50</v>
      </c>
      <c r="B820">
        <v>43</v>
      </c>
      <c r="P820">
        <v>3433</v>
      </c>
      <c r="R820">
        <v>1583</v>
      </c>
      <c r="S820">
        <v>3433</v>
      </c>
      <c r="T820">
        <v>5085</v>
      </c>
      <c r="W820">
        <v>5085</v>
      </c>
      <c r="X820">
        <v>1583</v>
      </c>
    </row>
    <row r="821" spans="1:24" x14ac:dyDescent="0.3">
      <c r="A821" t="s">
        <v>698</v>
      </c>
      <c r="B821">
        <v>43</v>
      </c>
      <c r="P821">
        <v>1</v>
      </c>
      <c r="R821">
        <v>1</v>
      </c>
      <c r="S821">
        <v>1</v>
      </c>
      <c r="T821">
        <v>1</v>
      </c>
      <c r="W821">
        <v>1</v>
      </c>
      <c r="X821">
        <v>1</v>
      </c>
    </row>
    <row r="822" spans="1:24" x14ac:dyDescent="0.3">
      <c r="A822" t="s">
        <v>51</v>
      </c>
      <c r="B822">
        <v>43</v>
      </c>
      <c r="P822">
        <v>0</v>
      </c>
      <c r="R822">
        <v>94</v>
      </c>
      <c r="S822">
        <v>0</v>
      </c>
      <c r="T822">
        <v>0</v>
      </c>
      <c r="W822">
        <v>0</v>
      </c>
      <c r="X822">
        <v>672</v>
      </c>
    </row>
    <row r="823" spans="1:24" x14ac:dyDescent="0.3">
      <c r="A823" t="s">
        <v>53</v>
      </c>
      <c r="B823">
        <v>43</v>
      </c>
      <c r="P823">
        <v>88</v>
      </c>
      <c r="R823">
        <v>114</v>
      </c>
      <c r="S823">
        <v>71</v>
      </c>
      <c r="T823">
        <v>904</v>
      </c>
      <c r="W823">
        <v>902</v>
      </c>
      <c r="X823">
        <v>618</v>
      </c>
    </row>
    <row r="824" spans="1:24" x14ac:dyDescent="0.3">
      <c r="A824" t="s">
        <v>54</v>
      </c>
      <c r="B824">
        <v>43</v>
      </c>
      <c r="P824">
        <v>0</v>
      </c>
      <c r="R824">
        <v>0</v>
      </c>
      <c r="S824">
        <v>0</v>
      </c>
      <c r="T824">
        <v>0</v>
      </c>
      <c r="W824">
        <v>0</v>
      </c>
      <c r="X824">
        <v>0</v>
      </c>
    </row>
    <row r="825" spans="1:24" x14ac:dyDescent="0.3">
      <c r="A825" t="s">
        <v>55</v>
      </c>
      <c r="B825">
        <v>43</v>
      </c>
      <c r="P825">
        <v>0</v>
      </c>
      <c r="R825">
        <v>0</v>
      </c>
      <c r="S825">
        <v>0</v>
      </c>
      <c r="T825">
        <v>0</v>
      </c>
      <c r="W825">
        <v>0</v>
      </c>
      <c r="X825">
        <v>0</v>
      </c>
    </row>
    <row r="826" spans="1:24" x14ac:dyDescent="0.3">
      <c r="A826" t="s">
        <v>56</v>
      </c>
      <c r="B826">
        <v>43</v>
      </c>
      <c r="P826">
        <v>0.92</v>
      </c>
      <c r="R826">
        <v>0.92</v>
      </c>
      <c r="S826">
        <v>0.92</v>
      </c>
      <c r="T826">
        <v>0.92</v>
      </c>
      <c r="W826">
        <v>0.92</v>
      </c>
      <c r="X826">
        <v>0.92</v>
      </c>
    </row>
    <row r="827" spans="1:24" x14ac:dyDescent="0.3">
      <c r="A827" t="s">
        <v>57</v>
      </c>
      <c r="B827">
        <v>43</v>
      </c>
      <c r="P827">
        <v>100</v>
      </c>
      <c r="R827">
        <v>100</v>
      </c>
      <c r="S827">
        <v>100</v>
      </c>
      <c r="T827">
        <v>100</v>
      </c>
      <c r="W827">
        <v>100</v>
      </c>
      <c r="X827">
        <v>100</v>
      </c>
    </row>
    <row r="828" spans="1:24" x14ac:dyDescent="0.3">
      <c r="A828" t="s">
        <v>58</v>
      </c>
      <c r="B828">
        <v>43</v>
      </c>
      <c r="P828">
        <v>2</v>
      </c>
      <c r="R828">
        <v>2</v>
      </c>
      <c r="S828">
        <v>2</v>
      </c>
      <c r="T828">
        <v>2</v>
      </c>
      <c r="W828">
        <v>2</v>
      </c>
      <c r="X828">
        <v>2</v>
      </c>
    </row>
    <row r="829" spans="1:24" x14ac:dyDescent="0.3">
      <c r="A829" t="s">
        <v>59</v>
      </c>
      <c r="B829">
        <v>43</v>
      </c>
      <c r="P829">
        <v>0</v>
      </c>
      <c r="R829">
        <v>0</v>
      </c>
      <c r="S829">
        <v>0</v>
      </c>
      <c r="T829">
        <v>0</v>
      </c>
      <c r="W829">
        <v>0</v>
      </c>
      <c r="X829">
        <v>0</v>
      </c>
    </row>
    <row r="830" spans="1:24" x14ac:dyDescent="0.3">
      <c r="A830" t="s">
        <v>699</v>
      </c>
      <c r="B830">
        <v>43</v>
      </c>
      <c r="P830">
        <v>0</v>
      </c>
      <c r="T830">
        <v>0</v>
      </c>
      <c r="W830">
        <v>0</v>
      </c>
    </row>
    <row r="831" spans="1:24" x14ac:dyDescent="0.3">
      <c r="A831" t="s">
        <v>678</v>
      </c>
      <c r="B831">
        <v>43</v>
      </c>
      <c r="P831">
        <v>666</v>
      </c>
      <c r="T831">
        <v>1361</v>
      </c>
      <c r="W831">
        <v>2677</v>
      </c>
    </row>
    <row r="832" spans="1:24" x14ac:dyDescent="0.3">
      <c r="A832" t="s">
        <v>78</v>
      </c>
      <c r="B832">
        <v>43</v>
      </c>
      <c r="P832">
        <v>10.1</v>
      </c>
      <c r="T832">
        <v>16.899999999999999</v>
      </c>
      <c r="W832">
        <v>33.200000000000003</v>
      </c>
    </row>
    <row r="833" spans="1:24" x14ac:dyDescent="0.3">
      <c r="A833" t="s">
        <v>700</v>
      </c>
      <c r="B833">
        <v>43</v>
      </c>
      <c r="R833">
        <v>0</v>
      </c>
      <c r="T833">
        <v>0</v>
      </c>
      <c r="X833">
        <v>0</v>
      </c>
    </row>
    <row r="834" spans="1:24" x14ac:dyDescent="0.3">
      <c r="A834" t="s">
        <v>701</v>
      </c>
      <c r="B834">
        <v>43</v>
      </c>
      <c r="P834">
        <v>0</v>
      </c>
      <c r="R834">
        <v>1</v>
      </c>
      <c r="S834">
        <v>0</v>
      </c>
      <c r="T834">
        <v>0</v>
      </c>
      <c r="W834">
        <v>0</v>
      </c>
      <c r="X834">
        <v>1</v>
      </c>
    </row>
    <row r="835" spans="1:24" x14ac:dyDescent="0.3">
      <c r="A835" t="s">
        <v>702</v>
      </c>
      <c r="B835">
        <v>43</v>
      </c>
      <c r="P835">
        <v>0</v>
      </c>
      <c r="R835">
        <v>0</v>
      </c>
      <c r="S835">
        <v>0</v>
      </c>
      <c r="T835">
        <v>0</v>
      </c>
      <c r="W835">
        <v>0</v>
      </c>
      <c r="X835">
        <v>0</v>
      </c>
    </row>
    <row r="836" spans="1:24" x14ac:dyDescent="0.3">
      <c r="A836" t="s">
        <v>52</v>
      </c>
      <c r="B836">
        <v>43</v>
      </c>
      <c r="P836">
        <v>1</v>
      </c>
      <c r="R836">
        <v>1</v>
      </c>
      <c r="S836">
        <v>1</v>
      </c>
      <c r="T836">
        <v>1</v>
      </c>
      <c r="W836">
        <v>1</v>
      </c>
      <c r="X836">
        <v>1</v>
      </c>
    </row>
    <row r="837" spans="1:24" x14ac:dyDescent="0.3">
      <c r="A837" t="s">
        <v>703</v>
      </c>
      <c r="B837">
        <v>43</v>
      </c>
      <c r="P837">
        <v>15</v>
      </c>
      <c r="R837">
        <v>9</v>
      </c>
      <c r="S837">
        <v>15</v>
      </c>
      <c r="T837">
        <v>60</v>
      </c>
      <c r="W837">
        <v>60</v>
      </c>
      <c r="X837">
        <v>9</v>
      </c>
    </row>
    <row r="838" spans="1:24" x14ac:dyDescent="0.3">
      <c r="A838" t="s">
        <v>43</v>
      </c>
      <c r="B838">
        <v>43</v>
      </c>
      <c r="P838">
        <v>20</v>
      </c>
      <c r="R838">
        <v>20</v>
      </c>
      <c r="S838">
        <v>20</v>
      </c>
      <c r="T838">
        <v>100</v>
      </c>
      <c r="W838">
        <v>100</v>
      </c>
      <c r="X838">
        <v>20</v>
      </c>
    </row>
    <row r="839" spans="1:24" x14ac:dyDescent="0.3">
      <c r="A839" t="s">
        <v>44</v>
      </c>
      <c r="B839">
        <v>43</v>
      </c>
      <c r="P839">
        <v>0</v>
      </c>
      <c r="R839">
        <v>0</v>
      </c>
      <c r="S839">
        <v>0</v>
      </c>
      <c r="T839">
        <v>0</v>
      </c>
      <c r="W839">
        <v>0</v>
      </c>
      <c r="X839">
        <v>0</v>
      </c>
    </row>
    <row r="840" spans="1:24" x14ac:dyDescent="0.3">
      <c r="A840" t="s">
        <v>47</v>
      </c>
      <c r="B840">
        <v>43</v>
      </c>
      <c r="P840">
        <v>4</v>
      </c>
      <c r="R840">
        <v>4</v>
      </c>
      <c r="S840">
        <v>2</v>
      </c>
      <c r="T840">
        <v>1</v>
      </c>
      <c r="W840">
        <v>1</v>
      </c>
      <c r="X840">
        <v>1</v>
      </c>
    </row>
    <row r="841" spans="1:24" x14ac:dyDescent="0.3">
      <c r="A841" t="s">
        <v>704</v>
      </c>
      <c r="B841">
        <v>43</v>
      </c>
      <c r="P841">
        <v>0</v>
      </c>
      <c r="R841">
        <v>2</v>
      </c>
      <c r="S841">
        <v>0</v>
      </c>
      <c r="T841">
        <v>2</v>
      </c>
      <c r="W841">
        <v>3</v>
      </c>
      <c r="X841">
        <v>3</v>
      </c>
    </row>
    <row r="842" spans="1:24" x14ac:dyDescent="0.3">
      <c r="A842" t="s">
        <v>705</v>
      </c>
      <c r="B842">
        <v>43</v>
      </c>
      <c r="P842">
        <v>0</v>
      </c>
      <c r="R842">
        <v>0</v>
      </c>
      <c r="S842">
        <v>0</v>
      </c>
      <c r="T842">
        <v>3</v>
      </c>
      <c r="W842">
        <v>0</v>
      </c>
      <c r="X842">
        <v>0</v>
      </c>
    </row>
    <row r="843" spans="1:24" x14ac:dyDescent="0.3">
      <c r="A843" t="s">
        <v>706</v>
      </c>
      <c r="B843">
        <v>43</v>
      </c>
      <c r="P843">
        <v>0</v>
      </c>
      <c r="R843">
        <v>0</v>
      </c>
      <c r="S843">
        <v>0</v>
      </c>
      <c r="T843">
        <v>0</v>
      </c>
      <c r="W843">
        <v>0</v>
      </c>
      <c r="X843">
        <v>0</v>
      </c>
    </row>
    <row r="844" spans="1:24" x14ac:dyDescent="0.3">
      <c r="A844" t="s">
        <v>707</v>
      </c>
      <c r="B844">
        <v>43</v>
      </c>
      <c r="P844">
        <v>0</v>
      </c>
      <c r="R844">
        <v>0</v>
      </c>
      <c r="S844">
        <v>0</v>
      </c>
      <c r="T844">
        <v>0</v>
      </c>
      <c r="W844">
        <v>0</v>
      </c>
      <c r="X844">
        <v>0</v>
      </c>
    </row>
    <row r="845" spans="1:24" x14ac:dyDescent="0.3">
      <c r="A845" t="s">
        <v>708</v>
      </c>
      <c r="B845">
        <v>43</v>
      </c>
      <c r="P845">
        <v>1</v>
      </c>
      <c r="R845">
        <v>1</v>
      </c>
      <c r="S845">
        <v>1</v>
      </c>
      <c r="T845">
        <v>2</v>
      </c>
      <c r="W845">
        <v>2</v>
      </c>
      <c r="X845">
        <v>1</v>
      </c>
    </row>
    <row r="846" spans="1:24" x14ac:dyDescent="0.3">
      <c r="A846" t="s">
        <v>709</v>
      </c>
      <c r="B846">
        <v>43</v>
      </c>
      <c r="P846">
        <v>0</v>
      </c>
      <c r="R846">
        <v>0</v>
      </c>
      <c r="S846">
        <v>0</v>
      </c>
      <c r="T846">
        <v>0</v>
      </c>
      <c r="W846">
        <v>0</v>
      </c>
      <c r="X846">
        <v>0</v>
      </c>
    </row>
    <row r="847" spans="1:24" x14ac:dyDescent="0.3">
      <c r="A847" t="s">
        <v>710</v>
      </c>
      <c r="B847">
        <v>43</v>
      </c>
      <c r="P847">
        <v>20</v>
      </c>
      <c r="R847">
        <v>20</v>
      </c>
      <c r="S847">
        <v>20</v>
      </c>
      <c r="T847">
        <v>6</v>
      </c>
      <c r="W847">
        <v>6</v>
      </c>
      <c r="X847">
        <v>20</v>
      </c>
    </row>
    <row r="848" spans="1:24" x14ac:dyDescent="0.3">
      <c r="A848" t="s">
        <v>711</v>
      </c>
      <c r="B848">
        <v>43</v>
      </c>
      <c r="P848">
        <v>3</v>
      </c>
      <c r="R848">
        <v>3</v>
      </c>
      <c r="S848">
        <v>3</v>
      </c>
      <c r="T848">
        <v>3</v>
      </c>
      <c r="W848">
        <v>3</v>
      </c>
      <c r="X848">
        <v>3</v>
      </c>
    </row>
    <row r="849" spans="1:27" x14ac:dyDescent="0.3">
      <c r="A849" t="s">
        <v>712</v>
      </c>
      <c r="B849">
        <v>43</v>
      </c>
      <c r="P849">
        <v>0</v>
      </c>
      <c r="R849">
        <v>0</v>
      </c>
      <c r="S849">
        <v>0</v>
      </c>
      <c r="T849">
        <v>0</v>
      </c>
      <c r="W849">
        <v>0</v>
      </c>
      <c r="X849">
        <v>0</v>
      </c>
    </row>
    <row r="850" spans="1:27" x14ac:dyDescent="0.3">
      <c r="A850" t="s">
        <v>713</v>
      </c>
      <c r="B850">
        <v>43</v>
      </c>
      <c r="P850">
        <v>0</v>
      </c>
      <c r="R850">
        <v>0</v>
      </c>
      <c r="S850">
        <v>0</v>
      </c>
      <c r="T850">
        <v>0</v>
      </c>
      <c r="W850">
        <v>0</v>
      </c>
      <c r="X850">
        <v>0</v>
      </c>
    </row>
    <row r="851" spans="1:27" x14ac:dyDescent="0.3">
      <c r="A851" t="s">
        <v>714</v>
      </c>
      <c r="B851">
        <v>43</v>
      </c>
      <c r="P851">
        <v>0</v>
      </c>
      <c r="R851">
        <v>0</v>
      </c>
      <c r="S851">
        <v>0</v>
      </c>
      <c r="T851">
        <v>0</v>
      </c>
      <c r="W851">
        <v>0</v>
      </c>
      <c r="X851">
        <v>0</v>
      </c>
    </row>
    <row r="852" spans="1:27" x14ac:dyDescent="0.3">
      <c r="A852" t="s">
        <v>715</v>
      </c>
      <c r="B852">
        <v>43</v>
      </c>
      <c r="T852">
        <v>94</v>
      </c>
      <c r="W852">
        <v>94</v>
      </c>
    </row>
    <row r="853" spans="1:27" x14ac:dyDescent="0.3">
      <c r="A853" t="s">
        <v>716</v>
      </c>
      <c r="B853">
        <v>43</v>
      </c>
      <c r="T853">
        <v>6</v>
      </c>
      <c r="W853">
        <v>6</v>
      </c>
    </row>
    <row r="854" spans="1:27" x14ac:dyDescent="0.3">
      <c r="A854" t="s">
        <v>717</v>
      </c>
      <c r="B854">
        <v>43</v>
      </c>
      <c r="T854">
        <v>3</v>
      </c>
      <c r="W854">
        <v>3</v>
      </c>
    </row>
    <row r="855" spans="1:27" x14ac:dyDescent="0.3">
      <c r="A855" t="s">
        <v>718</v>
      </c>
      <c r="B855">
        <v>43</v>
      </c>
      <c r="T855">
        <v>0</v>
      </c>
      <c r="W855">
        <v>0</v>
      </c>
    </row>
    <row r="856" spans="1:27" x14ac:dyDescent="0.3">
      <c r="A856" t="s">
        <v>719</v>
      </c>
      <c r="B856">
        <v>43</v>
      </c>
      <c r="P856">
        <v>0</v>
      </c>
      <c r="T856">
        <v>0</v>
      </c>
      <c r="W856">
        <v>0</v>
      </c>
    </row>
    <row r="857" spans="1:27" x14ac:dyDescent="0.3">
      <c r="A857" t="s">
        <v>405</v>
      </c>
      <c r="B857">
        <v>43</v>
      </c>
      <c r="P857">
        <v>0</v>
      </c>
    </row>
    <row r="858" spans="1:27" x14ac:dyDescent="0.3">
      <c r="A858" t="s">
        <v>720</v>
      </c>
      <c r="B858">
        <v>43</v>
      </c>
      <c r="P858">
        <v>96</v>
      </c>
      <c r="R858">
        <v>124</v>
      </c>
      <c r="S858">
        <v>77</v>
      </c>
      <c r="T858">
        <v>983</v>
      </c>
      <c r="W858">
        <v>980</v>
      </c>
      <c r="X858">
        <v>672</v>
      </c>
    </row>
    <row r="859" spans="1:27" x14ac:dyDescent="0.3">
      <c r="A859" t="s">
        <v>34</v>
      </c>
      <c r="B859">
        <v>44</v>
      </c>
      <c r="P859">
        <v>51</v>
      </c>
      <c r="Q859">
        <v>51</v>
      </c>
      <c r="R859">
        <v>51</v>
      </c>
      <c r="S859">
        <v>43</v>
      </c>
      <c r="T859">
        <v>43</v>
      </c>
      <c r="U859">
        <v>43</v>
      </c>
      <c r="V859">
        <v>52</v>
      </c>
      <c r="W859">
        <v>52</v>
      </c>
      <c r="X859">
        <v>52</v>
      </c>
      <c r="Y859">
        <v>53</v>
      </c>
      <c r="Z859">
        <v>53</v>
      </c>
      <c r="AA859">
        <v>53</v>
      </c>
    </row>
    <row r="860" spans="1:27" x14ac:dyDescent="0.3">
      <c r="A860" t="s">
        <v>35</v>
      </c>
      <c r="B860">
        <v>44</v>
      </c>
      <c r="P860">
        <v>52</v>
      </c>
      <c r="Q860">
        <v>53</v>
      </c>
      <c r="R860">
        <v>43</v>
      </c>
      <c r="S860">
        <v>51</v>
      </c>
      <c r="T860">
        <v>52</v>
      </c>
      <c r="U860">
        <v>53</v>
      </c>
      <c r="V860">
        <v>53</v>
      </c>
      <c r="W860">
        <v>43</v>
      </c>
      <c r="X860">
        <v>51</v>
      </c>
      <c r="Y860">
        <v>43</v>
      </c>
      <c r="Z860">
        <v>51</v>
      </c>
      <c r="AA860">
        <v>52</v>
      </c>
    </row>
    <row r="861" spans="1:27" x14ac:dyDescent="0.3">
      <c r="A861" t="s">
        <v>36</v>
      </c>
      <c r="B861">
        <v>44</v>
      </c>
      <c r="P861">
        <v>1</v>
      </c>
      <c r="Q861">
        <v>1</v>
      </c>
      <c r="R861">
        <v>0</v>
      </c>
      <c r="S861">
        <v>1</v>
      </c>
      <c r="T861">
        <v>2</v>
      </c>
      <c r="U861">
        <v>1</v>
      </c>
      <c r="V861">
        <v>1</v>
      </c>
      <c r="W861">
        <v>2</v>
      </c>
      <c r="X861">
        <v>0</v>
      </c>
      <c r="Y861">
        <v>2</v>
      </c>
      <c r="Z861">
        <v>1</v>
      </c>
      <c r="AA861">
        <v>1</v>
      </c>
    </row>
    <row r="862" spans="1:27" x14ac:dyDescent="0.3">
      <c r="A862" t="s">
        <v>37</v>
      </c>
      <c r="B862">
        <v>44</v>
      </c>
      <c r="P862">
        <v>0</v>
      </c>
      <c r="Q862">
        <v>2</v>
      </c>
      <c r="S862">
        <v>0</v>
      </c>
      <c r="T862">
        <v>0</v>
      </c>
      <c r="V862">
        <v>0</v>
      </c>
      <c r="W862">
        <v>2</v>
      </c>
      <c r="Y862">
        <v>0</v>
      </c>
      <c r="Z862">
        <v>0</v>
      </c>
    </row>
    <row r="863" spans="1:27" x14ac:dyDescent="0.3">
      <c r="A863" t="s">
        <v>38</v>
      </c>
      <c r="B863">
        <v>44</v>
      </c>
      <c r="P863">
        <v>12</v>
      </c>
      <c r="Q863">
        <v>12</v>
      </c>
      <c r="R863">
        <v>12</v>
      </c>
      <c r="S863">
        <v>12</v>
      </c>
      <c r="T863">
        <v>12</v>
      </c>
      <c r="U863">
        <v>12</v>
      </c>
      <c r="V863">
        <v>12</v>
      </c>
      <c r="W863">
        <v>12</v>
      </c>
      <c r="X863">
        <v>12</v>
      </c>
      <c r="Y863">
        <v>12</v>
      </c>
      <c r="Z863">
        <v>12</v>
      </c>
      <c r="AA863">
        <v>12</v>
      </c>
    </row>
    <row r="864" spans="1:27" x14ac:dyDescent="0.3">
      <c r="A864" t="s">
        <v>39</v>
      </c>
      <c r="B864">
        <v>44</v>
      </c>
      <c r="P864">
        <v>110</v>
      </c>
      <c r="S864">
        <v>290</v>
      </c>
      <c r="U864">
        <v>345</v>
      </c>
      <c r="V864">
        <v>400</v>
      </c>
      <c r="Y864">
        <v>380</v>
      </c>
    </row>
    <row r="865" spans="1:27" x14ac:dyDescent="0.3">
      <c r="A865" t="s">
        <v>695</v>
      </c>
      <c r="B865">
        <v>44</v>
      </c>
      <c r="P865">
        <v>80</v>
      </c>
      <c r="S865">
        <v>235</v>
      </c>
      <c r="U865">
        <v>285</v>
      </c>
      <c r="V865">
        <v>285</v>
      </c>
      <c r="Y865">
        <v>110</v>
      </c>
    </row>
    <row r="866" spans="1:27" x14ac:dyDescent="0.3">
      <c r="A866" t="s">
        <v>40</v>
      </c>
      <c r="B866">
        <v>44</v>
      </c>
      <c r="P866">
        <v>1</v>
      </c>
      <c r="S866">
        <v>1</v>
      </c>
      <c r="U866">
        <v>1</v>
      </c>
      <c r="V866">
        <v>1</v>
      </c>
      <c r="Y866">
        <v>1</v>
      </c>
    </row>
    <row r="867" spans="1:27" x14ac:dyDescent="0.3">
      <c r="A867" t="s">
        <v>41</v>
      </c>
      <c r="B867">
        <v>44</v>
      </c>
    </row>
    <row r="868" spans="1:27" x14ac:dyDescent="0.3">
      <c r="A868" t="s">
        <v>42</v>
      </c>
      <c r="B868">
        <v>44</v>
      </c>
      <c r="Q868">
        <v>30</v>
      </c>
      <c r="T868">
        <v>55</v>
      </c>
      <c r="W868">
        <v>55</v>
      </c>
      <c r="Z868">
        <v>45</v>
      </c>
    </row>
    <row r="869" spans="1:27" x14ac:dyDescent="0.3">
      <c r="A869" t="s">
        <v>45</v>
      </c>
      <c r="B869">
        <v>44</v>
      </c>
      <c r="P869">
        <v>7</v>
      </c>
      <c r="Q869">
        <v>4</v>
      </c>
      <c r="S869">
        <v>5</v>
      </c>
      <c r="T869">
        <v>2</v>
      </c>
      <c r="V869">
        <v>1</v>
      </c>
      <c r="W869">
        <v>6</v>
      </c>
      <c r="Y869">
        <v>3</v>
      </c>
      <c r="Z869">
        <v>8</v>
      </c>
    </row>
    <row r="870" spans="1:27" x14ac:dyDescent="0.3">
      <c r="A870" t="s">
        <v>46</v>
      </c>
      <c r="B870">
        <v>44</v>
      </c>
      <c r="U870">
        <v>2</v>
      </c>
      <c r="AA870">
        <v>8</v>
      </c>
    </row>
    <row r="871" spans="1:27" x14ac:dyDescent="0.3">
      <c r="A871" t="s">
        <v>49</v>
      </c>
      <c r="B871">
        <v>44</v>
      </c>
      <c r="P871">
        <v>8.1</v>
      </c>
      <c r="Q871">
        <v>8</v>
      </c>
      <c r="R871">
        <v>4</v>
      </c>
      <c r="S871">
        <v>7.7</v>
      </c>
      <c r="T871">
        <v>7.8</v>
      </c>
      <c r="U871">
        <v>7.8</v>
      </c>
      <c r="V871">
        <v>7.7</v>
      </c>
      <c r="W871">
        <v>7.6</v>
      </c>
      <c r="X871">
        <v>4</v>
      </c>
      <c r="Y871">
        <v>9</v>
      </c>
      <c r="Z871">
        <v>9.1</v>
      </c>
      <c r="AA871">
        <v>9.1</v>
      </c>
    </row>
    <row r="872" spans="1:27" x14ac:dyDescent="0.3">
      <c r="A872" t="s">
        <v>696</v>
      </c>
      <c r="B872">
        <v>44</v>
      </c>
      <c r="P872">
        <v>0</v>
      </c>
      <c r="Q872">
        <v>0</v>
      </c>
      <c r="R872">
        <v>0</v>
      </c>
      <c r="S872">
        <v>0</v>
      </c>
      <c r="T872">
        <v>0</v>
      </c>
      <c r="U872">
        <v>0</v>
      </c>
      <c r="V872">
        <v>0</v>
      </c>
      <c r="W872">
        <v>0</v>
      </c>
      <c r="X872">
        <v>0</v>
      </c>
      <c r="Y872">
        <v>0</v>
      </c>
      <c r="Z872">
        <v>0</v>
      </c>
      <c r="AA872">
        <v>0</v>
      </c>
    </row>
    <row r="873" spans="1:27" x14ac:dyDescent="0.3">
      <c r="A873" t="s">
        <v>48</v>
      </c>
      <c r="B873">
        <v>44</v>
      </c>
      <c r="P873">
        <v>1900</v>
      </c>
      <c r="Q873">
        <v>1900</v>
      </c>
      <c r="R873">
        <v>1900</v>
      </c>
      <c r="S873">
        <v>1900</v>
      </c>
      <c r="T873">
        <v>1900</v>
      </c>
      <c r="U873">
        <v>1900</v>
      </c>
      <c r="V873">
        <v>1900</v>
      </c>
      <c r="W873">
        <v>1900</v>
      </c>
      <c r="X873">
        <v>1900</v>
      </c>
      <c r="Y873">
        <v>1900</v>
      </c>
      <c r="Z873">
        <v>1900</v>
      </c>
      <c r="AA873">
        <v>1900</v>
      </c>
    </row>
    <row r="874" spans="1:27" x14ac:dyDescent="0.3">
      <c r="A874" t="s">
        <v>697</v>
      </c>
      <c r="B874">
        <v>44</v>
      </c>
      <c r="P874">
        <v>1770</v>
      </c>
      <c r="Q874">
        <v>1630</v>
      </c>
      <c r="R874">
        <v>0</v>
      </c>
      <c r="S874">
        <v>1770</v>
      </c>
      <c r="T874">
        <v>3539</v>
      </c>
      <c r="U874">
        <v>1583</v>
      </c>
      <c r="V874">
        <v>1770</v>
      </c>
      <c r="W874">
        <v>3539</v>
      </c>
      <c r="X874">
        <v>0</v>
      </c>
      <c r="Y874">
        <v>3433</v>
      </c>
      <c r="Z874">
        <v>1863</v>
      </c>
      <c r="AA874">
        <v>1583</v>
      </c>
    </row>
    <row r="875" spans="1:27" x14ac:dyDescent="0.3">
      <c r="A875" t="s">
        <v>50</v>
      </c>
      <c r="B875">
        <v>44</v>
      </c>
      <c r="P875">
        <v>1770</v>
      </c>
      <c r="Q875">
        <v>1630</v>
      </c>
      <c r="R875">
        <v>0</v>
      </c>
      <c r="S875">
        <v>1770</v>
      </c>
      <c r="T875">
        <v>3539</v>
      </c>
      <c r="U875">
        <v>1583</v>
      </c>
      <c r="V875">
        <v>1770</v>
      </c>
      <c r="W875">
        <v>3539</v>
      </c>
      <c r="X875">
        <v>0</v>
      </c>
      <c r="Y875">
        <v>3433</v>
      </c>
      <c r="Z875">
        <v>1863</v>
      </c>
      <c r="AA875">
        <v>1583</v>
      </c>
    </row>
    <row r="876" spans="1:27" x14ac:dyDescent="0.3">
      <c r="A876" t="s">
        <v>698</v>
      </c>
      <c r="B876">
        <v>44</v>
      </c>
      <c r="P876">
        <v>1</v>
      </c>
      <c r="Q876">
        <v>1</v>
      </c>
      <c r="R876">
        <v>1</v>
      </c>
      <c r="S876">
        <v>1</v>
      </c>
      <c r="T876">
        <v>1</v>
      </c>
      <c r="U876">
        <v>1</v>
      </c>
      <c r="V876">
        <v>1</v>
      </c>
      <c r="W876">
        <v>1</v>
      </c>
      <c r="X876">
        <v>1</v>
      </c>
      <c r="Y876">
        <v>1</v>
      </c>
      <c r="Z876">
        <v>1</v>
      </c>
      <c r="AA876">
        <v>1</v>
      </c>
    </row>
    <row r="877" spans="1:27" x14ac:dyDescent="0.3">
      <c r="A877" t="s">
        <v>51</v>
      </c>
      <c r="B877">
        <v>44</v>
      </c>
      <c r="P877">
        <v>0</v>
      </c>
      <c r="Q877">
        <v>25</v>
      </c>
      <c r="R877">
        <v>0</v>
      </c>
      <c r="S877">
        <v>0</v>
      </c>
      <c r="T877">
        <v>0</v>
      </c>
      <c r="U877">
        <v>350</v>
      </c>
      <c r="V877">
        <v>0</v>
      </c>
      <c r="W877">
        <v>0</v>
      </c>
      <c r="X877">
        <v>0</v>
      </c>
      <c r="Y877">
        <v>0</v>
      </c>
      <c r="Z877">
        <v>0</v>
      </c>
      <c r="AA877">
        <v>132</v>
      </c>
    </row>
    <row r="878" spans="1:27" x14ac:dyDescent="0.3">
      <c r="A878" t="s">
        <v>53</v>
      </c>
      <c r="B878">
        <v>44</v>
      </c>
      <c r="P878">
        <v>1</v>
      </c>
      <c r="Q878">
        <v>5</v>
      </c>
      <c r="R878">
        <v>23</v>
      </c>
      <c r="S878">
        <v>5</v>
      </c>
      <c r="T878">
        <v>652</v>
      </c>
      <c r="U878">
        <v>322</v>
      </c>
      <c r="V878">
        <v>59</v>
      </c>
      <c r="W878">
        <v>827</v>
      </c>
      <c r="X878">
        <v>0</v>
      </c>
      <c r="Y878">
        <v>625</v>
      </c>
      <c r="Z878">
        <v>4</v>
      </c>
      <c r="AA878">
        <v>46</v>
      </c>
    </row>
    <row r="879" spans="1:27" x14ac:dyDescent="0.3">
      <c r="A879" t="s">
        <v>54</v>
      </c>
      <c r="B879">
        <v>44</v>
      </c>
      <c r="P879">
        <v>0</v>
      </c>
      <c r="Q879">
        <v>0</v>
      </c>
      <c r="R879">
        <v>0</v>
      </c>
      <c r="S879">
        <v>0</v>
      </c>
      <c r="T879">
        <v>0</v>
      </c>
      <c r="U879">
        <v>0</v>
      </c>
      <c r="V879">
        <v>0</v>
      </c>
      <c r="W879">
        <v>0</v>
      </c>
      <c r="X879">
        <v>0</v>
      </c>
      <c r="Y879">
        <v>0</v>
      </c>
      <c r="Z879">
        <v>0</v>
      </c>
      <c r="AA879">
        <v>0</v>
      </c>
    </row>
    <row r="880" spans="1:27" x14ac:dyDescent="0.3">
      <c r="A880" t="s">
        <v>55</v>
      </c>
      <c r="B880">
        <v>44</v>
      </c>
      <c r="P880">
        <v>0</v>
      </c>
      <c r="Q880">
        <v>0</v>
      </c>
      <c r="R880">
        <v>0</v>
      </c>
      <c r="S880">
        <v>0</v>
      </c>
      <c r="T880">
        <v>0</v>
      </c>
      <c r="U880">
        <v>0</v>
      </c>
      <c r="V880">
        <v>0</v>
      </c>
      <c r="W880">
        <v>0</v>
      </c>
      <c r="X880">
        <v>0</v>
      </c>
      <c r="Y880">
        <v>0</v>
      </c>
      <c r="Z880">
        <v>0</v>
      </c>
      <c r="AA880">
        <v>0</v>
      </c>
    </row>
    <row r="881" spans="1:27" x14ac:dyDescent="0.3">
      <c r="A881" t="s">
        <v>56</v>
      </c>
      <c r="B881">
        <v>44</v>
      </c>
      <c r="P881">
        <v>0.92</v>
      </c>
      <c r="Q881">
        <v>0.92</v>
      </c>
      <c r="R881">
        <v>0.92</v>
      </c>
      <c r="S881">
        <v>0.92</v>
      </c>
      <c r="T881">
        <v>0.92</v>
      </c>
      <c r="U881">
        <v>0.92</v>
      </c>
      <c r="V881">
        <v>0.92</v>
      </c>
      <c r="W881">
        <v>0.92</v>
      </c>
      <c r="X881">
        <v>0.92</v>
      </c>
      <c r="Y881">
        <v>0.92</v>
      </c>
      <c r="Z881">
        <v>0.92</v>
      </c>
      <c r="AA881">
        <v>0.92</v>
      </c>
    </row>
    <row r="882" spans="1:27" x14ac:dyDescent="0.3">
      <c r="A882" t="s">
        <v>57</v>
      </c>
      <c r="B882">
        <v>44</v>
      </c>
      <c r="P882">
        <v>100</v>
      </c>
      <c r="Q882">
        <v>100</v>
      </c>
      <c r="R882">
        <v>100</v>
      </c>
      <c r="S882">
        <v>100</v>
      </c>
      <c r="T882">
        <v>100</v>
      </c>
      <c r="U882">
        <v>100</v>
      </c>
      <c r="V882">
        <v>100</v>
      </c>
      <c r="W882">
        <v>100</v>
      </c>
      <c r="X882">
        <v>100</v>
      </c>
      <c r="Y882">
        <v>100</v>
      </c>
      <c r="Z882">
        <v>100</v>
      </c>
      <c r="AA882">
        <v>100</v>
      </c>
    </row>
    <row r="883" spans="1:27" x14ac:dyDescent="0.3">
      <c r="A883" t="s">
        <v>58</v>
      </c>
      <c r="B883">
        <v>44</v>
      </c>
      <c r="P883">
        <v>2</v>
      </c>
      <c r="Q883">
        <v>2</v>
      </c>
      <c r="R883">
        <v>2</v>
      </c>
      <c r="S883">
        <v>2</v>
      </c>
      <c r="T883">
        <v>2</v>
      </c>
      <c r="U883">
        <v>2</v>
      </c>
      <c r="V883">
        <v>2</v>
      </c>
      <c r="W883">
        <v>2</v>
      </c>
      <c r="X883">
        <v>2</v>
      </c>
      <c r="Y883">
        <v>2</v>
      </c>
      <c r="Z883">
        <v>2</v>
      </c>
      <c r="AA883">
        <v>2</v>
      </c>
    </row>
    <row r="884" spans="1:27" x14ac:dyDescent="0.3">
      <c r="A884" t="s">
        <v>59</v>
      </c>
      <c r="B884">
        <v>44</v>
      </c>
      <c r="P884">
        <v>0</v>
      </c>
      <c r="Q884">
        <v>0</v>
      </c>
      <c r="R884">
        <v>0</v>
      </c>
      <c r="S884">
        <v>0</v>
      </c>
      <c r="T884">
        <v>0</v>
      </c>
      <c r="U884">
        <v>0</v>
      </c>
      <c r="V884">
        <v>0</v>
      </c>
      <c r="W884">
        <v>0</v>
      </c>
      <c r="X884">
        <v>0</v>
      </c>
      <c r="Y884">
        <v>0</v>
      </c>
      <c r="Z884">
        <v>0</v>
      </c>
      <c r="AA884">
        <v>0</v>
      </c>
    </row>
    <row r="885" spans="1:27" x14ac:dyDescent="0.3">
      <c r="A885" t="s">
        <v>699</v>
      </c>
      <c r="B885">
        <v>44</v>
      </c>
      <c r="Q885">
        <v>0</v>
      </c>
      <c r="T885">
        <v>0</v>
      </c>
      <c r="W885">
        <v>0</v>
      </c>
      <c r="Z885">
        <v>0</v>
      </c>
    </row>
    <row r="886" spans="1:27" x14ac:dyDescent="0.3">
      <c r="A886" t="s">
        <v>678</v>
      </c>
      <c r="B886">
        <v>44</v>
      </c>
      <c r="Q886">
        <v>385</v>
      </c>
      <c r="T886">
        <v>2677</v>
      </c>
      <c r="W886">
        <v>809</v>
      </c>
      <c r="Z886">
        <v>601</v>
      </c>
    </row>
    <row r="887" spans="1:27" x14ac:dyDescent="0.3">
      <c r="A887" t="s">
        <v>78</v>
      </c>
      <c r="B887">
        <v>44</v>
      </c>
      <c r="Q887">
        <v>8.8000000000000007</v>
      </c>
      <c r="T887">
        <v>33.200000000000003</v>
      </c>
      <c r="W887">
        <v>10</v>
      </c>
      <c r="Z887">
        <v>9.1</v>
      </c>
    </row>
    <row r="888" spans="1:27" x14ac:dyDescent="0.3">
      <c r="A888" t="s">
        <v>700</v>
      </c>
      <c r="B888">
        <v>44</v>
      </c>
      <c r="R888">
        <v>0</v>
      </c>
      <c r="U888">
        <v>0</v>
      </c>
      <c r="X888">
        <v>0</v>
      </c>
      <c r="AA888">
        <v>0</v>
      </c>
    </row>
    <row r="889" spans="1:27" x14ac:dyDescent="0.3">
      <c r="A889" t="s">
        <v>701</v>
      </c>
      <c r="B889">
        <v>44</v>
      </c>
      <c r="P889">
        <v>0</v>
      </c>
      <c r="Q889">
        <v>0</v>
      </c>
      <c r="R889">
        <v>1</v>
      </c>
      <c r="S889">
        <v>0</v>
      </c>
      <c r="T889">
        <v>0</v>
      </c>
      <c r="U889">
        <v>1</v>
      </c>
      <c r="V889">
        <v>0</v>
      </c>
      <c r="W889">
        <v>0</v>
      </c>
      <c r="X889">
        <v>1</v>
      </c>
      <c r="Y889">
        <v>0</v>
      </c>
      <c r="Z889">
        <v>0</v>
      </c>
      <c r="AA889">
        <v>1</v>
      </c>
    </row>
    <row r="890" spans="1:27" x14ac:dyDescent="0.3">
      <c r="A890" t="s">
        <v>702</v>
      </c>
      <c r="B890">
        <v>44</v>
      </c>
      <c r="P890">
        <v>0</v>
      </c>
      <c r="Q890">
        <v>0</v>
      </c>
      <c r="R890">
        <v>0</v>
      </c>
      <c r="S890">
        <v>0</v>
      </c>
      <c r="T890">
        <v>0</v>
      </c>
      <c r="U890">
        <v>0</v>
      </c>
      <c r="V890">
        <v>0</v>
      </c>
      <c r="W890">
        <v>0</v>
      </c>
      <c r="X890">
        <v>0</v>
      </c>
      <c r="Y890">
        <v>0</v>
      </c>
      <c r="Z890">
        <v>0</v>
      </c>
      <c r="AA890">
        <v>0</v>
      </c>
    </row>
    <row r="891" spans="1:27" x14ac:dyDescent="0.3">
      <c r="A891" t="s">
        <v>52</v>
      </c>
      <c r="B891">
        <v>44</v>
      </c>
      <c r="P891">
        <v>1</v>
      </c>
      <c r="Q891">
        <v>1</v>
      </c>
      <c r="R891">
        <v>1</v>
      </c>
      <c r="S891">
        <v>1</v>
      </c>
      <c r="T891">
        <v>1</v>
      </c>
      <c r="U891">
        <v>1</v>
      </c>
      <c r="V891">
        <v>1</v>
      </c>
      <c r="W891">
        <v>1</v>
      </c>
      <c r="X891">
        <v>1</v>
      </c>
      <c r="Y891">
        <v>1</v>
      </c>
      <c r="Z891">
        <v>1</v>
      </c>
      <c r="AA891">
        <v>1</v>
      </c>
    </row>
    <row r="892" spans="1:27" x14ac:dyDescent="0.3">
      <c r="A892" t="s">
        <v>703</v>
      </c>
      <c r="B892">
        <v>44</v>
      </c>
      <c r="P892">
        <v>15</v>
      </c>
      <c r="Q892">
        <v>60</v>
      </c>
      <c r="R892">
        <v>9</v>
      </c>
      <c r="S892">
        <v>15</v>
      </c>
      <c r="T892">
        <v>60</v>
      </c>
      <c r="U892">
        <v>9</v>
      </c>
      <c r="V892">
        <v>15</v>
      </c>
      <c r="W892">
        <v>60</v>
      </c>
      <c r="X892">
        <v>9</v>
      </c>
      <c r="Y892">
        <v>15</v>
      </c>
      <c r="Z892">
        <v>60</v>
      </c>
      <c r="AA892">
        <v>9</v>
      </c>
    </row>
    <row r="893" spans="1:27" x14ac:dyDescent="0.3">
      <c r="A893" t="s">
        <v>43</v>
      </c>
      <c r="B893">
        <v>44</v>
      </c>
      <c r="P893">
        <v>20</v>
      </c>
      <c r="Q893">
        <v>100</v>
      </c>
      <c r="S893">
        <v>20</v>
      </c>
      <c r="T893">
        <v>100</v>
      </c>
      <c r="U893">
        <v>20</v>
      </c>
      <c r="V893">
        <v>20</v>
      </c>
      <c r="W893">
        <v>100</v>
      </c>
      <c r="Y893">
        <v>20</v>
      </c>
      <c r="Z893">
        <v>100</v>
      </c>
      <c r="AA893">
        <v>20</v>
      </c>
    </row>
    <row r="894" spans="1:27" x14ac:dyDescent="0.3">
      <c r="A894" t="s">
        <v>44</v>
      </c>
      <c r="B894">
        <v>44</v>
      </c>
      <c r="P894">
        <v>0</v>
      </c>
      <c r="Q894">
        <v>0</v>
      </c>
      <c r="S894">
        <v>0</v>
      </c>
      <c r="T894">
        <v>0</v>
      </c>
      <c r="U894">
        <v>0</v>
      </c>
      <c r="V894">
        <v>0</v>
      </c>
      <c r="W894">
        <v>0</v>
      </c>
      <c r="Y894">
        <v>0</v>
      </c>
      <c r="Z894">
        <v>0</v>
      </c>
      <c r="AA894">
        <v>0</v>
      </c>
    </row>
    <row r="895" spans="1:27" x14ac:dyDescent="0.3">
      <c r="A895" t="s">
        <v>47</v>
      </c>
      <c r="B895">
        <v>44</v>
      </c>
      <c r="P895">
        <v>7</v>
      </c>
      <c r="Q895">
        <v>4</v>
      </c>
      <c r="S895">
        <v>5</v>
      </c>
      <c r="T895">
        <v>2</v>
      </c>
      <c r="U895">
        <v>2</v>
      </c>
      <c r="V895">
        <v>1</v>
      </c>
      <c r="W895">
        <v>6</v>
      </c>
      <c r="Y895">
        <v>3</v>
      </c>
      <c r="Z895">
        <v>8</v>
      </c>
      <c r="AA895">
        <v>8</v>
      </c>
    </row>
    <row r="896" spans="1:27" x14ac:dyDescent="0.3">
      <c r="A896" t="s">
        <v>704</v>
      </c>
      <c r="B896">
        <v>44</v>
      </c>
      <c r="P896">
        <v>0</v>
      </c>
      <c r="Q896">
        <v>0</v>
      </c>
      <c r="S896">
        <v>0</v>
      </c>
      <c r="T896">
        <v>0</v>
      </c>
      <c r="U896">
        <v>0</v>
      </c>
      <c r="V896">
        <v>0</v>
      </c>
      <c r="W896">
        <v>0</v>
      </c>
      <c r="Y896">
        <v>0</v>
      </c>
      <c r="Z896">
        <v>0</v>
      </c>
      <c r="AA896">
        <v>0</v>
      </c>
    </row>
    <row r="897" spans="1:27" x14ac:dyDescent="0.3">
      <c r="A897" t="s">
        <v>705</v>
      </c>
      <c r="B897">
        <v>44</v>
      </c>
      <c r="P897">
        <v>0</v>
      </c>
      <c r="Q897">
        <v>0</v>
      </c>
      <c r="S897">
        <v>0</v>
      </c>
      <c r="T897">
        <v>0</v>
      </c>
      <c r="U897">
        <v>0</v>
      </c>
      <c r="V897">
        <v>0</v>
      </c>
      <c r="W897">
        <v>0</v>
      </c>
      <c r="Y897">
        <v>0</v>
      </c>
      <c r="Z897">
        <v>0</v>
      </c>
      <c r="AA897">
        <v>0</v>
      </c>
    </row>
    <row r="898" spans="1:27" x14ac:dyDescent="0.3">
      <c r="A898" t="s">
        <v>706</v>
      </c>
      <c r="B898">
        <v>44</v>
      </c>
      <c r="P898">
        <v>0</v>
      </c>
      <c r="Q898">
        <v>0</v>
      </c>
      <c r="S898">
        <v>0</v>
      </c>
      <c r="T898">
        <v>0</v>
      </c>
      <c r="U898">
        <v>0</v>
      </c>
      <c r="V898">
        <v>0</v>
      </c>
      <c r="W898">
        <v>0</v>
      </c>
      <c r="Y898">
        <v>0</v>
      </c>
      <c r="Z898">
        <v>0</v>
      </c>
      <c r="AA898">
        <v>0</v>
      </c>
    </row>
    <row r="899" spans="1:27" x14ac:dyDescent="0.3">
      <c r="A899" t="s">
        <v>707</v>
      </c>
      <c r="B899">
        <v>44</v>
      </c>
      <c r="P899">
        <v>0</v>
      </c>
      <c r="Q899">
        <v>0</v>
      </c>
      <c r="S899">
        <v>0</v>
      </c>
      <c r="T899">
        <v>0</v>
      </c>
      <c r="U899">
        <v>0</v>
      </c>
      <c r="V899">
        <v>0</v>
      </c>
      <c r="W899">
        <v>0</v>
      </c>
      <c r="Y899">
        <v>0</v>
      </c>
      <c r="Z899">
        <v>0</v>
      </c>
      <c r="AA899">
        <v>0</v>
      </c>
    </row>
    <row r="900" spans="1:27" x14ac:dyDescent="0.3">
      <c r="A900" t="s">
        <v>708</v>
      </c>
      <c r="B900">
        <v>44</v>
      </c>
      <c r="P900">
        <v>1</v>
      </c>
      <c r="Q900">
        <v>2</v>
      </c>
      <c r="S900">
        <v>1</v>
      </c>
      <c r="T900">
        <v>2</v>
      </c>
      <c r="U900">
        <v>1</v>
      </c>
      <c r="V900">
        <v>1</v>
      </c>
      <c r="W900">
        <v>2</v>
      </c>
      <c r="Y900">
        <v>1</v>
      </c>
      <c r="Z900">
        <v>2</v>
      </c>
      <c r="AA900">
        <v>1</v>
      </c>
    </row>
    <row r="901" spans="1:27" x14ac:dyDescent="0.3">
      <c r="A901" t="s">
        <v>709</v>
      </c>
      <c r="B901">
        <v>44</v>
      </c>
      <c r="P901">
        <v>0</v>
      </c>
      <c r="Q901">
        <v>0</v>
      </c>
      <c r="S901">
        <v>0</v>
      </c>
      <c r="T901">
        <v>0</v>
      </c>
      <c r="U901">
        <v>0</v>
      </c>
      <c r="V901">
        <v>0</v>
      </c>
      <c r="W901">
        <v>0</v>
      </c>
      <c r="Y901">
        <v>0</v>
      </c>
      <c r="Z901">
        <v>0</v>
      </c>
      <c r="AA901">
        <v>0</v>
      </c>
    </row>
    <row r="902" spans="1:27" x14ac:dyDescent="0.3">
      <c r="A902" t="s">
        <v>710</v>
      </c>
      <c r="B902">
        <v>44</v>
      </c>
      <c r="P902">
        <v>20</v>
      </c>
      <c r="Q902">
        <v>6</v>
      </c>
      <c r="S902">
        <v>20</v>
      </c>
      <c r="T902">
        <v>6</v>
      </c>
      <c r="U902">
        <v>20</v>
      </c>
      <c r="V902">
        <v>20</v>
      </c>
      <c r="W902">
        <v>6</v>
      </c>
      <c r="Y902">
        <v>20</v>
      </c>
      <c r="Z902">
        <v>6</v>
      </c>
      <c r="AA902">
        <v>20</v>
      </c>
    </row>
    <row r="903" spans="1:27" x14ac:dyDescent="0.3">
      <c r="A903" t="s">
        <v>711</v>
      </c>
      <c r="B903">
        <v>44</v>
      </c>
      <c r="P903">
        <v>3</v>
      </c>
      <c r="Q903">
        <v>3</v>
      </c>
      <c r="S903">
        <v>3</v>
      </c>
      <c r="T903">
        <v>3</v>
      </c>
      <c r="U903">
        <v>3</v>
      </c>
      <c r="V903">
        <v>3</v>
      </c>
      <c r="W903">
        <v>3</v>
      </c>
      <c r="Y903">
        <v>3</v>
      </c>
      <c r="Z903">
        <v>3</v>
      </c>
      <c r="AA903">
        <v>3</v>
      </c>
    </row>
    <row r="904" spans="1:27" x14ac:dyDescent="0.3">
      <c r="A904" t="s">
        <v>712</v>
      </c>
      <c r="B904">
        <v>44</v>
      </c>
      <c r="P904">
        <v>0</v>
      </c>
      <c r="Q904">
        <v>0</v>
      </c>
      <c r="S904">
        <v>0</v>
      </c>
      <c r="T904">
        <v>0</v>
      </c>
      <c r="U904">
        <v>0</v>
      </c>
      <c r="V904">
        <v>0</v>
      </c>
      <c r="W904">
        <v>0</v>
      </c>
      <c r="Y904">
        <v>0</v>
      </c>
      <c r="Z904">
        <v>0</v>
      </c>
      <c r="AA904">
        <v>0</v>
      </c>
    </row>
    <row r="905" spans="1:27" x14ac:dyDescent="0.3">
      <c r="A905" t="s">
        <v>713</v>
      </c>
      <c r="B905">
        <v>44</v>
      </c>
      <c r="P905">
        <v>0</v>
      </c>
      <c r="Q905">
        <v>0</v>
      </c>
      <c r="S905">
        <v>0</v>
      </c>
      <c r="T905">
        <v>0</v>
      </c>
      <c r="U905">
        <v>0</v>
      </c>
      <c r="V905">
        <v>0</v>
      </c>
      <c r="W905">
        <v>0</v>
      </c>
      <c r="Y905">
        <v>0</v>
      </c>
      <c r="Z905">
        <v>0</v>
      </c>
      <c r="AA905">
        <v>0</v>
      </c>
    </row>
    <row r="906" spans="1:27" x14ac:dyDescent="0.3">
      <c r="A906" t="s">
        <v>714</v>
      </c>
      <c r="B906">
        <v>44</v>
      </c>
      <c r="P906">
        <v>0</v>
      </c>
      <c r="Q906">
        <v>0</v>
      </c>
      <c r="S906">
        <v>0</v>
      </c>
      <c r="T906">
        <v>0</v>
      </c>
      <c r="U906">
        <v>0</v>
      </c>
      <c r="V906">
        <v>0</v>
      </c>
      <c r="W906">
        <v>0</v>
      </c>
      <c r="Y906">
        <v>0</v>
      </c>
      <c r="Z906">
        <v>0</v>
      </c>
      <c r="AA906">
        <v>0</v>
      </c>
    </row>
    <row r="907" spans="1:27" x14ac:dyDescent="0.3">
      <c r="A907" t="s">
        <v>715</v>
      </c>
      <c r="B907">
        <v>44</v>
      </c>
      <c r="Q907">
        <v>94</v>
      </c>
      <c r="T907">
        <v>94</v>
      </c>
      <c r="W907">
        <v>94</v>
      </c>
      <c r="Z907">
        <v>94</v>
      </c>
    </row>
    <row r="908" spans="1:27" x14ac:dyDescent="0.3">
      <c r="A908" t="s">
        <v>716</v>
      </c>
      <c r="B908">
        <v>44</v>
      </c>
      <c r="Q908">
        <v>6</v>
      </c>
      <c r="T908">
        <v>6</v>
      </c>
      <c r="W908">
        <v>6</v>
      </c>
      <c r="Z908">
        <v>6</v>
      </c>
    </row>
    <row r="909" spans="1:27" x14ac:dyDescent="0.3">
      <c r="A909" t="s">
        <v>717</v>
      </c>
      <c r="B909">
        <v>44</v>
      </c>
      <c r="Q909">
        <v>3</v>
      </c>
      <c r="T909">
        <v>3</v>
      </c>
      <c r="W909">
        <v>3</v>
      </c>
      <c r="Z909">
        <v>3</v>
      </c>
    </row>
    <row r="910" spans="1:27" x14ac:dyDescent="0.3">
      <c r="A910" t="s">
        <v>718</v>
      </c>
      <c r="B910">
        <v>44</v>
      </c>
      <c r="Q910">
        <v>0</v>
      </c>
      <c r="T910">
        <v>0</v>
      </c>
      <c r="W910">
        <v>0</v>
      </c>
      <c r="Z910">
        <v>0</v>
      </c>
    </row>
    <row r="911" spans="1:27" x14ac:dyDescent="0.3">
      <c r="A911" t="s">
        <v>719</v>
      </c>
      <c r="B911">
        <v>44</v>
      </c>
      <c r="Q911">
        <v>0</v>
      </c>
      <c r="T911">
        <v>0</v>
      </c>
      <c r="W911">
        <v>0</v>
      </c>
      <c r="Z911">
        <v>0</v>
      </c>
    </row>
    <row r="912" spans="1:27" x14ac:dyDescent="0.3">
      <c r="A912" t="s">
        <v>405</v>
      </c>
      <c r="B912">
        <v>44</v>
      </c>
      <c r="Q912">
        <v>0</v>
      </c>
    </row>
    <row r="913" spans="1:27" x14ac:dyDescent="0.3">
      <c r="A913" t="s">
        <v>720</v>
      </c>
      <c r="B913">
        <v>44</v>
      </c>
      <c r="P913">
        <v>1</v>
      </c>
      <c r="Q913">
        <v>30</v>
      </c>
      <c r="R913">
        <v>0</v>
      </c>
      <c r="S913">
        <v>5</v>
      </c>
      <c r="T913">
        <v>709</v>
      </c>
      <c r="U913">
        <v>350</v>
      </c>
      <c r="V913">
        <v>64</v>
      </c>
      <c r="W913">
        <v>899</v>
      </c>
      <c r="X913">
        <v>0</v>
      </c>
      <c r="Y913">
        <v>679</v>
      </c>
      <c r="Z913">
        <v>4</v>
      </c>
      <c r="AA913">
        <v>50</v>
      </c>
    </row>
    <row r="914" spans="1:27" x14ac:dyDescent="0.3">
      <c r="A914" t="s">
        <v>34</v>
      </c>
      <c r="B914">
        <v>46</v>
      </c>
      <c r="P914">
        <v>47</v>
      </c>
      <c r="R914">
        <v>47</v>
      </c>
      <c r="S914">
        <v>21</v>
      </c>
      <c r="T914">
        <v>21</v>
      </c>
      <c r="W914">
        <v>28</v>
      </c>
      <c r="X914">
        <v>28</v>
      </c>
    </row>
    <row r="915" spans="1:27" x14ac:dyDescent="0.3">
      <c r="A915" t="s">
        <v>35</v>
      </c>
      <c r="B915">
        <v>46</v>
      </c>
      <c r="P915">
        <v>28</v>
      </c>
      <c r="R915">
        <v>21</v>
      </c>
      <c r="S915">
        <v>47</v>
      </c>
      <c r="T915">
        <v>28</v>
      </c>
      <c r="W915">
        <v>21</v>
      </c>
      <c r="X915">
        <v>47</v>
      </c>
    </row>
    <row r="916" spans="1:27" x14ac:dyDescent="0.3">
      <c r="A916" t="s">
        <v>36</v>
      </c>
      <c r="B916">
        <v>46</v>
      </c>
      <c r="P916">
        <v>2</v>
      </c>
      <c r="R916">
        <v>1</v>
      </c>
      <c r="S916">
        <v>1</v>
      </c>
      <c r="T916">
        <v>3</v>
      </c>
      <c r="W916">
        <v>3</v>
      </c>
      <c r="X916">
        <v>1</v>
      </c>
    </row>
    <row r="917" spans="1:27" x14ac:dyDescent="0.3">
      <c r="A917" t="s">
        <v>37</v>
      </c>
      <c r="B917">
        <v>46</v>
      </c>
      <c r="P917">
        <v>2</v>
      </c>
      <c r="S917">
        <v>0</v>
      </c>
      <c r="T917">
        <v>0</v>
      </c>
      <c r="W917">
        <v>0</v>
      </c>
    </row>
    <row r="918" spans="1:27" x14ac:dyDescent="0.3">
      <c r="A918" t="s">
        <v>38</v>
      </c>
      <c r="B918">
        <v>46</v>
      </c>
      <c r="P918">
        <v>12</v>
      </c>
      <c r="R918">
        <v>12</v>
      </c>
      <c r="S918">
        <v>12</v>
      </c>
      <c r="T918">
        <v>12</v>
      </c>
      <c r="W918">
        <v>12</v>
      </c>
      <c r="X918">
        <v>12</v>
      </c>
    </row>
    <row r="919" spans="1:27" x14ac:dyDescent="0.3">
      <c r="A919" t="s">
        <v>39</v>
      </c>
      <c r="B919">
        <v>46</v>
      </c>
      <c r="S919">
        <v>215</v>
      </c>
      <c r="X919">
        <v>100</v>
      </c>
    </row>
    <row r="920" spans="1:27" x14ac:dyDescent="0.3">
      <c r="A920" t="s">
        <v>695</v>
      </c>
      <c r="B920">
        <v>46</v>
      </c>
      <c r="S920">
        <v>90</v>
      </c>
      <c r="X920">
        <v>125</v>
      </c>
    </row>
    <row r="921" spans="1:27" x14ac:dyDescent="0.3">
      <c r="A921" t="s">
        <v>40</v>
      </c>
      <c r="B921">
        <v>46</v>
      </c>
      <c r="S921">
        <v>1</v>
      </c>
      <c r="X921">
        <v>1</v>
      </c>
    </row>
    <row r="922" spans="1:27" x14ac:dyDescent="0.3">
      <c r="A922" t="s">
        <v>41</v>
      </c>
      <c r="B922">
        <v>46</v>
      </c>
    </row>
    <row r="923" spans="1:27" x14ac:dyDescent="0.3">
      <c r="A923" t="s">
        <v>42</v>
      </c>
      <c r="B923">
        <v>46</v>
      </c>
      <c r="P923">
        <v>25</v>
      </c>
      <c r="T923">
        <v>45</v>
      </c>
      <c r="W923">
        <v>45</v>
      </c>
    </row>
    <row r="924" spans="1:27" x14ac:dyDescent="0.3">
      <c r="A924" t="s">
        <v>45</v>
      </c>
      <c r="B924">
        <v>46</v>
      </c>
      <c r="P924">
        <v>4</v>
      </c>
      <c r="S924">
        <v>5</v>
      </c>
      <c r="T924">
        <v>2</v>
      </c>
      <c r="W924">
        <v>6</v>
      </c>
    </row>
    <row r="925" spans="1:27" x14ac:dyDescent="0.3">
      <c r="A925" t="s">
        <v>46</v>
      </c>
      <c r="B925">
        <v>46</v>
      </c>
      <c r="R925">
        <v>4</v>
      </c>
      <c r="X925">
        <v>6</v>
      </c>
    </row>
    <row r="926" spans="1:27" x14ac:dyDescent="0.3">
      <c r="A926" t="s">
        <v>49</v>
      </c>
      <c r="B926">
        <v>46</v>
      </c>
      <c r="P926">
        <v>7.6</v>
      </c>
      <c r="R926">
        <v>7.6</v>
      </c>
      <c r="S926">
        <v>6.9</v>
      </c>
      <c r="T926">
        <v>6.1</v>
      </c>
      <c r="W926">
        <v>6.1</v>
      </c>
      <c r="X926">
        <v>6.1</v>
      </c>
    </row>
    <row r="927" spans="1:27" x14ac:dyDescent="0.3">
      <c r="A927" t="s">
        <v>696</v>
      </c>
      <c r="B927">
        <v>46</v>
      </c>
      <c r="P927">
        <v>0</v>
      </c>
      <c r="R927">
        <v>0</v>
      </c>
      <c r="S927">
        <v>0</v>
      </c>
      <c r="T927">
        <v>0</v>
      </c>
      <c r="W927">
        <v>0</v>
      </c>
      <c r="X927">
        <v>0</v>
      </c>
    </row>
    <row r="928" spans="1:27" x14ac:dyDescent="0.3">
      <c r="A928" t="s">
        <v>48</v>
      </c>
      <c r="B928">
        <v>46</v>
      </c>
      <c r="P928">
        <v>1900</v>
      </c>
      <c r="R928">
        <v>1900</v>
      </c>
      <c r="S928">
        <v>1900</v>
      </c>
      <c r="T928">
        <v>1900</v>
      </c>
      <c r="W928">
        <v>1900</v>
      </c>
      <c r="X928">
        <v>1900</v>
      </c>
    </row>
    <row r="929" spans="1:24" x14ac:dyDescent="0.3">
      <c r="A929" t="s">
        <v>697</v>
      </c>
      <c r="B929">
        <v>46</v>
      </c>
      <c r="P929">
        <v>3433</v>
      </c>
      <c r="R929">
        <v>1695</v>
      </c>
      <c r="S929">
        <v>1770</v>
      </c>
      <c r="T929">
        <v>5085</v>
      </c>
      <c r="W929">
        <v>5085</v>
      </c>
      <c r="X929">
        <v>1583</v>
      </c>
    </row>
    <row r="930" spans="1:24" x14ac:dyDescent="0.3">
      <c r="A930" t="s">
        <v>50</v>
      </c>
      <c r="B930">
        <v>46</v>
      </c>
      <c r="P930">
        <v>3433</v>
      </c>
      <c r="R930">
        <v>1695</v>
      </c>
      <c r="S930">
        <v>1770</v>
      </c>
      <c r="T930">
        <v>5085</v>
      </c>
      <c r="W930">
        <v>5085</v>
      </c>
      <c r="X930">
        <v>1583</v>
      </c>
    </row>
    <row r="931" spans="1:24" x14ac:dyDescent="0.3">
      <c r="A931" t="s">
        <v>698</v>
      </c>
      <c r="B931">
        <v>46</v>
      </c>
      <c r="P931">
        <v>1</v>
      </c>
      <c r="R931">
        <v>1</v>
      </c>
      <c r="S931">
        <v>1</v>
      </c>
      <c r="T931">
        <v>1</v>
      </c>
      <c r="W931">
        <v>1</v>
      </c>
      <c r="X931">
        <v>1</v>
      </c>
    </row>
    <row r="932" spans="1:24" x14ac:dyDescent="0.3">
      <c r="A932" t="s">
        <v>51</v>
      </c>
      <c r="B932">
        <v>46</v>
      </c>
      <c r="P932">
        <v>0</v>
      </c>
      <c r="R932">
        <v>0</v>
      </c>
      <c r="S932">
        <v>0</v>
      </c>
      <c r="T932">
        <v>0</v>
      </c>
      <c r="W932">
        <v>0</v>
      </c>
      <c r="X932">
        <v>2</v>
      </c>
    </row>
    <row r="933" spans="1:24" x14ac:dyDescent="0.3">
      <c r="A933" t="s">
        <v>53</v>
      </c>
      <c r="B933">
        <v>46</v>
      </c>
      <c r="P933">
        <v>1</v>
      </c>
      <c r="R933">
        <v>0</v>
      </c>
      <c r="S933">
        <v>5</v>
      </c>
      <c r="T933">
        <v>791</v>
      </c>
      <c r="W933">
        <v>635</v>
      </c>
      <c r="X933">
        <v>2</v>
      </c>
    </row>
    <row r="934" spans="1:24" x14ac:dyDescent="0.3">
      <c r="A934" t="s">
        <v>54</v>
      </c>
      <c r="B934">
        <v>46</v>
      </c>
      <c r="P934">
        <v>0</v>
      </c>
      <c r="R934">
        <v>0</v>
      </c>
      <c r="S934">
        <v>0</v>
      </c>
      <c r="T934">
        <v>0</v>
      </c>
      <c r="W934">
        <v>0</v>
      </c>
      <c r="X934">
        <v>0</v>
      </c>
    </row>
    <row r="935" spans="1:24" x14ac:dyDescent="0.3">
      <c r="A935" t="s">
        <v>55</v>
      </c>
      <c r="B935">
        <v>46</v>
      </c>
      <c r="P935">
        <v>0</v>
      </c>
      <c r="R935">
        <v>0</v>
      </c>
      <c r="S935">
        <v>0</v>
      </c>
      <c r="T935">
        <v>0</v>
      </c>
      <c r="W935">
        <v>0</v>
      </c>
      <c r="X935">
        <v>0</v>
      </c>
    </row>
    <row r="936" spans="1:24" x14ac:dyDescent="0.3">
      <c r="A936" t="s">
        <v>56</v>
      </c>
      <c r="B936">
        <v>46</v>
      </c>
      <c r="P936">
        <v>0.92</v>
      </c>
      <c r="R936">
        <v>0.92</v>
      </c>
      <c r="S936">
        <v>0.92</v>
      </c>
      <c r="T936">
        <v>0.92</v>
      </c>
      <c r="W936">
        <v>0.92</v>
      </c>
      <c r="X936">
        <v>0.92</v>
      </c>
    </row>
    <row r="937" spans="1:24" x14ac:dyDescent="0.3">
      <c r="A937" t="s">
        <v>57</v>
      </c>
      <c r="B937">
        <v>46</v>
      </c>
      <c r="P937">
        <v>100</v>
      </c>
      <c r="R937">
        <v>100</v>
      </c>
      <c r="S937">
        <v>100</v>
      </c>
      <c r="T937">
        <v>100</v>
      </c>
      <c r="W937">
        <v>100</v>
      </c>
      <c r="X937">
        <v>100</v>
      </c>
    </row>
    <row r="938" spans="1:24" x14ac:dyDescent="0.3">
      <c r="A938" t="s">
        <v>58</v>
      </c>
      <c r="B938">
        <v>46</v>
      </c>
      <c r="P938">
        <v>2</v>
      </c>
      <c r="R938">
        <v>2</v>
      </c>
      <c r="S938">
        <v>2</v>
      </c>
      <c r="T938">
        <v>2</v>
      </c>
      <c r="W938">
        <v>2</v>
      </c>
      <c r="X938">
        <v>2</v>
      </c>
    </row>
    <row r="939" spans="1:24" x14ac:dyDescent="0.3">
      <c r="A939" t="s">
        <v>59</v>
      </c>
      <c r="B939">
        <v>46</v>
      </c>
      <c r="P939">
        <v>0</v>
      </c>
      <c r="R939">
        <v>0</v>
      </c>
      <c r="S939">
        <v>0</v>
      </c>
      <c r="T939">
        <v>0</v>
      </c>
      <c r="W939">
        <v>0</v>
      </c>
      <c r="X939">
        <v>0</v>
      </c>
    </row>
    <row r="940" spans="1:24" x14ac:dyDescent="0.3">
      <c r="A940" t="s">
        <v>699</v>
      </c>
      <c r="B940">
        <v>46</v>
      </c>
      <c r="P940">
        <v>0</v>
      </c>
      <c r="T940">
        <v>0</v>
      </c>
      <c r="W940">
        <v>0</v>
      </c>
    </row>
    <row r="941" spans="1:24" x14ac:dyDescent="0.3">
      <c r="A941" t="s">
        <v>678</v>
      </c>
      <c r="B941">
        <v>46</v>
      </c>
      <c r="P941">
        <v>276</v>
      </c>
      <c r="T941">
        <v>906</v>
      </c>
      <c r="W941">
        <v>1161</v>
      </c>
    </row>
    <row r="942" spans="1:24" x14ac:dyDescent="0.3">
      <c r="A942" t="s">
        <v>78</v>
      </c>
      <c r="B942">
        <v>46</v>
      </c>
      <c r="P942">
        <v>7.5</v>
      </c>
      <c r="T942">
        <v>13.7</v>
      </c>
      <c r="W942">
        <v>17.600000000000001</v>
      </c>
    </row>
    <row r="943" spans="1:24" x14ac:dyDescent="0.3">
      <c r="A943" t="s">
        <v>700</v>
      </c>
      <c r="B943">
        <v>46</v>
      </c>
      <c r="R943">
        <v>0</v>
      </c>
      <c r="T943">
        <v>0</v>
      </c>
      <c r="X943">
        <v>0</v>
      </c>
    </row>
    <row r="944" spans="1:24" x14ac:dyDescent="0.3">
      <c r="A944" t="s">
        <v>701</v>
      </c>
      <c r="B944">
        <v>46</v>
      </c>
      <c r="P944">
        <v>0</v>
      </c>
      <c r="R944">
        <v>1</v>
      </c>
      <c r="S944">
        <v>0</v>
      </c>
      <c r="T944">
        <v>0</v>
      </c>
      <c r="W944">
        <v>0</v>
      </c>
      <c r="X944">
        <v>1</v>
      </c>
    </row>
    <row r="945" spans="1:24" x14ac:dyDescent="0.3">
      <c r="A945" t="s">
        <v>702</v>
      </c>
      <c r="B945">
        <v>46</v>
      </c>
      <c r="P945">
        <v>0</v>
      </c>
      <c r="R945">
        <v>0</v>
      </c>
      <c r="S945">
        <v>0</v>
      </c>
      <c r="T945">
        <v>0</v>
      </c>
      <c r="W945">
        <v>0</v>
      </c>
      <c r="X945">
        <v>0</v>
      </c>
    </row>
    <row r="946" spans="1:24" x14ac:dyDescent="0.3">
      <c r="A946" t="s">
        <v>52</v>
      </c>
      <c r="B946">
        <v>46</v>
      </c>
      <c r="P946">
        <v>1</v>
      </c>
      <c r="R946">
        <v>1</v>
      </c>
      <c r="S946">
        <v>1</v>
      </c>
      <c r="T946">
        <v>1</v>
      </c>
      <c r="W946">
        <v>1</v>
      </c>
      <c r="X946">
        <v>1</v>
      </c>
    </row>
    <row r="947" spans="1:24" x14ac:dyDescent="0.3">
      <c r="A947" t="s">
        <v>703</v>
      </c>
      <c r="B947">
        <v>46</v>
      </c>
      <c r="P947">
        <v>15</v>
      </c>
      <c r="R947">
        <v>9</v>
      </c>
      <c r="S947">
        <v>15</v>
      </c>
      <c r="T947">
        <v>60</v>
      </c>
      <c r="W947">
        <v>60</v>
      </c>
      <c r="X947">
        <v>9</v>
      </c>
    </row>
    <row r="948" spans="1:24" x14ac:dyDescent="0.3">
      <c r="A948" t="s">
        <v>43</v>
      </c>
      <c r="B948">
        <v>46</v>
      </c>
      <c r="P948">
        <v>20</v>
      </c>
      <c r="R948">
        <v>20</v>
      </c>
      <c r="S948">
        <v>20</v>
      </c>
      <c r="T948">
        <v>100</v>
      </c>
      <c r="W948">
        <v>100</v>
      </c>
      <c r="X948">
        <v>20</v>
      </c>
    </row>
    <row r="949" spans="1:24" x14ac:dyDescent="0.3">
      <c r="A949" t="s">
        <v>44</v>
      </c>
      <c r="B949">
        <v>46</v>
      </c>
      <c r="P949">
        <v>0</v>
      </c>
      <c r="R949">
        <v>0</v>
      </c>
      <c r="S949">
        <v>0</v>
      </c>
      <c r="T949">
        <v>0</v>
      </c>
      <c r="W949">
        <v>0</v>
      </c>
      <c r="X949">
        <v>0</v>
      </c>
    </row>
    <row r="950" spans="1:24" x14ac:dyDescent="0.3">
      <c r="A950" t="s">
        <v>47</v>
      </c>
      <c r="B950">
        <v>46</v>
      </c>
      <c r="P950">
        <v>4</v>
      </c>
      <c r="R950">
        <v>4</v>
      </c>
      <c r="S950">
        <v>5</v>
      </c>
      <c r="T950">
        <v>2</v>
      </c>
      <c r="W950">
        <v>6</v>
      </c>
      <c r="X950">
        <v>6</v>
      </c>
    </row>
    <row r="951" spans="1:24" x14ac:dyDescent="0.3">
      <c r="A951" t="s">
        <v>704</v>
      </c>
      <c r="B951">
        <v>46</v>
      </c>
      <c r="P951">
        <v>0</v>
      </c>
      <c r="R951">
        <v>0</v>
      </c>
      <c r="S951">
        <v>0</v>
      </c>
      <c r="T951">
        <v>0</v>
      </c>
      <c r="W951">
        <v>0</v>
      </c>
      <c r="X951">
        <v>0</v>
      </c>
    </row>
    <row r="952" spans="1:24" x14ac:dyDescent="0.3">
      <c r="A952" t="s">
        <v>705</v>
      </c>
      <c r="B952">
        <v>46</v>
      </c>
      <c r="P952">
        <v>0</v>
      </c>
      <c r="R952">
        <v>0</v>
      </c>
      <c r="S952">
        <v>0</v>
      </c>
      <c r="T952">
        <v>0</v>
      </c>
      <c r="W952">
        <v>0</v>
      </c>
      <c r="X952">
        <v>0</v>
      </c>
    </row>
    <row r="953" spans="1:24" x14ac:dyDescent="0.3">
      <c r="A953" t="s">
        <v>706</v>
      </c>
      <c r="B953">
        <v>46</v>
      </c>
      <c r="P953">
        <v>0</v>
      </c>
      <c r="R953">
        <v>0</v>
      </c>
      <c r="S953">
        <v>0</v>
      </c>
      <c r="T953">
        <v>0</v>
      </c>
      <c r="W953">
        <v>0</v>
      </c>
      <c r="X953">
        <v>0</v>
      </c>
    </row>
    <row r="954" spans="1:24" x14ac:dyDescent="0.3">
      <c r="A954" t="s">
        <v>707</v>
      </c>
      <c r="B954">
        <v>46</v>
      </c>
      <c r="P954">
        <v>0</v>
      </c>
      <c r="R954">
        <v>0</v>
      </c>
      <c r="S954">
        <v>0</v>
      </c>
      <c r="T954">
        <v>0</v>
      </c>
      <c r="W954">
        <v>0</v>
      </c>
      <c r="X954">
        <v>0</v>
      </c>
    </row>
    <row r="955" spans="1:24" x14ac:dyDescent="0.3">
      <c r="A955" t="s">
        <v>708</v>
      </c>
      <c r="B955">
        <v>46</v>
      </c>
      <c r="P955">
        <v>1</v>
      </c>
      <c r="R955">
        <v>1</v>
      </c>
      <c r="S955">
        <v>1</v>
      </c>
      <c r="T955">
        <v>2</v>
      </c>
      <c r="W955">
        <v>2</v>
      </c>
      <c r="X955">
        <v>1</v>
      </c>
    </row>
    <row r="956" spans="1:24" x14ac:dyDescent="0.3">
      <c r="A956" t="s">
        <v>709</v>
      </c>
      <c r="B956">
        <v>46</v>
      </c>
      <c r="P956">
        <v>0</v>
      </c>
      <c r="R956">
        <v>0</v>
      </c>
      <c r="S956">
        <v>0</v>
      </c>
      <c r="T956">
        <v>0</v>
      </c>
      <c r="W956">
        <v>0</v>
      </c>
      <c r="X956">
        <v>0</v>
      </c>
    </row>
    <row r="957" spans="1:24" x14ac:dyDescent="0.3">
      <c r="A957" t="s">
        <v>710</v>
      </c>
      <c r="B957">
        <v>46</v>
      </c>
      <c r="P957">
        <v>20</v>
      </c>
      <c r="R957">
        <v>20</v>
      </c>
      <c r="S957">
        <v>20</v>
      </c>
      <c r="T957">
        <v>6</v>
      </c>
      <c r="W957">
        <v>6</v>
      </c>
      <c r="X957">
        <v>20</v>
      </c>
    </row>
    <row r="958" spans="1:24" x14ac:dyDescent="0.3">
      <c r="A958" t="s">
        <v>711</v>
      </c>
      <c r="B958">
        <v>46</v>
      </c>
      <c r="P958">
        <v>3</v>
      </c>
      <c r="R958">
        <v>3</v>
      </c>
      <c r="S958">
        <v>3</v>
      </c>
      <c r="T958">
        <v>3</v>
      </c>
      <c r="W958">
        <v>3</v>
      </c>
      <c r="X958">
        <v>3</v>
      </c>
    </row>
    <row r="959" spans="1:24" x14ac:dyDescent="0.3">
      <c r="A959" t="s">
        <v>712</v>
      </c>
      <c r="B959">
        <v>46</v>
      </c>
      <c r="P959">
        <v>0</v>
      </c>
      <c r="R959">
        <v>0</v>
      </c>
      <c r="S959">
        <v>0</v>
      </c>
      <c r="T959">
        <v>0</v>
      </c>
      <c r="W959">
        <v>0</v>
      </c>
      <c r="X959">
        <v>0</v>
      </c>
    </row>
    <row r="960" spans="1:24" x14ac:dyDescent="0.3">
      <c r="A960" t="s">
        <v>713</v>
      </c>
      <c r="B960">
        <v>46</v>
      </c>
      <c r="P960">
        <v>0</v>
      </c>
      <c r="R960">
        <v>0</v>
      </c>
      <c r="S960">
        <v>0</v>
      </c>
      <c r="T960">
        <v>0</v>
      </c>
      <c r="W960">
        <v>0</v>
      </c>
      <c r="X960">
        <v>0</v>
      </c>
    </row>
    <row r="961" spans="1:24" x14ac:dyDescent="0.3">
      <c r="A961" t="s">
        <v>714</v>
      </c>
      <c r="B961">
        <v>46</v>
      </c>
      <c r="P961">
        <v>0</v>
      </c>
      <c r="R961">
        <v>0</v>
      </c>
      <c r="S961">
        <v>0</v>
      </c>
      <c r="T961">
        <v>0</v>
      </c>
      <c r="W961">
        <v>0</v>
      </c>
      <c r="X961">
        <v>0</v>
      </c>
    </row>
    <row r="962" spans="1:24" x14ac:dyDescent="0.3">
      <c r="A962" t="s">
        <v>715</v>
      </c>
      <c r="B962">
        <v>46</v>
      </c>
      <c r="T962">
        <v>94</v>
      </c>
      <c r="W962">
        <v>94</v>
      </c>
    </row>
    <row r="963" spans="1:24" x14ac:dyDescent="0.3">
      <c r="A963" t="s">
        <v>716</v>
      </c>
      <c r="B963">
        <v>46</v>
      </c>
      <c r="T963">
        <v>6</v>
      </c>
      <c r="W963">
        <v>6</v>
      </c>
    </row>
    <row r="964" spans="1:24" x14ac:dyDescent="0.3">
      <c r="A964" t="s">
        <v>717</v>
      </c>
      <c r="B964">
        <v>46</v>
      </c>
      <c r="T964">
        <v>3</v>
      </c>
      <c r="W964">
        <v>3</v>
      </c>
    </row>
    <row r="965" spans="1:24" x14ac:dyDescent="0.3">
      <c r="A965" t="s">
        <v>718</v>
      </c>
      <c r="B965">
        <v>46</v>
      </c>
      <c r="T965">
        <v>0</v>
      </c>
      <c r="W965">
        <v>0</v>
      </c>
    </row>
    <row r="966" spans="1:24" x14ac:dyDescent="0.3">
      <c r="A966" t="s">
        <v>719</v>
      </c>
      <c r="B966">
        <v>46</v>
      </c>
      <c r="P966">
        <v>0</v>
      </c>
      <c r="T966">
        <v>0</v>
      </c>
      <c r="W966">
        <v>0</v>
      </c>
    </row>
    <row r="967" spans="1:24" x14ac:dyDescent="0.3">
      <c r="A967" t="s">
        <v>405</v>
      </c>
      <c r="B967">
        <v>46</v>
      </c>
      <c r="P967">
        <v>0</v>
      </c>
    </row>
    <row r="968" spans="1:24" x14ac:dyDescent="0.3">
      <c r="A968" t="s">
        <v>773</v>
      </c>
      <c r="B968">
        <v>46</v>
      </c>
      <c r="R968">
        <v>0</v>
      </c>
    </row>
    <row r="969" spans="1:24" x14ac:dyDescent="0.3">
      <c r="A969" t="s">
        <v>720</v>
      </c>
      <c r="B969">
        <v>46</v>
      </c>
      <c r="P969">
        <v>1</v>
      </c>
      <c r="R969">
        <v>0</v>
      </c>
      <c r="S969">
        <v>5</v>
      </c>
      <c r="T969">
        <v>860</v>
      </c>
      <c r="W969">
        <v>690</v>
      </c>
      <c r="X969">
        <v>2</v>
      </c>
    </row>
    <row r="970" spans="1:24" x14ac:dyDescent="0.3">
      <c r="A970" t="s">
        <v>34</v>
      </c>
      <c r="B970">
        <v>49</v>
      </c>
      <c r="P970">
        <v>50</v>
      </c>
      <c r="R970">
        <v>50</v>
      </c>
      <c r="S970">
        <v>13</v>
      </c>
      <c r="T970">
        <v>13</v>
      </c>
      <c r="W970">
        <v>17</v>
      </c>
      <c r="X970">
        <v>17</v>
      </c>
    </row>
    <row r="971" spans="1:24" x14ac:dyDescent="0.3">
      <c r="A971" t="s">
        <v>35</v>
      </c>
      <c r="B971">
        <v>49</v>
      </c>
      <c r="P971">
        <v>17</v>
      </c>
      <c r="R971">
        <v>13</v>
      </c>
      <c r="S971">
        <v>50</v>
      </c>
      <c r="T971">
        <v>17</v>
      </c>
      <c r="W971">
        <v>13</v>
      </c>
      <c r="X971">
        <v>50</v>
      </c>
    </row>
    <row r="972" spans="1:24" x14ac:dyDescent="0.3">
      <c r="A972" t="s">
        <v>36</v>
      </c>
      <c r="B972">
        <v>49</v>
      </c>
      <c r="P972">
        <v>1</v>
      </c>
      <c r="R972">
        <v>1</v>
      </c>
      <c r="S972">
        <v>1</v>
      </c>
      <c r="T972">
        <v>3</v>
      </c>
      <c r="W972">
        <v>3</v>
      </c>
      <c r="X972">
        <v>0</v>
      </c>
    </row>
    <row r="973" spans="1:24" x14ac:dyDescent="0.3">
      <c r="A973" t="s">
        <v>37</v>
      </c>
      <c r="B973">
        <v>49</v>
      </c>
      <c r="P973">
        <v>0</v>
      </c>
      <c r="S973">
        <v>0</v>
      </c>
      <c r="T973">
        <v>0</v>
      </c>
      <c r="W973">
        <v>2</v>
      </c>
    </row>
    <row r="974" spans="1:24" x14ac:dyDescent="0.3">
      <c r="A974" t="s">
        <v>38</v>
      </c>
      <c r="B974">
        <v>49</v>
      </c>
      <c r="P974">
        <v>12</v>
      </c>
      <c r="R974">
        <v>12</v>
      </c>
      <c r="S974">
        <v>12</v>
      </c>
      <c r="T974">
        <v>12</v>
      </c>
      <c r="W974">
        <v>12</v>
      </c>
      <c r="X974">
        <v>12</v>
      </c>
    </row>
    <row r="975" spans="1:24" x14ac:dyDescent="0.3">
      <c r="A975" t="s">
        <v>39</v>
      </c>
      <c r="B975">
        <v>49</v>
      </c>
      <c r="P975">
        <v>30</v>
      </c>
      <c r="R975">
        <v>30</v>
      </c>
      <c r="S975">
        <v>300</v>
      </c>
    </row>
    <row r="976" spans="1:24" x14ac:dyDescent="0.3">
      <c r="A976" t="s">
        <v>695</v>
      </c>
      <c r="B976">
        <v>49</v>
      </c>
      <c r="P976">
        <v>50</v>
      </c>
      <c r="R976">
        <v>50</v>
      </c>
      <c r="S976">
        <v>95</v>
      </c>
    </row>
    <row r="977" spans="1:24" x14ac:dyDescent="0.3">
      <c r="A977" t="s">
        <v>40</v>
      </c>
      <c r="B977">
        <v>49</v>
      </c>
      <c r="P977">
        <v>1</v>
      </c>
      <c r="R977">
        <v>0</v>
      </c>
      <c r="S977">
        <v>1</v>
      </c>
    </row>
    <row r="978" spans="1:24" x14ac:dyDescent="0.3">
      <c r="A978" t="s">
        <v>41</v>
      </c>
      <c r="B978">
        <v>49</v>
      </c>
    </row>
    <row r="979" spans="1:24" x14ac:dyDescent="0.3">
      <c r="A979" t="s">
        <v>42</v>
      </c>
      <c r="B979">
        <v>49</v>
      </c>
      <c r="P979">
        <v>30</v>
      </c>
      <c r="T979">
        <v>45</v>
      </c>
      <c r="W979">
        <v>45</v>
      </c>
    </row>
    <row r="980" spans="1:24" x14ac:dyDescent="0.3">
      <c r="A980" t="s">
        <v>45</v>
      </c>
      <c r="B980">
        <v>49</v>
      </c>
      <c r="P980">
        <v>4</v>
      </c>
      <c r="S980">
        <v>5</v>
      </c>
      <c r="T980">
        <v>2</v>
      </c>
      <c r="W980">
        <v>6</v>
      </c>
    </row>
    <row r="981" spans="1:24" x14ac:dyDescent="0.3">
      <c r="A981" t="s">
        <v>46</v>
      </c>
      <c r="B981">
        <v>49</v>
      </c>
      <c r="R981">
        <v>4</v>
      </c>
    </row>
    <row r="982" spans="1:24" x14ac:dyDescent="0.3">
      <c r="A982" t="s">
        <v>49</v>
      </c>
      <c r="B982">
        <v>49</v>
      </c>
      <c r="P982">
        <v>6.7</v>
      </c>
      <c r="R982">
        <v>6.7</v>
      </c>
      <c r="S982">
        <v>6.2</v>
      </c>
      <c r="T982">
        <v>6</v>
      </c>
      <c r="W982">
        <v>5.8</v>
      </c>
      <c r="X982">
        <v>4</v>
      </c>
    </row>
    <row r="983" spans="1:24" x14ac:dyDescent="0.3">
      <c r="A983" t="s">
        <v>696</v>
      </c>
      <c r="B983">
        <v>49</v>
      </c>
      <c r="P983">
        <v>0</v>
      </c>
      <c r="R983">
        <v>0</v>
      </c>
      <c r="S983">
        <v>0</v>
      </c>
      <c r="T983">
        <v>0</v>
      </c>
      <c r="W983">
        <v>0</v>
      </c>
      <c r="X983">
        <v>0</v>
      </c>
    </row>
    <row r="984" spans="1:24" x14ac:dyDescent="0.3">
      <c r="A984" t="s">
        <v>48</v>
      </c>
      <c r="B984">
        <v>49</v>
      </c>
      <c r="P984">
        <v>1900</v>
      </c>
      <c r="R984">
        <v>1900</v>
      </c>
      <c r="S984">
        <v>1900</v>
      </c>
      <c r="T984">
        <v>1900</v>
      </c>
      <c r="W984">
        <v>1900</v>
      </c>
      <c r="X984">
        <v>1900</v>
      </c>
    </row>
    <row r="985" spans="1:24" x14ac:dyDescent="0.3">
      <c r="A985" t="s">
        <v>697</v>
      </c>
      <c r="B985">
        <v>49</v>
      </c>
      <c r="P985">
        <v>1770</v>
      </c>
      <c r="R985">
        <v>1583</v>
      </c>
      <c r="S985">
        <v>1770</v>
      </c>
      <c r="T985">
        <v>5085</v>
      </c>
      <c r="W985">
        <v>5075</v>
      </c>
      <c r="X985">
        <v>0</v>
      </c>
    </row>
    <row r="986" spans="1:24" x14ac:dyDescent="0.3">
      <c r="A986" t="s">
        <v>50</v>
      </c>
      <c r="B986">
        <v>49</v>
      </c>
      <c r="P986">
        <v>1770</v>
      </c>
      <c r="R986">
        <v>1583</v>
      </c>
      <c r="S986">
        <v>1770</v>
      </c>
      <c r="T986">
        <v>5085</v>
      </c>
      <c r="W986">
        <v>5075</v>
      </c>
      <c r="X986">
        <v>0</v>
      </c>
    </row>
    <row r="987" spans="1:24" x14ac:dyDescent="0.3">
      <c r="A987" t="s">
        <v>698</v>
      </c>
      <c r="B987">
        <v>49</v>
      </c>
      <c r="P987">
        <v>1</v>
      </c>
      <c r="R987">
        <v>1</v>
      </c>
      <c r="S987">
        <v>1</v>
      </c>
      <c r="T987">
        <v>1</v>
      </c>
      <c r="W987">
        <v>1</v>
      </c>
      <c r="X987">
        <v>1</v>
      </c>
    </row>
    <row r="988" spans="1:24" x14ac:dyDescent="0.3">
      <c r="A988" t="s">
        <v>51</v>
      </c>
      <c r="B988">
        <v>49</v>
      </c>
      <c r="P988">
        <v>0</v>
      </c>
      <c r="R988">
        <v>64</v>
      </c>
      <c r="S988">
        <v>0</v>
      </c>
      <c r="T988">
        <v>0</v>
      </c>
      <c r="W988">
        <v>2</v>
      </c>
      <c r="X988">
        <v>0</v>
      </c>
    </row>
    <row r="989" spans="1:24" x14ac:dyDescent="0.3">
      <c r="A989" t="s">
        <v>53</v>
      </c>
      <c r="B989">
        <v>49</v>
      </c>
      <c r="P989">
        <v>27</v>
      </c>
      <c r="R989">
        <v>59</v>
      </c>
      <c r="S989">
        <v>38</v>
      </c>
      <c r="T989">
        <v>954</v>
      </c>
      <c r="W989">
        <v>1084</v>
      </c>
      <c r="X989">
        <v>13</v>
      </c>
    </row>
    <row r="990" spans="1:24" x14ac:dyDescent="0.3">
      <c r="A990" t="s">
        <v>54</v>
      </c>
      <c r="B990">
        <v>49</v>
      </c>
      <c r="P990">
        <v>0</v>
      </c>
      <c r="R990">
        <v>0</v>
      </c>
      <c r="S990">
        <v>0</v>
      </c>
      <c r="T990">
        <v>0</v>
      </c>
      <c r="W990">
        <v>0</v>
      </c>
      <c r="X990">
        <v>0</v>
      </c>
    </row>
    <row r="991" spans="1:24" x14ac:dyDescent="0.3">
      <c r="A991" t="s">
        <v>55</v>
      </c>
      <c r="B991">
        <v>49</v>
      </c>
      <c r="P991">
        <v>0</v>
      </c>
      <c r="R991">
        <v>0</v>
      </c>
      <c r="S991">
        <v>0</v>
      </c>
      <c r="T991">
        <v>0</v>
      </c>
      <c r="W991">
        <v>0</v>
      </c>
      <c r="X991">
        <v>0</v>
      </c>
    </row>
    <row r="992" spans="1:24" x14ac:dyDescent="0.3">
      <c r="A992" t="s">
        <v>56</v>
      </c>
      <c r="B992">
        <v>49</v>
      </c>
      <c r="P992">
        <v>0.92</v>
      </c>
      <c r="R992">
        <v>0.92</v>
      </c>
      <c r="S992">
        <v>0.92</v>
      </c>
      <c r="T992">
        <v>0.92</v>
      </c>
      <c r="W992">
        <v>0.92</v>
      </c>
      <c r="X992">
        <v>0.92</v>
      </c>
    </row>
    <row r="993" spans="1:24" x14ac:dyDescent="0.3">
      <c r="A993" t="s">
        <v>57</v>
      </c>
      <c r="B993">
        <v>49</v>
      </c>
      <c r="P993">
        <v>100</v>
      </c>
      <c r="R993">
        <v>100</v>
      </c>
      <c r="S993">
        <v>100</v>
      </c>
      <c r="T993">
        <v>100</v>
      </c>
      <c r="W993">
        <v>100</v>
      </c>
      <c r="X993">
        <v>100</v>
      </c>
    </row>
    <row r="994" spans="1:24" x14ac:dyDescent="0.3">
      <c r="A994" t="s">
        <v>58</v>
      </c>
      <c r="B994">
        <v>49</v>
      </c>
      <c r="P994">
        <v>2</v>
      </c>
      <c r="R994">
        <v>2</v>
      </c>
      <c r="S994">
        <v>2</v>
      </c>
      <c r="T994">
        <v>2</v>
      </c>
      <c r="W994">
        <v>2</v>
      </c>
      <c r="X994">
        <v>2</v>
      </c>
    </row>
    <row r="995" spans="1:24" x14ac:dyDescent="0.3">
      <c r="A995" t="s">
        <v>59</v>
      </c>
      <c r="B995">
        <v>49</v>
      </c>
      <c r="P995">
        <v>0</v>
      </c>
      <c r="R995">
        <v>0</v>
      </c>
      <c r="S995">
        <v>0</v>
      </c>
      <c r="T995">
        <v>0</v>
      </c>
      <c r="W995">
        <v>0</v>
      </c>
      <c r="X995">
        <v>0</v>
      </c>
    </row>
    <row r="996" spans="1:24" x14ac:dyDescent="0.3">
      <c r="A996" t="s">
        <v>699</v>
      </c>
      <c r="B996">
        <v>49</v>
      </c>
      <c r="P996">
        <v>0</v>
      </c>
      <c r="T996">
        <v>0</v>
      </c>
      <c r="W996">
        <v>0</v>
      </c>
    </row>
    <row r="997" spans="1:24" x14ac:dyDescent="0.3">
      <c r="A997" t="s">
        <v>678</v>
      </c>
      <c r="B997">
        <v>49</v>
      </c>
      <c r="P997">
        <v>299</v>
      </c>
      <c r="T997">
        <v>2934</v>
      </c>
      <c r="W997">
        <v>4063</v>
      </c>
    </row>
    <row r="998" spans="1:24" x14ac:dyDescent="0.3">
      <c r="A998" t="s">
        <v>78</v>
      </c>
      <c r="B998">
        <v>49</v>
      </c>
      <c r="P998">
        <v>6.8</v>
      </c>
      <c r="T998">
        <v>44.5</v>
      </c>
      <c r="W998">
        <v>61.6</v>
      </c>
    </row>
    <row r="999" spans="1:24" x14ac:dyDescent="0.3">
      <c r="A999" t="s">
        <v>700</v>
      </c>
      <c r="B999">
        <v>49</v>
      </c>
      <c r="R999">
        <v>0</v>
      </c>
      <c r="T999">
        <v>0</v>
      </c>
      <c r="X999">
        <v>0</v>
      </c>
    </row>
    <row r="1000" spans="1:24" x14ac:dyDescent="0.3">
      <c r="A1000" t="s">
        <v>701</v>
      </c>
      <c r="B1000">
        <v>49</v>
      </c>
      <c r="P1000">
        <v>0</v>
      </c>
      <c r="R1000">
        <v>1</v>
      </c>
      <c r="S1000">
        <v>0</v>
      </c>
      <c r="T1000">
        <v>0</v>
      </c>
      <c r="W1000">
        <v>0</v>
      </c>
      <c r="X1000">
        <v>1</v>
      </c>
    </row>
    <row r="1001" spans="1:24" x14ac:dyDescent="0.3">
      <c r="A1001" t="s">
        <v>702</v>
      </c>
      <c r="B1001">
        <v>49</v>
      </c>
      <c r="P1001">
        <v>0</v>
      </c>
      <c r="R1001">
        <v>0</v>
      </c>
      <c r="S1001">
        <v>0</v>
      </c>
      <c r="T1001">
        <v>0</v>
      </c>
      <c r="W1001">
        <v>0</v>
      </c>
      <c r="X1001">
        <v>0</v>
      </c>
    </row>
    <row r="1002" spans="1:24" x14ac:dyDescent="0.3">
      <c r="A1002" t="s">
        <v>52</v>
      </c>
      <c r="B1002">
        <v>49</v>
      </c>
      <c r="P1002">
        <v>1</v>
      </c>
      <c r="R1002">
        <v>1</v>
      </c>
      <c r="S1002">
        <v>1</v>
      </c>
      <c r="T1002">
        <v>1</v>
      </c>
      <c r="W1002">
        <v>1</v>
      </c>
      <c r="X1002">
        <v>1</v>
      </c>
    </row>
    <row r="1003" spans="1:24" x14ac:dyDescent="0.3">
      <c r="A1003" t="s">
        <v>703</v>
      </c>
      <c r="B1003">
        <v>49</v>
      </c>
      <c r="P1003">
        <v>15</v>
      </c>
      <c r="R1003">
        <v>9</v>
      </c>
      <c r="S1003">
        <v>15</v>
      </c>
      <c r="T1003">
        <v>60</v>
      </c>
      <c r="W1003">
        <v>60</v>
      </c>
      <c r="X1003">
        <v>9</v>
      </c>
    </row>
    <row r="1004" spans="1:24" x14ac:dyDescent="0.3">
      <c r="A1004" t="s">
        <v>43</v>
      </c>
      <c r="B1004">
        <v>49</v>
      </c>
      <c r="P1004">
        <v>20</v>
      </c>
      <c r="R1004">
        <v>20</v>
      </c>
      <c r="S1004">
        <v>20</v>
      </c>
      <c r="T1004">
        <v>100</v>
      </c>
      <c r="W1004">
        <v>100</v>
      </c>
    </row>
    <row r="1005" spans="1:24" x14ac:dyDescent="0.3">
      <c r="A1005" t="s">
        <v>44</v>
      </c>
      <c r="B1005">
        <v>49</v>
      </c>
      <c r="P1005">
        <v>0</v>
      </c>
      <c r="R1005">
        <v>0</v>
      </c>
      <c r="S1005">
        <v>0</v>
      </c>
      <c r="T1005">
        <v>0</v>
      </c>
      <c r="W1005">
        <v>0</v>
      </c>
    </row>
    <row r="1006" spans="1:24" x14ac:dyDescent="0.3">
      <c r="A1006" t="s">
        <v>47</v>
      </c>
      <c r="B1006">
        <v>49</v>
      </c>
      <c r="P1006">
        <v>4</v>
      </c>
      <c r="R1006">
        <v>4</v>
      </c>
      <c r="S1006">
        <v>5</v>
      </c>
      <c r="T1006">
        <v>2</v>
      </c>
      <c r="W1006">
        <v>6</v>
      </c>
    </row>
    <row r="1007" spans="1:24" x14ac:dyDescent="0.3">
      <c r="A1007" t="s">
        <v>704</v>
      </c>
      <c r="B1007">
        <v>49</v>
      </c>
      <c r="P1007">
        <v>0</v>
      </c>
      <c r="R1007">
        <v>0</v>
      </c>
      <c r="S1007">
        <v>0</v>
      </c>
      <c r="T1007">
        <v>0</v>
      </c>
      <c r="W1007">
        <v>0</v>
      </c>
    </row>
    <row r="1008" spans="1:24" x14ac:dyDescent="0.3">
      <c r="A1008" t="s">
        <v>705</v>
      </c>
      <c r="B1008">
        <v>49</v>
      </c>
      <c r="P1008">
        <v>0</v>
      </c>
      <c r="R1008">
        <v>0</v>
      </c>
      <c r="S1008">
        <v>0</v>
      </c>
      <c r="T1008">
        <v>0</v>
      </c>
      <c r="W1008">
        <v>0</v>
      </c>
    </row>
    <row r="1009" spans="1:24" x14ac:dyDescent="0.3">
      <c r="A1009" t="s">
        <v>706</v>
      </c>
      <c r="B1009">
        <v>49</v>
      </c>
      <c r="P1009">
        <v>0</v>
      </c>
      <c r="R1009">
        <v>0</v>
      </c>
      <c r="S1009">
        <v>0</v>
      </c>
      <c r="T1009">
        <v>0</v>
      </c>
      <c r="W1009">
        <v>0</v>
      </c>
    </row>
    <row r="1010" spans="1:24" x14ac:dyDescent="0.3">
      <c r="A1010" t="s">
        <v>707</v>
      </c>
      <c r="B1010">
        <v>49</v>
      </c>
      <c r="P1010">
        <v>0</v>
      </c>
      <c r="R1010">
        <v>0</v>
      </c>
      <c r="S1010">
        <v>0</v>
      </c>
      <c r="T1010">
        <v>0</v>
      </c>
      <c r="W1010">
        <v>0</v>
      </c>
    </row>
    <row r="1011" spans="1:24" x14ac:dyDescent="0.3">
      <c r="A1011" t="s">
        <v>708</v>
      </c>
      <c r="B1011">
        <v>49</v>
      </c>
      <c r="P1011">
        <v>1</v>
      </c>
      <c r="R1011">
        <v>1</v>
      </c>
      <c r="S1011">
        <v>1</v>
      </c>
      <c r="T1011">
        <v>2</v>
      </c>
      <c r="W1011">
        <v>2</v>
      </c>
    </row>
    <row r="1012" spans="1:24" x14ac:dyDescent="0.3">
      <c r="A1012" t="s">
        <v>709</v>
      </c>
      <c r="B1012">
        <v>49</v>
      </c>
      <c r="P1012">
        <v>0</v>
      </c>
      <c r="R1012">
        <v>0</v>
      </c>
      <c r="S1012">
        <v>0</v>
      </c>
      <c r="T1012">
        <v>0</v>
      </c>
      <c r="W1012">
        <v>0</v>
      </c>
    </row>
    <row r="1013" spans="1:24" x14ac:dyDescent="0.3">
      <c r="A1013" t="s">
        <v>710</v>
      </c>
      <c r="B1013">
        <v>49</v>
      </c>
      <c r="P1013">
        <v>20</v>
      </c>
      <c r="R1013">
        <v>20</v>
      </c>
      <c r="S1013">
        <v>20</v>
      </c>
      <c r="T1013">
        <v>6</v>
      </c>
      <c r="W1013">
        <v>6</v>
      </c>
    </row>
    <row r="1014" spans="1:24" x14ac:dyDescent="0.3">
      <c r="A1014" t="s">
        <v>711</v>
      </c>
      <c r="B1014">
        <v>49</v>
      </c>
      <c r="P1014">
        <v>3</v>
      </c>
      <c r="R1014">
        <v>3</v>
      </c>
      <c r="S1014">
        <v>3</v>
      </c>
      <c r="T1014">
        <v>3</v>
      </c>
      <c r="W1014">
        <v>3</v>
      </c>
    </row>
    <row r="1015" spans="1:24" x14ac:dyDescent="0.3">
      <c r="A1015" t="s">
        <v>712</v>
      </c>
      <c r="B1015">
        <v>49</v>
      </c>
      <c r="P1015">
        <v>0</v>
      </c>
      <c r="R1015">
        <v>0</v>
      </c>
      <c r="S1015">
        <v>0</v>
      </c>
      <c r="T1015">
        <v>0</v>
      </c>
      <c r="W1015">
        <v>0</v>
      </c>
    </row>
    <row r="1016" spans="1:24" x14ac:dyDescent="0.3">
      <c r="A1016" t="s">
        <v>713</v>
      </c>
      <c r="B1016">
        <v>49</v>
      </c>
      <c r="P1016">
        <v>0</v>
      </c>
      <c r="R1016">
        <v>0</v>
      </c>
      <c r="S1016">
        <v>0</v>
      </c>
      <c r="T1016">
        <v>0</v>
      </c>
      <c r="W1016">
        <v>0</v>
      </c>
    </row>
    <row r="1017" spans="1:24" x14ac:dyDescent="0.3">
      <c r="A1017" t="s">
        <v>714</v>
      </c>
      <c r="B1017">
        <v>49</v>
      </c>
      <c r="P1017">
        <v>0</v>
      </c>
      <c r="R1017">
        <v>0</v>
      </c>
      <c r="S1017">
        <v>0</v>
      </c>
      <c r="T1017">
        <v>0</v>
      </c>
      <c r="W1017">
        <v>0</v>
      </c>
    </row>
    <row r="1018" spans="1:24" x14ac:dyDescent="0.3">
      <c r="A1018" t="s">
        <v>715</v>
      </c>
      <c r="B1018">
        <v>49</v>
      </c>
      <c r="T1018">
        <v>94</v>
      </c>
      <c r="W1018">
        <v>94</v>
      </c>
    </row>
    <row r="1019" spans="1:24" x14ac:dyDescent="0.3">
      <c r="A1019" t="s">
        <v>716</v>
      </c>
      <c r="B1019">
        <v>49</v>
      </c>
      <c r="T1019">
        <v>6</v>
      </c>
      <c r="W1019">
        <v>6</v>
      </c>
    </row>
    <row r="1020" spans="1:24" x14ac:dyDescent="0.3">
      <c r="A1020" t="s">
        <v>717</v>
      </c>
      <c r="B1020">
        <v>49</v>
      </c>
      <c r="T1020">
        <v>3</v>
      </c>
      <c r="W1020">
        <v>3</v>
      </c>
    </row>
    <row r="1021" spans="1:24" x14ac:dyDescent="0.3">
      <c r="A1021" t="s">
        <v>718</v>
      </c>
      <c r="B1021">
        <v>49</v>
      </c>
      <c r="T1021">
        <v>0</v>
      </c>
      <c r="W1021">
        <v>0</v>
      </c>
    </row>
    <row r="1022" spans="1:24" x14ac:dyDescent="0.3">
      <c r="A1022" t="s">
        <v>719</v>
      </c>
      <c r="B1022">
        <v>49</v>
      </c>
      <c r="P1022">
        <v>0</v>
      </c>
      <c r="T1022">
        <v>0</v>
      </c>
      <c r="W1022">
        <v>0</v>
      </c>
    </row>
    <row r="1023" spans="1:24" x14ac:dyDescent="0.3">
      <c r="A1023" t="s">
        <v>405</v>
      </c>
      <c r="B1023">
        <v>49</v>
      </c>
      <c r="P1023">
        <v>0</v>
      </c>
    </row>
    <row r="1024" spans="1:24" x14ac:dyDescent="0.3">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194"/>
  <sheetViews>
    <sheetView workbookViewId="0"/>
  </sheetViews>
  <sheetFormatPr defaultRowHeight="14.4" x14ac:dyDescent="0.3"/>
  <sheetData>
    <row r="1" spans="1:3" x14ac:dyDescent="0.3">
      <c r="A1" t="s">
        <v>565</v>
      </c>
    </row>
    <row r="2" spans="1:3" x14ac:dyDescent="0.3">
      <c r="A2" t="s">
        <v>723</v>
      </c>
    </row>
    <row r="3" spans="1:3" x14ac:dyDescent="0.3">
      <c r="A3" t="s">
        <v>0</v>
      </c>
      <c r="B3" t="s">
        <v>1</v>
      </c>
      <c r="C3" t="s">
        <v>643</v>
      </c>
    </row>
    <row r="4" spans="1:3" x14ac:dyDescent="0.3">
      <c r="A4" t="s">
        <v>724</v>
      </c>
      <c r="B4">
        <v>1</v>
      </c>
      <c r="C4">
        <v>3</v>
      </c>
    </row>
    <row r="5" spans="1:3" x14ac:dyDescent="0.3">
      <c r="A5" t="s">
        <v>725</v>
      </c>
      <c r="B5">
        <v>1</v>
      </c>
      <c r="C5">
        <v>140</v>
      </c>
    </row>
    <row r="6" spans="1:3" x14ac:dyDescent="0.3">
      <c r="A6" t="s">
        <v>726</v>
      </c>
      <c r="B6">
        <v>1</v>
      </c>
      <c r="C6">
        <v>0</v>
      </c>
    </row>
    <row r="7" spans="1:3" x14ac:dyDescent="0.3">
      <c r="A7" t="s">
        <v>727</v>
      </c>
      <c r="B7">
        <v>1</v>
      </c>
      <c r="C7">
        <v>0</v>
      </c>
    </row>
    <row r="8" spans="1:3" x14ac:dyDescent="0.3">
      <c r="A8" t="s">
        <v>728</v>
      </c>
      <c r="B8">
        <v>1</v>
      </c>
      <c r="C8">
        <v>206</v>
      </c>
    </row>
    <row r="9" spans="1:3" x14ac:dyDescent="0.3">
      <c r="A9" t="s">
        <v>563</v>
      </c>
      <c r="B9">
        <v>1</v>
      </c>
      <c r="C9">
        <v>0</v>
      </c>
    </row>
    <row r="10" spans="1:3" x14ac:dyDescent="0.3">
      <c r="A10" t="s">
        <v>729</v>
      </c>
      <c r="B10">
        <v>1</v>
      </c>
      <c r="C10">
        <v>1</v>
      </c>
    </row>
    <row r="11" spans="1:3" x14ac:dyDescent="0.3">
      <c r="A11" t="s">
        <v>272</v>
      </c>
      <c r="B11">
        <v>1</v>
      </c>
      <c r="C11">
        <v>0</v>
      </c>
    </row>
    <row r="12" spans="1:3" x14ac:dyDescent="0.3">
      <c r="A12" t="s">
        <v>730</v>
      </c>
      <c r="B12">
        <v>1</v>
      </c>
      <c r="C12">
        <v>1</v>
      </c>
    </row>
    <row r="13" spans="1:3" x14ac:dyDescent="0.3">
      <c r="A13" t="s">
        <v>731</v>
      </c>
      <c r="B13">
        <v>1</v>
      </c>
      <c r="C13">
        <v>0</v>
      </c>
    </row>
    <row r="14" spans="1:3" x14ac:dyDescent="0.3">
      <c r="A14" t="s">
        <v>724</v>
      </c>
      <c r="B14">
        <v>7</v>
      </c>
      <c r="C14">
        <v>3</v>
      </c>
    </row>
    <row r="15" spans="1:3" x14ac:dyDescent="0.3">
      <c r="A15" t="s">
        <v>725</v>
      </c>
      <c r="B15">
        <v>7</v>
      </c>
      <c r="C15">
        <v>140</v>
      </c>
    </row>
    <row r="16" spans="1:3" x14ac:dyDescent="0.3">
      <c r="A16" t="s">
        <v>726</v>
      </c>
      <c r="B16">
        <v>7</v>
      </c>
      <c r="C16">
        <v>0</v>
      </c>
    </row>
    <row r="17" spans="1:3" x14ac:dyDescent="0.3">
      <c r="A17" t="s">
        <v>727</v>
      </c>
      <c r="B17">
        <v>7</v>
      </c>
      <c r="C17">
        <v>0</v>
      </c>
    </row>
    <row r="18" spans="1:3" x14ac:dyDescent="0.3">
      <c r="A18" t="s">
        <v>728</v>
      </c>
      <c r="B18">
        <v>7</v>
      </c>
      <c r="C18">
        <v>206</v>
      </c>
    </row>
    <row r="19" spans="1:3" x14ac:dyDescent="0.3">
      <c r="A19" t="s">
        <v>563</v>
      </c>
      <c r="B19">
        <v>7</v>
      </c>
      <c r="C19">
        <v>70</v>
      </c>
    </row>
    <row r="20" spans="1:3" x14ac:dyDescent="0.3">
      <c r="A20" t="s">
        <v>729</v>
      </c>
      <c r="B20">
        <v>7</v>
      </c>
      <c r="C20">
        <v>0</v>
      </c>
    </row>
    <row r="21" spans="1:3" x14ac:dyDescent="0.3">
      <c r="A21" t="s">
        <v>272</v>
      </c>
      <c r="B21">
        <v>7</v>
      </c>
      <c r="C21">
        <v>0</v>
      </c>
    </row>
    <row r="22" spans="1:3" x14ac:dyDescent="0.3">
      <c r="A22" t="s">
        <v>730</v>
      </c>
      <c r="B22">
        <v>7</v>
      </c>
      <c r="C22">
        <v>7</v>
      </c>
    </row>
    <row r="23" spans="1:3" x14ac:dyDescent="0.3">
      <c r="A23" t="s">
        <v>731</v>
      </c>
      <c r="B23">
        <v>7</v>
      </c>
      <c r="C23">
        <v>0</v>
      </c>
    </row>
    <row r="24" spans="1:3" x14ac:dyDescent="0.3">
      <c r="A24" t="s">
        <v>724</v>
      </c>
      <c r="B24">
        <v>9</v>
      </c>
      <c r="C24">
        <v>3</v>
      </c>
    </row>
    <row r="25" spans="1:3" x14ac:dyDescent="0.3">
      <c r="A25" t="s">
        <v>725</v>
      </c>
      <c r="B25">
        <v>9</v>
      </c>
      <c r="C25">
        <v>140</v>
      </c>
    </row>
    <row r="26" spans="1:3" x14ac:dyDescent="0.3">
      <c r="A26" t="s">
        <v>726</v>
      </c>
      <c r="B26">
        <v>9</v>
      </c>
      <c r="C26">
        <v>0</v>
      </c>
    </row>
    <row r="27" spans="1:3" x14ac:dyDescent="0.3">
      <c r="A27" t="s">
        <v>727</v>
      </c>
      <c r="B27">
        <v>9</v>
      </c>
      <c r="C27">
        <v>0</v>
      </c>
    </row>
    <row r="28" spans="1:3" x14ac:dyDescent="0.3">
      <c r="A28" t="s">
        <v>728</v>
      </c>
      <c r="B28">
        <v>9</v>
      </c>
      <c r="C28">
        <v>206</v>
      </c>
    </row>
    <row r="29" spans="1:3" x14ac:dyDescent="0.3">
      <c r="A29" t="s">
        <v>563</v>
      </c>
      <c r="B29">
        <v>9</v>
      </c>
      <c r="C29">
        <v>75</v>
      </c>
    </row>
    <row r="30" spans="1:3" x14ac:dyDescent="0.3">
      <c r="A30" t="s">
        <v>729</v>
      </c>
      <c r="B30">
        <v>9</v>
      </c>
      <c r="C30">
        <v>0</v>
      </c>
    </row>
    <row r="31" spans="1:3" x14ac:dyDescent="0.3">
      <c r="A31" t="s">
        <v>272</v>
      </c>
      <c r="B31">
        <v>9</v>
      </c>
      <c r="C31">
        <v>0</v>
      </c>
    </row>
    <row r="32" spans="1:3" x14ac:dyDescent="0.3">
      <c r="A32" t="s">
        <v>730</v>
      </c>
      <c r="B32">
        <v>9</v>
      </c>
      <c r="C32">
        <v>9</v>
      </c>
    </row>
    <row r="33" spans="1:3" x14ac:dyDescent="0.3">
      <c r="A33" t="s">
        <v>731</v>
      </c>
      <c r="B33">
        <v>9</v>
      </c>
      <c r="C33">
        <v>0</v>
      </c>
    </row>
    <row r="34" spans="1:3" x14ac:dyDescent="0.3">
      <c r="A34" t="s">
        <v>724</v>
      </c>
      <c r="B34">
        <v>11</v>
      </c>
      <c r="C34">
        <v>3</v>
      </c>
    </row>
    <row r="35" spans="1:3" x14ac:dyDescent="0.3">
      <c r="A35" t="s">
        <v>725</v>
      </c>
      <c r="B35">
        <v>11</v>
      </c>
      <c r="C35">
        <v>140</v>
      </c>
    </row>
    <row r="36" spans="1:3" x14ac:dyDescent="0.3">
      <c r="A36" t="s">
        <v>726</v>
      </c>
      <c r="B36">
        <v>11</v>
      </c>
      <c r="C36">
        <v>0</v>
      </c>
    </row>
    <row r="37" spans="1:3" x14ac:dyDescent="0.3">
      <c r="A37" t="s">
        <v>727</v>
      </c>
      <c r="B37">
        <v>11</v>
      </c>
      <c r="C37">
        <v>0</v>
      </c>
    </row>
    <row r="38" spans="1:3" x14ac:dyDescent="0.3">
      <c r="A38" t="s">
        <v>728</v>
      </c>
      <c r="B38">
        <v>11</v>
      </c>
      <c r="C38">
        <v>206</v>
      </c>
    </row>
    <row r="39" spans="1:3" x14ac:dyDescent="0.3">
      <c r="A39" t="s">
        <v>563</v>
      </c>
      <c r="B39">
        <v>11</v>
      </c>
      <c r="C39">
        <v>12</v>
      </c>
    </row>
    <row r="40" spans="1:3" x14ac:dyDescent="0.3">
      <c r="A40" t="s">
        <v>729</v>
      </c>
      <c r="B40">
        <v>11</v>
      </c>
      <c r="C40">
        <v>0</v>
      </c>
    </row>
    <row r="41" spans="1:3" x14ac:dyDescent="0.3">
      <c r="A41" t="s">
        <v>272</v>
      </c>
      <c r="B41">
        <v>11</v>
      </c>
      <c r="C41">
        <v>0</v>
      </c>
    </row>
    <row r="42" spans="1:3" x14ac:dyDescent="0.3">
      <c r="A42" t="s">
        <v>730</v>
      </c>
      <c r="B42">
        <v>11</v>
      </c>
      <c r="C42">
        <v>11</v>
      </c>
    </row>
    <row r="43" spans="1:3" x14ac:dyDescent="0.3">
      <c r="A43" t="s">
        <v>731</v>
      </c>
      <c r="B43">
        <v>11</v>
      </c>
      <c r="C43">
        <v>0</v>
      </c>
    </row>
    <row r="44" spans="1:3" x14ac:dyDescent="0.3">
      <c r="A44" t="s">
        <v>724</v>
      </c>
      <c r="B44">
        <v>13</v>
      </c>
      <c r="C44">
        <v>3</v>
      </c>
    </row>
    <row r="45" spans="1:3" x14ac:dyDescent="0.3">
      <c r="A45" t="s">
        <v>725</v>
      </c>
      <c r="B45">
        <v>13</v>
      </c>
      <c r="C45">
        <v>140</v>
      </c>
    </row>
    <row r="46" spans="1:3" x14ac:dyDescent="0.3">
      <c r="A46" t="s">
        <v>726</v>
      </c>
      <c r="B46">
        <v>13</v>
      </c>
      <c r="C46">
        <v>0</v>
      </c>
    </row>
    <row r="47" spans="1:3" x14ac:dyDescent="0.3">
      <c r="A47" t="s">
        <v>727</v>
      </c>
      <c r="B47">
        <v>13</v>
      </c>
      <c r="C47">
        <v>0</v>
      </c>
    </row>
    <row r="48" spans="1:3" x14ac:dyDescent="0.3">
      <c r="A48" t="s">
        <v>728</v>
      </c>
      <c r="B48">
        <v>13</v>
      </c>
      <c r="C48">
        <v>206</v>
      </c>
    </row>
    <row r="49" spans="1:3" x14ac:dyDescent="0.3">
      <c r="A49" t="s">
        <v>563</v>
      </c>
      <c r="B49">
        <v>13</v>
      </c>
      <c r="C49">
        <v>96</v>
      </c>
    </row>
    <row r="50" spans="1:3" x14ac:dyDescent="0.3">
      <c r="A50" t="s">
        <v>729</v>
      </c>
      <c r="B50">
        <v>13</v>
      </c>
      <c r="C50">
        <v>0</v>
      </c>
    </row>
    <row r="51" spans="1:3" x14ac:dyDescent="0.3">
      <c r="A51" t="s">
        <v>272</v>
      </c>
      <c r="B51">
        <v>13</v>
      </c>
      <c r="C51">
        <v>0</v>
      </c>
    </row>
    <row r="52" spans="1:3" x14ac:dyDescent="0.3">
      <c r="A52" t="s">
        <v>730</v>
      </c>
      <c r="B52">
        <v>13</v>
      </c>
      <c r="C52">
        <v>13</v>
      </c>
    </row>
    <row r="53" spans="1:3" x14ac:dyDescent="0.3">
      <c r="A53" t="s">
        <v>731</v>
      </c>
      <c r="B53">
        <v>13</v>
      </c>
      <c r="C53">
        <v>0</v>
      </c>
    </row>
    <row r="54" spans="1:3" x14ac:dyDescent="0.3">
      <c r="A54" t="s">
        <v>724</v>
      </c>
      <c r="B54">
        <v>17</v>
      </c>
      <c r="C54">
        <v>2</v>
      </c>
    </row>
    <row r="55" spans="1:3" x14ac:dyDescent="0.3">
      <c r="A55" t="s">
        <v>725</v>
      </c>
      <c r="B55">
        <v>17</v>
      </c>
      <c r="C55">
        <v>165</v>
      </c>
    </row>
    <row r="56" spans="1:3" x14ac:dyDescent="0.3">
      <c r="A56" t="s">
        <v>726</v>
      </c>
      <c r="B56">
        <v>17</v>
      </c>
      <c r="C56">
        <v>0</v>
      </c>
    </row>
    <row r="57" spans="1:3" x14ac:dyDescent="0.3">
      <c r="A57" t="s">
        <v>727</v>
      </c>
      <c r="B57">
        <v>17</v>
      </c>
      <c r="C57">
        <v>0</v>
      </c>
    </row>
    <row r="58" spans="1:3" x14ac:dyDescent="0.3">
      <c r="A58" t="s">
        <v>728</v>
      </c>
      <c r="B58">
        <v>17</v>
      </c>
      <c r="C58">
        <v>206</v>
      </c>
    </row>
    <row r="59" spans="1:3" x14ac:dyDescent="0.3">
      <c r="A59" t="s">
        <v>563</v>
      </c>
      <c r="B59">
        <v>17</v>
      </c>
      <c r="C59">
        <v>24.8</v>
      </c>
    </row>
    <row r="60" spans="1:3" x14ac:dyDescent="0.3">
      <c r="A60" t="s">
        <v>729</v>
      </c>
      <c r="B60">
        <v>17</v>
      </c>
      <c r="C60">
        <v>0</v>
      </c>
    </row>
    <row r="61" spans="1:3" x14ac:dyDescent="0.3">
      <c r="A61" t="s">
        <v>272</v>
      </c>
      <c r="B61">
        <v>17</v>
      </c>
      <c r="C61">
        <v>0</v>
      </c>
    </row>
    <row r="62" spans="1:3" x14ac:dyDescent="0.3">
      <c r="A62" t="s">
        <v>730</v>
      </c>
      <c r="B62">
        <v>17</v>
      </c>
      <c r="C62">
        <v>17</v>
      </c>
    </row>
    <row r="63" spans="1:3" x14ac:dyDescent="0.3">
      <c r="A63" t="s">
        <v>731</v>
      </c>
      <c r="B63">
        <v>17</v>
      </c>
      <c r="C63">
        <v>0</v>
      </c>
    </row>
    <row r="64" spans="1:3" x14ac:dyDescent="0.3">
      <c r="A64" t="s">
        <v>724</v>
      </c>
      <c r="B64">
        <v>21</v>
      </c>
      <c r="C64">
        <v>3</v>
      </c>
    </row>
    <row r="65" spans="1:3" x14ac:dyDescent="0.3">
      <c r="A65" t="s">
        <v>725</v>
      </c>
      <c r="B65">
        <v>21</v>
      </c>
      <c r="C65">
        <v>140</v>
      </c>
    </row>
    <row r="66" spans="1:3" x14ac:dyDescent="0.3">
      <c r="A66" t="s">
        <v>726</v>
      </c>
      <c r="B66">
        <v>21</v>
      </c>
      <c r="C66">
        <v>0</v>
      </c>
    </row>
    <row r="67" spans="1:3" x14ac:dyDescent="0.3">
      <c r="A67" t="s">
        <v>727</v>
      </c>
      <c r="B67">
        <v>21</v>
      </c>
      <c r="C67">
        <v>0</v>
      </c>
    </row>
    <row r="68" spans="1:3" x14ac:dyDescent="0.3">
      <c r="A68" t="s">
        <v>728</v>
      </c>
      <c r="B68">
        <v>21</v>
      </c>
      <c r="C68">
        <v>408</v>
      </c>
    </row>
    <row r="69" spans="1:3" x14ac:dyDescent="0.3">
      <c r="A69" t="s">
        <v>563</v>
      </c>
      <c r="B69">
        <v>21</v>
      </c>
      <c r="C69">
        <v>67</v>
      </c>
    </row>
    <row r="70" spans="1:3" x14ac:dyDescent="0.3">
      <c r="A70" t="s">
        <v>729</v>
      </c>
      <c r="B70">
        <v>21</v>
      </c>
      <c r="C70">
        <v>0</v>
      </c>
    </row>
    <row r="71" spans="1:3" x14ac:dyDescent="0.3">
      <c r="A71" t="s">
        <v>272</v>
      </c>
      <c r="B71">
        <v>21</v>
      </c>
      <c r="C71">
        <v>0</v>
      </c>
    </row>
    <row r="72" spans="1:3" x14ac:dyDescent="0.3">
      <c r="A72" t="s">
        <v>730</v>
      </c>
      <c r="B72">
        <v>21</v>
      </c>
      <c r="C72">
        <v>21</v>
      </c>
    </row>
    <row r="73" spans="1:3" x14ac:dyDescent="0.3">
      <c r="A73" t="s">
        <v>731</v>
      </c>
      <c r="B73">
        <v>21</v>
      </c>
      <c r="C73">
        <v>0</v>
      </c>
    </row>
    <row r="74" spans="1:3" x14ac:dyDescent="0.3">
      <c r="A74" t="s">
        <v>724</v>
      </c>
      <c r="B74">
        <v>25</v>
      </c>
      <c r="C74">
        <v>3</v>
      </c>
    </row>
    <row r="75" spans="1:3" x14ac:dyDescent="0.3">
      <c r="A75" t="s">
        <v>725</v>
      </c>
      <c r="B75">
        <v>25</v>
      </c>
      <c r="C75">
        <v>140</v>
      </c>
    </row>
    <row r="76" spans="1:3" x14ac:dyDescent="0.3">
      <c r="A76" t="s">
        <v>726</v>
      </c>
      <c r="B76">
        <v>25</v>
      </c>
      <c r="C76">
        <v>0</v>
      </c>
    </row>
    <row r="77" spans="1:3" x14ac:dyDescent="0.3">
      <c r="A77" t="s">
        <v>727</v>
      </c>
      <c r="B77">
        <v>25</v>
      </c>
      <c r="C77">
        <v>0</v>
      </c>
    </row>
    <row r="78" spans="1:3" x14ac:dyDescent="0.3">
      <c r="A78" t="s">
        <v>728</v>
      </c>
      <c r="B78">
        <v>25</v>
      </c>
      <c r="C78">
        <v>206</v>
      </c>
    </row>
    <row r="79" spans="1:3" x14ac:dyDescent="0.3">
      <c r="A79" t="s">
        <v>563</v>
      </c>
      <c r="B79">
        <v>25</v>
      </c>
      <c r="C79">
        <v>114</v>
      </c>
    </row>
    <row r="80" spans="1:3" x14ac:dyDescent="0.3">
      <c r="A80" t="s">
        <v>729</v>
      </c>
      <c r="B80">
        <v>25</v>
      </c>
      <c r="C80">
        <v>0</v>
      </c>
    </row>
    <row r="81" spans="1:3" x14ac:dyDescent="0.3">
      <c r="A81" t="s">
        <v>272</v>
      </c>
      <c r="B81">
        <v>25</v>
      </c>
      <c r="C81">
        <v>0</v>
      </c>
    </row>
    <row r="82" spans="1:3" x14ac:dyDescent="0.3">
      <c r="A82" t="s">
        <v>730</v>
      </c>
      <c r="B82">
        <v>25</v>
      </c>
      <c r="C82">
        <v>25</v>
      </c>
    </row>
    <row r="83" spans="1:3" x14ac:dyDescent="0.3">
      <c r="A83" t="s">
        <v>731</v>
      </c>
      <c r="B83">
        <v>25</v>
      </c>
      <c r="C83">
        <v>0</v>
      </c>
    </row>
    <row r="84" spans="1:3" x14ac:dyDescent="0.3">
      <c r="A84" t="s">
        <v>724</v>
      </c>
      <c r="B84">
        <v>26</v>
      </c>
      <c r="C84">
        <v>3</v>
      </c>
    </row>
    <row r="85" spans="1:3" x14ac:dyDescent="0.3">
      <c r="A85" t="s">
        <v>725</v>
      </c>
      <c r="B85">
        <v>26</v>
      </c>
      <c r="C85">
        <v>140</v>
      </c>
    </row>
    <row r="86" spans="1:3" x14ac:dyDescent="0.3">
      <c r="A86" t="s">
        <v>726</v>
      </c>
      <c r="B86">
        <v>26</v>
      </c>
      <c r="C86">
        <v>0</v>
      </c>
    </row>
    <row r="87" spans="1:3" x14ac:dyDescent="0.3">
      <c r="A87" t="s">
        <v>727</v>
      </c>
      <c r="B87">
        <v>26</v>
      </c>
      <c r="C87">
        <v>0</v>
      </c>
    </row>
    <row r="88" spans="1:3" x14ac:dyDescent="0.3">
      <c r="A88" t="s">
        <v>728</v>
      </c>
      <c r="B88">
        <v>26</v>
      </c>
      <c r="C88">
        <v>206</v>
      </c>
    </row>
    <row r="89" spans="1:3" x14ac:dyDescent="0.3">
      <c r="A89" t="s">
        <v>563</v>
      </c>
      <c r="B89">
        <v>26</v>
      </c>
      <c r="C89">
        <v>25</v>
      </c>
    </row>
    <row r="90" spans="1:3" x14ac:dyDescent="0.3">
      <c r="A90" t="s">
        <v>729</v>
      </c>
      <c r="B90">
        <v>26</v>
      </c>
      <c r="C90">
        <v>0</v>
      </c>
    </row>
    <row r="91" spans="1:3" x14ac:dyDescent="0.3">
      <c r="A91" t="s">
        <v>272</v>
      </c>
      <c r="B91">
        <v>26</v>
      </c>
      <c r="C91">
        <v>0</v>
      </c>
    </row>
    <row r="92" spans="1:3" x14ac:dyDescent="0.3">
      <c r="A92" t="s">
        <v>730</v>
      </c>
      <c r="B92">
        <v>26</v>
      </c>
      <c r="C92">
        <v>26</v>
      </c>
    </row>
    <row r="93" spans="1:3" x14ac:dyDescent="0.3">
      <c r="A93" t="s">
        <v>731</v>
      </c>
      <c r="B93">
        <v>26</v>
      </c>
      <c r="C93">
        <v>0</v>
      </c>
    </row>
    <row r="94" spans="1:3" x14ac:dyDescent="0.3">
      <c r="A94" t="s">
        <v>724</v>
      </c>
      <c r="B94">
        <v>27</v>
      </c>
      <c r="C94">
        <v>3</v>
      </c>
    </row>
    <row r="95" spans="1:3" x14ac:dyDescent="0.3">
      <c r="A95" t="s">
        <v>725</v>
      </c>
      <c r="B95">
        <v>27</v>
      </c>
      <c r="C95">
        <v>140</v>
      </c>
    </row>
    <row r="96" spans="1:3" x14ac:dyDescent="0.3">
      <c r="A96" t="s">
        <v>726</v>
      </c>
      <c r="B96">
        <v>27</v>
      </c>
      <c r="C96">
        <v>0</v>
      </c>
    </row>
    <row r="97" spans="1:3" x14ac:dyDescent="0.3">
      <c r="A97" t="s">
        <v>727</v>
      </c>
      <c r="B97">
        <v>27</v>
      </c>
      <c r="C97">
        <v>0</v>
      </c>
    </row>
    <row r="98" spans="1:3" x14ac:dyDescent="0.3">
      <c r="A98" t="s">
        <v>728</v>
      </c>
      <c r="B98">
        <v>27</v>
      </c>
      <c r="C98">
        <v>206</v>
      </c>
    </row>
    <row r="99" spans="1:3" x14ac:dyDescent="0.3">
      <c r="A99" t="s">
        <v>563</v>
      </c>
      <c r="B99">
        <v>27</v>
      </c>
      <c r="C99">
        <v>134</v>
      </c>
    </row>
    <row r="100" spans="1:3" x14ac:dyDescent="0.3">
      <c r="A100" t="s">
        <v>729</v>
      </c>
      <c r="B100">
        <v>27</v>
      </c>
      <c r="C100">
        <v>0</v>
      </c>
    </row>
    <row r="101" spans="1:3" x14ac:dyDescent="0.3">
      <c r="A101" t="s">
        <v>272</v>
      </c>
      <c r="B101">
        <v>27</v>
      </c>
      <c r="C101">
        <v>0</v>
      </c>
    </row>
    <row r="102" spans="1:3" x14ac:dyDescent="0.3">
      <c r="A102" t="s">
        <v>730</v>
      </c>
      <c r="B102">
        <v>27</v>
      </c>
      <c r="C102">
        <v>27</v>
      </c>
    </row>
    <row r="103" spans="1:3" x14ac:dyDescent="0.3">
      <c r="A103" t="s">
        <v>731</v>
      </c>
      <c r="B103">
        <v>27</v>
      </c>
      <c r="C103">
        <v>0</v>
      </c>
    </row>
    <row r="104" spans="1:3" x14ac:dyDescent="0.3">
      <c r="A104" t="s">
        <v>724</v>
      </c>
      <c r="B104">
        <v>28</v>
      </c>
      <c r="C104">
        <v>3</v>
      </c>
    </row>
    <row r="105" spans="1:3" x14ac:dyDescent="0.3">
      <c r="A105" t="s">
        <v>725</v>
      </c>
      <c r="B105">
        <v>28</v>
      </c>
      <c r="C105">
        <v>140</v>
      </c>
    </row>
    <row r="106" spans="1:3" x14ac:dyDescent="0.3">
      <c r="A106" t="s">
        <v>726</v>
      </c>
      <c r="B106">
        <v>28</v>
      </c>
      <c r="C106">
        <v>0</v>
      </c>
    </row>
    <row r="107" spans="1:3" x14ac:dyDescent="0.3">
      <c r="A107" t="s">
        <v>727</v>
      </c>
      <c r="B107">
        <v>28</v>
      </c>
      <c r="C107">
        <v>0</v>
      </c>
    </row>
    <row r="108" spans="1:3" x14ac:dyDescent="0.3">
      <c r="A108" t="s">
        <v>728</v>
      </c>
      <c r="B108">
        <v>28</v>
      </c>
      <c r="C108">
        <v>206</v>
      </c>
    </row>
    <row r="109" spans="1:3" x14ac:dyDescent="0.3">
      <c r="A109" t="s">
        <v>563</v>
      </c>
      <c r="B109">
        <v>28</v>
      </c>
      <c r="C109">
        <v>59</v>
      </c>
    </row>
    <row r="110" spans="1:3" x14ac:dyDescent="0.3">
      <c r="A110" t="s">
        <v>729</v>
      </c>
      <c r="B110">
        <v>28</v>
      </c>
      <c r="C110">
        <v>0</v>
      </c>
    </row>
    <row r="111" spans="1:3" x14ac:dyDescent="0.3">
      <c r="A111" t="s">
        <v>272</v>
      </c>
      <c r="B111">
        <v>28</v>
      </c>
      <c r="C111">
        <v>0</v>
      </c>
    </row>
    <row r="112" spans="1:3" x14ac:dyDescent="0.3">
      <c r="A112" t="s">
        <v>730</v>
      </c>
      <c r="B112">
        <v>28</v>
      </c>
      <c r="C112">
        <v>28</v>
      </c>
    </row>
    <row r="113" spans="1:3" x14ac:dyDescent="0.3">
      <c r="A113" t="s">
        <v>731</v>
      </c>
      <c r="B113">
        <v>28</v>
      </c>
      <c r="C113">
        <v>0</v>
      </c>
    </row>
    <row r="114" spans="1:3" x14ac:dyDescent="0.3">
      <c r="A114" t="s">
        <v>724</v>
      </c>
      <c r="B114">
        <v>31</v>
      </c>
      <c r="C114">
        <v>3</v>
      </c>
    </row>
    <row r="115" spans="1:3" x14ac:dyDescent="0.3">
      <c r="A115" t="s">
        <v>725</v>
      </c>
      <c r="B115">
        <v>31</v>
      </c>
      <c r="C115">
        <v>140</v>
      </c>
    </row>
    <row r="116" spans="1:3" x14ac:dyDescent="0.3">
      <c r="A116" t="s">
        <v>726</v>
      </c>
      <c r="B116">
        <v>31</v>
      </c>
      <c r="C116">
        <v>0</v>
      </c>
    </row>
    <row r="117" spans="1:3" x14ac:dyDescent="0.3">
      <c r="A117" t="s">
        <v>727</v>
      </c>
      <c r="B117">
        <v>31</v>
      </c>
      <c r="C117">
        <v>0</v>
      </c>
    </row>
    <row r="118" spans="1:3" x14ac:dyDescent="0.3">
      <c r="A118" t="s">
        <v>728</v>
      </c>
      <c r="B118">
        <v>31</v>
      </c>
      <c r="C118">
        <v>206</v>
      </c>
    </row>
    <row r="119" spans="1:3" x14ac:dyDescent="0.3">
      <c r="A119" t="s">
        <v>563</v>
      </c>
      <c r="B119">
        <v>31</v>
      </c>
      <c r="C119">
        <v>112</v>
      </c>
    </row>
    <row r="120" spans="1:3" x14ac:dyDescent="0.3">
      <c r="A120" t="s">
        <v>729</v>
      </c>
      <c r="B120">
        <v>31</v>
      </c>
      <c r="C120">
        <v>0</v>
      </c>
    </row>
    <row r="121" spans="1:3" x14ac:dyDescent="0.3">
      <c r="A121" t="s">
        <v>272</v>
      </c>
      <c r="B121">
        <v>31</v>
      </c>
      <c r="C121">
        <v>0</v>
      </c>
    </row>
    <row r="122" spans="1:3" x14ac:dyDescent="0.3">
      <c r="A122" t="s">
        <v>730</v>
      </c>
      <c r="B122">
        <v>31</v>
      </c>
      <c r="C122">
        <v>31</v>
      </c>
    </row>
    <row r="123" spans="1:3" x14ac:dyDescent="0.3">
      <c r="A123" t="s">
        <v>731</v>
      </c>
      <c r="B123">
        <v>31</v>
      </c>
      <c r="C123">
        <v>0</v>
      </c>
    </row>
    <row r="124" spans="1:3" x14ac:dyDescent="0.3">
      <c r="A124" t="s">
        <v>724</v>
      </c>
      <c r="B124">
        <v>33</v>
      </c>
      <c r="C124">
        <v>3</v>
      </c>
    </row>
    <row r="125" spans="1:3" x14ac:dyDescent="0.3">
      <c r="A125" t="s">
        <v>725</v>
      </c>
      <c r="B125">
        <v>33</v>
      </c>
      <c r="C125">
        <v>140</v>
      </c>
    </row>
    <row r="126" spans="1:3" x14ac:dyDescent="0.3">
      <c r="A126" t="s">
        <v>726</v>
      </c>
      <c r="B126">
        <v>33</v>
      </c>
      <c r="C126">
        <v>0</v>
      </c>
    </row>
    <row r="127" spans="1:3" x14ac:dyDescent="0.3">
      <c r="A127" t="s">
        <v>727</v>
      </c>
      <c r="B127">
        <v>33</v>
      </c>
      <c r="C127">
        <v>0</v>
      </c>
    </row>
    <row r="128" spans="1:3" x14ac:dyDescent="0.3">
      <c r="A128" t="s">
        <v>728</v>
      </c>
      <c r="B128">
        <v>33</v>
      </c>
      <c r="C128">
        <v>206</v>
      </c>
    </row>
    <row r="129" spans="1:3" x14ac:dyDescent="0.3">
      <c r="A129" t="s">
        <v>563</v>
      </c>
      <c r="B129">
        <v>33</v>
      </c>
      <c r="C129">
        <v>60</v>
      </c>
    </row>
    <row r="130" spans="1:3" x14ac:dyDescent="0.3">
      <c r="A130" t="s">
        <v>729</v>
      </c>
      <c r="B130">
        <v>33</v>
      </c>
      <c r="C130">
        <v>0</v>
      </c>
    </row>
    <row r="131" spans="1:3" x14ac:dyDescent="0.3">
      <c r="A131" t="s">
        <v>272</v>
      </c>
      <c r="B131">
        <v>33</v>
      </c>
      <c r="C131">
        <v>0</v>
      </c>
    </row>
    <row r="132" spans="1:3" x14ac:dyDescent="0.3">
      <c r="A132" t="s">
        <v>730</v>
      </c>
      <c r="B132">
        <v>33</v>
      </c>
      <c r="C132">
        <v>33</v>
      </c>
    </row>
    <row r="133" spans="1:3" x14ac:dyDescent="0.3">
      <c r="A133" t="s">
        <v>731</v>
      </c>
      <c r="B133">
        <v>33</v>
      </c>
      <c r="C133">
        <v>0</v>
      </c>
    </row>
    <row r="134" spans="1:3" x14ac:dyDescent="0.3">
      <c r="A134" t="s">
        <v>724</v>
      </c>
      <c r="B134">
        <v>34</v>
      </c>
      <c r="C134">
        <v>3</v>
      </c>
    </row>
    <row r="135" spans="1:3" x14ac:dyDescent="0.3">
      <c r="A135" t="s">
        <v>725</v>
      </c>
      <c r="B135">
        <v>34</v>
      </c>
      <c r="C135">
        <v>140</v>
      </c>
    </row>
    <row r="136" spans="1:3" x14ac:dyDescent="0.3">
      <c r="A136" t="s">
        <v>726</v>
      </c>
      <c r="B136">
        <v>34</v>
      </c>
      <c r="C136">
        <v>0</v>
      </c>
    </row>
    <row r="137" spans="1:3" x14ac:dyDescent="0.3">
      <c r="A137" t="s">
        <v>727</v>
      </c>
      <c r="B137">
        <v>34</v>
      </c>
      <c r="C137">
        <v>0</v>
      </c>
    </row>
    <row r="138" spans="1:3" x14ac:dyDescent="0.3">
      <c r="A138" t="s">
        <v>728</v>
      </c>
      <c r="B138">
        <v>34</v>
      </c>
      <c r="C138">
        <v>206</v>
      </c>
    </row>
    <row r="139" spans="1:3" x14ac:dyDescent="0.3">
      <c r="A139" t="s">
        <v>563</v>
      </c>
      <c r="B139">
        <v>34</v>
      </c>
      <c r="C139">
        <v>45</v>
      </c>
    </row>
    <row r="140" spans="1:3" x14ac:dyDescent="0.3">
      <c r="A140" t="s">
        <v>729</v>
      </c>
      <c r="B140">
        <v>34</v>
      </c>
      <c r="C140">
        <v>0</v>
      </c>
    </row>
    <row r="141" spans="1:3" x14ac:dyDescent="0.3">
      <c r="A141" t="s">
        <v>272</v>
      </c>
      <c r="B141">
        <v>34</v>
      </c>
      <c r="C141">
        <v>0</v>
      </c>
    </row>
    <row r="142" spans="1:3" x14ac:dyDescent="0.3">
      <c r="A142" t="s">
        <v>730</v>
      </c>
      <c r="B142">
        <v>34</v>
      </c>
      <c r="C142">
        <v>34</v>
      </c>
    </row>
    <row r="143" spans="1:3" x14ac:dyDescent="0.3">
      <c r="A143" t="s">
        <v>731</v>
      </c>
      <c r="B143">
        <v>34</v>
      </c>
      <c r="C143">
        <v>0</v>
      </c>
    </row>
    <row r="144" spans="1:3" x14ac:dyDescent="0.3">
      <c r="A144" t="s">
        <v>724</v>
      </c>
      <c r="B144">
        <v>36</v>
      </c>
      <c r="C144">
        <v>3</v>
      </c>
    </row>
    <row r="145" spans="1:3" x14ac:dyDescent="0.3">
      <c r="A145" t="s">
        <v>725</v>
      </c>
      <c r="B145">
        <v>36</v>
      </c>
      <c r="C145">
        <v>140</v>
      </c>
    </row>
    <row r="146" spans="1:3" x14ac:dyDescent="0.3">
      <c r="A146" t="s">
        <v>726</v>
      </c>
      <c r="B146">
        <v>36</v>
      </c>
      <c r="C146">
        <v>0</v>
      </c>
    </row>
    <row r="147" spans="1:3" x14ac:dyDescent="0.3">
      <c r="A147" t="s">
        <v>727</v>
      </c>
      <c r="B147">
        <v>36</v>
      </c>
      <c r="C147">
        <v>0</v>
      </c>
    </row>
    <row r="148" spans="1:3" x14ac:dyDescent="0.3">
      <c r="A148" t="s">
        <v>728</v>
      </c>
      <c r="B148">
        <v>36</v>
      </c>
      <c r="C148">
        <v>206</v>
      </c>
    </row>
    <row r="149" spans="1:3" x14ac:dyDescent="0.3">
      <c r="A149" t="s">
        <v>563</v>
      </c>
      <c r="B149">
        <v>36</v>
      </c>
      <c r="C149">
        <v>108</v>
      </c>
    </row>
    <row r="150" spans="1:3" x14ac:dyDescent="0.3">
      <c r="A150" t="s">
        <v>729</v>
      </c>
      <c r="B150">
        <v>36</v>
      </c>
      <c r="C150">
        <v>0</v>
      </c>
    </row>
    <row r="151" spans="1:3" x14ac:dyDescent="0.3">
      <c r="A151" t="s">
        <v>272</v>
      </c>
      <c r="B151">
        <v>36</v>
      </c>
      <c r="C151">
        <v>0</v>
      </c>
    </row>
    <row r="152" spans="1:3" x14ac:dyDescent="0.3">
      <c r="A152" t="s">
        <v>730</v>
      </c>
      <c r="B152">
        <v>36</v>
      </c>
      <c r="C152">
        <v>36</v>
      </c>
    </row>
    <row r="153" spans="1:3" x14ac:dyDescent="0.3">
      <c r="A153" t="s">
        <v>731</v>
      </c>
      <c r="B153">
        <v>36</v>
      </c>
      <c r="C153">
        <v>0</v>
      </c>
    </row>
    <row r="154" spans="1:3" x14ac:dyDescent="0.3">
      <c r="A154" t="s">
        <v>724</v>
      </c>
      <c r="B154">
        <v>39</v>
      </c>
      <c r="C154">
        <v>3</v>
      </c>
    </row>
    <row r="155" spans="1:3" x14ac:dyDescent="0.3">
      <c r="A155" t="s">
        <v>725</v>
      </c>
      <c r="B155">
        <v>39</v>
      </c>
      <c r="C155">
        <v>140</v>
      </c>
    </row>
    <row r="156" spans="1:3" x14ac:dyDescent="0.3">
      <c r="A156" t="s">
        <v>726</v>
      </c>
      <c r="B156">
        <v>39</v>
      </c>
      <c r="C156">
        <v>0</v>
      </c>
    </row>
    <row r="157" spans="1:3" x14ac:dyDescent="0.3">
      <c r="A157" t="s">
        <v>727</v>
      </c>
      <c r="B157">
        <v>39</v>
      </c>
      <c r="C157">
        <v>0</v>
      </c>
    </row>
    <row r="158" spans="1:3" x14ac:dyDescent="0.3">
      <c r="A158" t="s">
        <v>728</v>
      </c>
      <c r="B158">
        <v>39</v>
      </c>
      <c r="C158">
        <v>2</v>
      </c>
    </row>
    <row r="159" spans="1:3" x14ac:dyDescent="0.3">
      <c r="A159" t="s">
        <v>563</v>
      </c>
      <c r="B159">
        <v>39</v>
      </c>
      <c r="C159">
        <v>1</v>
      </c>
    </row>
    <row r="160" spans="1:3" x14ac:dyDescent="0.3">
      <c r="A160" t="s">
        <v>729</v>
      </c>
      <c r="B160">
        <v>39</v>
      </c>
      <c r="C160">
        <v>0</v>
      </c>
    </row>
    <row r="161" spans="1:3" x14ac:dyDescent="0.3">
      <c r="A161" t="s">
        <v>272</v>
      </c>
      <c r="B161">
        <v>39</v>
      </c>
      <c r="C161">
        <v>0</v>
      </c>
    </row>
    <row r="162" spans="1:3" x14ac:dyDescent="0.3">
      <c r="A162" t="s">
        <v>730</v>
      </c>
      <c r="B162">
        <v>39</v>
      </c>
      <c r="C162">
        <v>39</v>
      </c>
    </row>
    <row r="163" spans="1:3" x14ac:dyDescent="0.3">
      <c r="A163" t="s">
        <v>731</v>
      </c>
      <c r="B163">
        <v>39</v>
      </c>
      <c r="C163">
        <v>43</v>
      </c>
    </row>
    <row r="164" spans="1:3" x14ac:dyDescent="0.3">
      <c r="A164" t="s">
        <v>774</v>
      </c>
      <c r="B164">
        <v>39</v>
      </c>
      <c r="C164">
        <v>0</v>
      </c>
    </row>
    <row r="165" spans="1:3" x14ac:dyDescent="0.3">
      <c r="A165" t="s">
        <v>724</v>
      </c>
      <c r="B165">
        <v>44</v>
      </c>
      <c r="C165">
        <v>2</v>
      </c>
    </row>
    <row r="166" spans="1:3" x14ac:dyDescent="0.3">
      <c r="A166" t="s">
        <v>725</v>
      </c>
      <c r="B166">
        <v>44</v>
      </c>
      <c r="C166">
        <v>170</v>
      </c>
    </row>
    <row r="167" spans="1:3" x14ac:dyDescent="0.3">
      <c r="A167" t="s">
        <v>726</v>
      </c>
      <c r="B167">
        <v>44</v>
      </c>
      <c r="C167">
        <v>0</v>
      </c>
    </row>
    <row r="168" spans="1:3" x14ac:dyDescent="0.3">
      <c r="A168" t="s">
        <v>727</v>
      </c>
      <c r="B168">
        <v>44</v>
      </c>
      <c r="C168">
        <v>0</v>
      </c>
    </row>
    <row r="169" spans="1:3" x14ac:dyDescent="0.3">
      <c r="A169" t="s">
        <v>728</v>
      </c>
      <c r="B169">
        <v>44</v>
      </c>
      <c r="C169">
        <v>206</v>
      </c>
    </row>
    <row r="170" spans="1:3" x14ac:dyDescent="0.3">
      <c r="A170" t="s">
        <v>563</v>
      </c>
      <c r="B170">
        <v>44</v>
      </c>
      <c r="C170">
        <v>19.7</v>
      </c>
    </row>
    <row r="171" spans="1:3" x14ac:dyDescent="0.3">
      <c r="A171" t="s">
        <v>729</v>
      </c>
      <c r="B171">
        <v>44</v>
      </c>
      <c r="C171">
        <v>0</v>
      </c>
    </row>
    <row r="172" spans="1:3" x14ac:dyDescent="0.3">
      <c r="A172" t="s">
        <v>272</v>
      </c>
      <c r="B172">
        <v>44</v>
      </c>
      <c r="C172">
        <v>0</v>
      </c>
    </row>
    <row r="173" spans="1:3" x14ac:dyDescent="0.3">
      <c r="A173" t="s">
        <v>730</v>
      </c>
      <c r="B173">
        <v>44</v>
      </c>
      <c r="C173">
        <v>44</v>
      </c>
    </row>
    <row r="174" spans="1:3" x14ac:dyDescent="0.3">
      <c r="A174" t="s">
        <v>731</v>
      </c>
      <c r="B174">
        <v>44</v>
      </c>
      <c r="C174">
        <v>0</v>
      </c>
    </row>
    <row r="175" spans="1:3" x14ac:dyDescent="0.3">
      <c r="A175" t="s">
        <v>724</v>
      </c>
      <c r="B175">
        <v>46</v>
      </c>
      <c r="C175">
        <v>3</v>
      </c>
    </row>
    <row r="176" spans="1:3" x14ac:dyDescent="0.3">
      <c r="A176" t="s">
        <v>725</v>
      </c>
      <c r="B176">
        <v>46</v>
      </c>
      <c r="C176">
        <v>140</v>
      </c>
    </row>
    <row r="177" spans="1:3" x14ac:dyDescent="0.3">
      <c r="A177" t="s">
        <v>726</v>
      </c>
      <c r="B177">
        <v>46</v>
      </c>
      <c r="C177">
        <v>0</v>
      </c>
    </row>
    <row r="178" spans="1:3" x14ac:dyDescent="0.3">
      <c r="A178" t="s">
        <v>727</v>
      </c>
      <c r="B178">
        <v>46</v>
      </c>
      <c r="C178">
        <v>0</v>
      </c>
    </row>
    <row r="179" spans="1:3" x14ac:dyDescent="0.3">
      <c r="A179" t="s">
        <v>728</v>
      </c>
      <c r="B179">
        <v>46</v>
      </c>
      <c r="C179">
        <v>206</v>
      </c>
    </row>
    <row r="180" spans="1:3" x14ac:dyDescent="0.3">
      <c r="A180" t="s">
        <v>563</v>
      </c>
      <c r="B180">
        <v>46</v>
      </c>
      <c r="C180">
        <v>44</v>
      </c>
    </row>
    <row r="181" spans="1:3" x14ac:dyDescent="0.3">
      <c r="A181" t="s">
        <v>729</v>
      </c>
      <c r="B181">
        <v>46</v>
      </c>
      <c r="C181">
        <v>0</v>
      </c>
    </row>
    <row r="182" spans="1:3" x14ac:dyDescent="0.3">
      <c r="A182" t="s">
        <v>272</v>
      </c>
      <c r="B182">
        <v>46</v>
      </c>
      <c r="C182">
        <v>0</v>
      </c>
    </row>
    <row r="183" spans="1:3" x14ac:dyDescent="0.3">
      <c r="A183" t="s">
        <v>730</v>
      </c>
      <c r="B183">
        <v>46</v>
      </c>
      <c r="C183">
        <v>46</v>
      </c>
    </row>
    <row r="184" spans="1:3" x14ac:dyDescent="0.3">
      <c r="A184" t="s">
        <v>731</v>
      </c>
      <c r="B184">
        <v>46</v>
      </c>
      <c r="C184">
        <v>0</v>
      </c>
    </row>
    <row r="185" spans="1:3" x14ac:dyDescent="0.3">
      <c r="A185" t="s">
        <v>724</v>
      </c>
      <c r="B185">
        <v>49</v>
      </c>
      <c r="C185">
        <v>3</v>
      </c>
    </row>
    <row r="186" spans="1:3" x14ac:dyDescent="0.3">
      <c r="A186" t="s">
        <v>725</v>
      </c>
      <c r="B186">
        <v>49</v>
      </c>
      <c r="C186">
        <v>140</v>
      </c>
    </row>
    <row r="187" spans="1:3" x14ac:dyDescent="0.3">
      <c r="A187" t="s">
        <v>726</v>
      </c>
      <c r="B187">
        <v>49</v>
      </c>
      <c r="C187">
        <v>0</v>
      </c>
    </row>
    <row r="188" spans="1:3" x14ac:dyDescent="0.3">
      <c r="A188" t="s">
        <v>727</v>
      </c>
      <c r="B188">
        <v>49</v>
      </c>
      <c r="C188">
        <v>0</v>
      </c>
    </row>
    <row r="189" spans="1:3" x14ac:dyDescent="0.3">
      <c r="A189" t="s">
        <v>728</v>
      </c>
      <c r="B189">
        <v>49</v>
      </c>
      <c r="C189">
        <v>206</v>
      </c>
    </row>
    <row r="190" spans="1:3" x14ac:dyDescent="0.3">
      <c r="A190" t="s">
        <v>563</v>
      </c>
      <c r="B190">
        <v>49</v>
      </c>
      <c r="C190">
        <v>52</v>
      </c>
    </row>
    <row r="191" spans="1:3" x14ac:dyDescent="0.3">
      <c r="A191" t="s">
        <v>729</v>
      </c>
      <c r="B191">
        <v>49</v>
      </c>
      <c r="C191">
        <v>0</v>
      </c>
    </row>
    <row r="192" spans="1:3" x14ac:dyDescent="0.3">
      <c r="A192" t="s">
        <v>272</v>
      </c>
      <c r="B192">
        <v>49</v>
      </c>
      <c r="C192">
        <v>0</v>
      </c>
    </row>
    <row r="193" spans="1:3" x14ac:dyDescent="0.3">
      <c r="A193" t="s">
        <v>730</v>
      </c>
      <c r="B193">
        <v>49</v>
      </c>
      <c r="C193">
        <v>49</v>
      </c>
    </row>
    <row r="194" spans="1:3" x14ac:dyDescent="0.3">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457"/>
  <sheetViews>
    <sheetView workbookViewId="0"/>
  </sheetViews>
  <sheetFormatPr defaultRowHeight="14.4" x14ac:dyDescent="0.3"/>
  <sheetData>
    <row r="1" spans="1:10" x14ac:dyDescent="0.3">
      <c r="A1" t="s">
        <v>566</v>
      </c>
    </row>
    <row r="2" spans="1:10" x14ac:dyDescent="0.3">
      <c r="A2" t="s">
        <v>732</v>
      </c>
    </row>
    <row r="3" spans="1:10" x14ac:dyDescent="0.3">
      <c r="A3" t="s">
        <v>0</v>
      </c>
      <c r="B3" t="s">
        <v>1</v>
      </c>
      <c r="C3" t="s">
        <v>246</v>
      </c>
      <c r="D3" t="s">
        <v>247</v>
      </c>
      <c r="E3" t="s">
        <v>248</v>
      </c>
      <c r="F3" t="s">
        <v>249</v>
      </c>
      <c r="G3" t="s">
        <v>250</v>
      </c>
      <c r="H3" t="s">
        <v>251</v>
      </c>
      <c r="I3" t="s">
        <v>252</v>
      </c>
      <c r="J3" t="s">
        <v>253</v>
      </c>
    </row>
    <row r="4" spans="1:10" x14ac:dyDescent="0.3">
      <c r="A4" t="s">
        <v>254</v>
      </c>
      <c r="B4">
        <v>1</v>
      </c>
      <c r="C4">
        <v>111</v>
      </c>
      <c r="D4">
        <v>112</v>
      </c>
      <c r="E4">
        <v>211</v>
      </c>
      <c r="F4">
        <v>212</v>
      </c>
      <c r="G4">
        <v>121</v>
      </c>
      <c r="H4">
        <v>122</v>
      </c>
      <c r="I4">
        <v>221</v>
      </c>
      <c r="J4">
        <v>222</v>
      </c>
    </row>
    <row r="5" spans="1:10" x14ac:dyDescent="0.3">
      <c r="A5" t="s">
        <v>255</v>
      </c>
      <c r="B5">
        <v>1</v>
      </c>
      <c r="C5">
        <v>6</v>
      </c>
      <c r="D5">
        <v>15</v>
      </c>
      <c r="E5">
        <v>6</v>
      </c>
      <c r="F5">
        <v>6</v>
      </c>
      <c r="G5">
        <v>6</v>
      </c>
      <c r="H5">
        <v>15</v>
      </c>
      <c r="I5">
        <v>6</v>
      </c>
      <c r="J5">
        <v>6</v>
      </c>
    </row>
    <row r="6" spans="1:10" x14ac:dyDescent="0.3">
      <c r="A6" t="s">
        <v>256</v>
      </c>
      <c r="B6">
        <v>1</v>
      </c>
      <c r="C6">
        <v>17</v>
      </c>
      <c r="D6">
        <v>45.6</v>
      </c>
      <c r="E6">
        <v>8</v>
      </c>
      <c r="F6">
        <v>42.2</v>
      </c>
      <c r="G6">
        <v>6</v>
      </c>
      <c r="H6">
        <v>56.6</v>
      </c>
      <c r="I6">
        <v>9.1999999999999993</v>
      </c>
      <c r="J6">
        <v>41</v>
      </c>
    </row>
    <row r="7" spans="1:10" x14ac:dyDescent="0.3">
      <c r="A7" t="s">
        <v>257</v>
      </c>
      <c r="B7">
        <v>1</v>
      </c>
      <c r="C7">
        <v>2.5</v>
      </c>
      <c r="D7">
        <v>3</v>
      </c>
      <c r="E7">
        <v>2.5</v>
      </c>
      <c r="F7">
        <v>2.5</v>
      </c>
      <c r="G7">
        <v>2.5</v>
      </c>
      <c r="H7">
        <v>3</v>
      </c>
      <c r="I7">
        <v>2.5</v>
      </c>
      <c r="J7">
        <v>2.5</v>
      </c>
    </row>
    <row r="8" spans="1:10" x14ac:dyDescent="0.3">
      <c r="A8" t="s">
        <v>258</v>
      </c>
      <c r="B8">
        <v>1</v>
      </c>
      <c r="C8">
        <v>0</v>
      </c>
      <c r="D8">
        <v>0</v>
      </c>
      <c r="E8">
        <v>0</v>
      </c>
      <c r="F8">
        <v>0</v>
      </c>
      <c r="G8">
        <v>0</v>
      </c>
      <c r="H8">
        <v>0</v>
      </c>
      <c r="I8">
        <v>0</v>
      </c>
      <c r="J8">
        <v>0</v>
      </c>
    </row>
    <row r="9" spans="1:10" x14ac:dyDescent="0.3">
      <c r="A9" t="s">
        <v>259</v>
      </c>
      <c r="B9">
        <v>1</v>
      </c>
      <c r="C9">
        <v>0</v>
      </c>
      <c r="D9">
        <v>0</v>
      </c>
      <c r="E9">
        <v>0</v>
      </c>
      <c r="F9">
        <v>0</v>
      </c>
      <c r="G9">
        <v>0</v>
      </c>
      <c r="H9">
        <v>0</v>
      </c>
      <c r="I9">
        <v>0</v>
      </c>
      <c r="J9">
        <v>0</v>
      </c>
    </row>
    <row r="10" spans="1:10" x14ac:dyDescent="0.3">
      <c r="A10" t="s">
        <v>260</v>
      </c>
      <c r="B10">
        <v>1</v>
      </c>
      <c r="C10">
        <v>3</v>
      </c>
      <c r="D10">
        <v>3</v>
      </c>
      <c r="E10">
        <v>3</v>
      </c>
      <c r="F10">
        <v>3</v>
      </c>
      <c r="G10">
        <v>3</v>
      </c>
      <c r="H10">
        <v>3</v>
      </c>
      <c r="I10">
        <v>3</v>
      </c>
      <c r="J10">
        <v>3</v>
      </c>
    </row>
    <row r="11" spans="1:10" x14ac:dyDescent="0.3">
      <c r="A11" t="s">
        <v>261</v>
      </c>
      <c r="B11">
        <v>1</v>
      </c>
      <c r="C11">
        <v>3</v>
      </c>
      <c r="D11">
        <v>4.4000000000000004</v>
      </c>
      <c r="E11">
        <v>3</v>
      </c>
      <c r="F11">
        <v>4</v>
      </c>
      <c r="G11">
        <v>3</v>
      </c>
      <c r="H11">
        <v>4.4000000000000004</v>
      </c>
      <c r="I11">
        <v>3</v>
      </c>
      <c r="J11">
        <v>4</v>
      </c>
    </row>
    <row r="12" spans="1:10" x14ac:dyDescent="0.3">
      <c r="A12" t="s">
        <v>262</v>
      </c>
      <c r="B12">
        <v>1</v>
      </c>
      <c r="C12">
        <v>4</v>
      </c>
      <c r="D12">
        <v>2.4</v>
      </c>
      <c r="E12">
        <v>3.8</v>
      </c>
      <c r="F12">
        <v>2.6</v>
      </c>
      <c r="G12">
        <v>4</v>
      </c>
      <c r="H12">
        <v>2.4</v>
      </c>
      <c r="I12">
        <v>3.8</v>
      </c>
      <c r="J12">
        <v>2.6</v>
      </c>
    </row>
    <row r="13" spans="1:10" x14ac:dyDescent="0.3">
      <c r="A13" t="s">
        <v>263</v>
      </c>
      <c r="B13">
        <v>1</v>
      </c>
      <c r="C13">
        <v>0</v>
      </c>
      <c r="D13">
        <v>3</v>
      </c>
      <c r="E13">
        <v>0</v>
      </c>
      <c r="F13">
        <v>0</v>
      </c>
      <c r="G13">
        <v>0</v>
      </c>
      <c r="H13">
        <v>3</v>
      </c>
      <c r="I13">
        <v>0</v>
      </c>
      <c r="J13">
        <v>0</v>
      </c>
    </row>
    <row r="14" spans="1:10" x14ac:dyDescent="0.3">
      <c r="A14" t="s">
        <v>264</v>
      </c>
      <c r="B14">
        <v>1</v>
      </c>
      <c r="F14">
        <v>7</v>
      </c>
      <c r="H14">
        <v>7</v>
      </c>
      <c r="J14">
        <v>7</v>
      </c>
    </row>
    <row r="15" spans="1:10" x14ac:dyDescent="0.3">
      <c r="A15" t="s">
        <v>265</v>
      </c>
      <c r="B15">
        <v>1</v>
      </c>
      <c r="F15">
        <v>30</v>
      </c>
      <c r="H15">
        <v>28</v>
      </c>
      <c r="J15">
        <v>30</v>
      </c>
    </row>
    <row r="16" spans="1:10" x14ac:dyDescent="0.3">
      <c r="A16" t="s">
        <v>266</v>
      </c>
      <c r="B16">
        <v>1</v>
      </c>
      <c r="F16">
        <v>0</v>
      </c>
      <c r="H16">
        <v>0</v>
      </c>
      <c r="J16">
        <v>0</v>
      </c>
    </row>
    <row r="17" spans="1:10" x14ac:dyDescent="0.3">
      <c r="A17" t="s">
        <v>267</v>
      </c>
      <c r="B17">
        <v>1</v>
      </c>
      <c r="C17">
        <v>13</v>
      </c>
      <c r="D17">
        <v>21.8</v>
      </c>
      <c r="E17">
        <v>12.8</v>
      </c>
      <c r="F17">
        <v>47.6</v>
      </c>
      <c r="G17">
        <v>13</v>
      </c>
      <c r="H17">
        <v>45.8</v>
      </c>
      <c r="I17">
        <v>12.8</v>
      </c>
      <c r="J17">
        <v>47.6</v>
      </c>
    </row>
    <row r="18" spans="1:10" x14ac:dyDescent="0.3">
      <c r="A18" t="s">
        <v>268</v>
      </c>
      <c r="B18">
        <v>1</v>
      </c>
      <c r="C18">
        <v>0</v>
      </c>
      <c r="D18">
        <v>1</v>
      </c>
      <c r="E18">
        <v>0</v>
      </c>
      <c r="F18">
        <v>1</v>
      </c>
      <c r="G18">
        <v>0</v>
      </c>
      <c r="H18">
        <v>1</v>
      </c>
      <c r="I18">
        <v>0</v>
      </c>
      <c r="J18">
        <v>1</v>
      </c>
    </row>
    <row r="19" spans="1:10" x14ac:dyDescent="0.3">
      <c r="A19" t="s">
        <v>269</v>
      </c>
      <c r="B19">
        <v>1</v>
      </c>
      <c r="C19">
        <v>1</v>
      </c>
      <c r="D19">
        <v>1</v>
      </c>
      <c r="E19">
        <v>1</v>
      </c>
      <c r="F19">
        <v>1</v>
      </c>
      <c r="G19">
        <v>1</v>
      </c>
      <c r="H19">
        <v>1</v>
      </c>
      <c r="I19">
        <v>1</v>
      </c>
      <c r="J19">
        <v>1</v>
      </c>
    </row>
    <row r="20" spans="1:10" x14ac:dyDescent="0.3">
      <c r="A20" t="s">
        <v>270</v>
      </c>
      <c r="B20">
        <v>1</v>
      </c>
      <c r="C20">
        <v>116</v>
      </c>
      <c r="D20">
        <v>0</v>
      </c>
      <c r="E20">
        <v>52.4</v>
      </c>
      <c r="F20">
        <v>67.2</v>
      </c>
      <c r="G20">
        <v>116</v>
      </c>
      <c r="H20">
        <v>129</v>
      </c>
      <c r="I20">
        <v>52.4</v>
      </c>
      <c r="J20">
        <v>68.400000000000006</v>
      </c>
    </row>
    <row r="21" spans="1:10" x14ac:dyDescent="0.3">
      <c r="A21" t="s">
        <v>271</v>
      </c>
      <c r="B21">
        <v>1</v>
      </c>
      <c r="C21">
        <v>0</v>
      </c>
      <c r="D21">
        <v>52.4</v>
      </c>
      <c r="E21">
        <v>67.2</v>
      </c>
      <c r="F21">
        <v>116</v>
      </c>
      <c r="G21">
        <v>129</v>
      </c>
      <c r="H21">
        <v>52.4</v>
      </c>
      <c r="I21">
        <v>68.400000000000006</v>
      </c>
      <c r="J21">
        <v>116</v>
      </c>
    </row>
    <row r="22" spans="1:10" x14ac:dyDescent="0.3">
      <c r="A22" t="s">
        <v>272</v>
      </c>
      <c r="B22">
        <v>1</v>
      </c>
      <c r="C22">
        <v>133</v>
      </c>
      <c r="D22">
        <v>45.6</v>
      </c>
      <c r="E22">
        <v>60.4</v>
      </c>
      <c r="F22">
        <v>109.4</v>
      </c>
      <c r="G22">
        <v>122</v>
      </c>
      <c r="H22">
        <v>45.6</v>
      </c>
      <c r="I22">
        <v>61.6</v>
      </c>
      <c r="J22">
        <v>109.4</v>
      </c>
    </row>
    <row r="23" spans="1:10" x14ac:dyDescent="0.3">
      <c r="A23" t="s">
        <v>273</v>
      </c>
      <c r="B23">
        <v>1</v>
      </c>
      <c r="C23">
        <v>133</v>
      </c>
      <c r="D23">
        <v>45.6</v>
      </c>
      <c r="E23">
        <v>60.4</v>
      </c>
      <c r="F23">
        <v>109.4</v>
      </c>
      <c r="G23">
        <v>122</v>
      </c>
      <c r="H23">
        <v>17.600000000000001</v>
      </c>
      <c r="I23">
        <v>61.6</v>
      </c>
      <c r="J23">
        <v>109.4</v>
      </c>
    </row>
    <row r="24" spans="1:10" x14ac:dyDescent="0.3">
      <c r="A24" t="s">
        <v>274</v>
      </c>
      <c r="B24">
        <v>1</v>
      </c>
      <c r="C24">
        <v>116</v>
      </c>
      <c r="D24">
        <v>0</v>
      </c>
      <c r="E24">
        <v>52.4</v>
      </c>
      <c r="F24">
        <v>67.2</v>
      </c>
      <c r="G24">
        <v>116</v>
      </c>
      <c r="H24">
        <v>129</v>
      </c>
      <c r="I24">
        <v>52.4</v>
      </c>
      <c r="J24">
        <v>68.400000000000006</v>
      </c>
    </row>
    <row r="25" spans="1:10" x14ac:dyDescent="0.3">
      <c r="A25" t="s">
        <v>275</v>
      </c>
      <c r="B25">
        <v>1</v>
      </c>
      <c r="C25">
        <v>133</v>
      </c>
      <c r="D25">
        <v>45.6</v>
      </c>
      <c r="E25">
        <v>60.4</v>
      </c>
      <c r="F25">
        <v>109.4</v>
      </c>
      <c r="G25">
        <v>122</v>
      </c>
      <c r="H25">
        <v>45.6</v>
      </c>
      <c r="I25">
        <v>61.6</v>
      </c>
      <c r="J25">
        <v>109.4</v>
      </c>
    </row>
    <row r="26" spans="1:10" x14ac:dyDescent="0.3">
      <c r="A26" t="s">
        <v>276</v>
      </c>
      <c r="B26">
        <v>1</v>
      </c>
      <c r="C26">
        <v>133</v>
      </c>
      <c r="D26">
        <v>45.6</v>
      </c>
      <c r="E26">
        <v>60.4</v>
      </c>
      <c r="F26">
        <v>109.4</v>
      </c>
      <c r="G26">
        <v>122</v>
      </c>
      <c r="H26">
        <v>17.600000000000001</v>
      </c>
      <c r="I26">
        <v>61.6</v>
      </c>
      <c r="J26">
        <v>109.4</v>
      </c>
    </row>
    <row r="27" spans="1:10" x14ac:dyDescent="0.3">
      <c r="A27" t="s">
        <v>567</v>
      </c>
      <c r="B27">
        <v>1</v>
      </c>
      <c r="C27">
        <v>25.8</v>
      </c>
      <c r="D27">
        <v>61.3</v>
      </c>
      <c r="E27">
        <v>6.2</v>
      </c>
      <c r="F27">
        <v>19.5</v>
      </c>
      <c r="G27">
        <v>3.1</v>
      </c>
      <c r="H27">
        <v>84</v>
      </c>
      <c r="I27">
        <v>9.1999999999999993</v>
      </c>
      <c r="J27">
        <v>16.5</v>
      </c>
    </row>
    <row r="28" spans="1:10" x14ac:dyDescent="0.3">
      <c r="A28" t="s">
        <v>254</v>
      </c>
      <c r="B28">
        <v>7</v>
      </c>
      <c r="C28">
        <v>111</v>
      </c>
      <c r="D28">
        <v>112</v>
      </c>
      <c r="E28">
        <v>211</v>
      </c>
      <c r="F28">
        <v>212</v>
      </c>
      <c r="G28">
        <v>121</v>
      </c>
      <c r="H28">
        <v>122</v>
      </c>
      <c r="I28">
        <v>221</v>
      </c>
      <c r="J28">
        <v>222</v>
      </c>
    </row>
    <row r="29" spans="1:10" x14ac:dyDescent="0.3">
      <c r="A29" t="s">
        <v>255</v>
      </c>
      <c r="B29">
        <v>7</v>
      </c>
      <c r="C29">
        <v>6</v>
      </c>
      <c r="D29">
        <v>20</v>
      </c>
      <c r="E29">
        <v>6</v>
      </c>
      <c r="F29">
        <v>7</v>
      </c>
      <c r="G29">
        <v>6</v>
      </c>
      <c r="H29">
        <v>20</v>
      </c>
      <c r="I29">
        <v>7</v>
      </c>
      <c r="J29">
        <v>6</v>
      </c>
    </row>
    <row r="30" spans="1:10" x14ac:dyDescent="0.3">
      <c r="A30" t="s">
        <v>256</v>
      </c>
      <c r="B30">
        <v>7</v>
      </c>
      <c r="C30">
        <v>19.399999999999999</v>
      </c>
      <c r="D30">
        <v>43.2</v>
      </c>
      <c r="E30">
        <v>10.5</v>
      </c>
      <c r="F30">
        <v>38.799999999999997</v>
      </c>
      <c r="G30">
        <v>6.3</v>
      </c>
      <c r="H30">
        <v>55.9</v>
      </c>
      <c r="I30">
        <v>7.3</v>
      </c>
      <c r="J30">
        <v>41.6</v>
      </c>
    </row>
    <row r="31" spans="1:10" x14ac:dyDescent="0.3">
      <c r="A31" t="s">
        <v>257</v>
      </c>
      <c r="B31">
        <v>7</v>
      </c>
      <c r="C31">
        <v>2.5</v>
      </c>
      <c r="D31">
        <v>3.5</v>
      </c>
      <c r="E31">
        <v>2.5</v>
      </c>
      <c r="F31">
        <v>3.5</v>
      </c>
      <c r="G31">
        <v>2.5</v>
      </c>
      <c r="H31">
        <v>3.5</v>
      </c>
      <c r="I31">
        <v>3.5</v>
      </c>
      <c r="J31">
        <v>2.5</v>
      </c>
    </row>
    <row r="32" spans="1:10" x14ac:dyDescent="0.3">
      <c r="A32" t="s">
        <v>258</v>
      </c>
      <c r="B32">
        <v>7</v>
      </c>
      <c r="C32">
        <v>0</v>
      </c>
      <c r="D32">
        <v>0</v>
      </c>
      <c r="E32">
        <v>0</v>
      </c>
      <c r="F32">
        <v>0</v>
      </c>
      <c r="G32">
        <v>0</v>
      </c>
      <c r="H32">
        <v>0</v>
      </c>
      <c r="I32">
        <v>0</v>
      </c>
      <c r="J32">
        <v>0</v>
      </c>
    </row>
    <row r="33" spans="1:10" x14ac:dyDescent="0.3">
      <c r="A33" t="s">
        <v>259</v>
      </c>
      <c r="B33">
        <v>7</v>
      </c>
      <c r="C33">
        <v>0</v>
      </c>
      <c r="D33">
        <v>0</v>
      </c>
      <c r="E33">
        <v>0</v>
      </c>
      <c r="F33">
        <v>0</v>
      </c>
      <c r="G33">
        <v>0</v>
      </c>
      <c r="H33">
        <v>0</v>
      </c>
      <c r="I33">
        <v>0</v>
      </c>
      <c r="J33">
        <v>0</v>
      </c>
    </row>
    <row r="34" spans="1:10" x14ac:dyDescent="0.3">
      <c r="A34" t="s">
        <v>260</v>
      </c>
      <c r="B34">
        <v>7</v>
      </c>
      <c r="C34">
        <v>3</v>
      </c>
      <c r="D34">
        <v>3</v>
      </c>
      <c r="E34">
        <v>3</v>
      </c>
      <c r="F34">
        <v>3</v>
      </c>
      <c r="G34">
        <v>3</v>
      </c>
      <c r="H34">
        <v>3</v>
      </c>
      <c r="I34">
        <v>3</v>
      </c>
      <c r="J34">
        <v>3</v>
      </c>
    </row>
    <row r="35" spans="1:10" x14ac:dyDescent="0.3">
      <c r="A35" t="s">
        <v>261</v>
      </c>
      <c r="B35">
        <v>7</v>
      </c>
      <c r="C35">
        <v>3</v>
      </c>
      <c r="D35">
        <v>4.4000000000000004</v>
      </c>
      <c r="E35">
        <v>3</v>
      </c>
      <c r="F35">
        <v>3.3</v>
      </c>
      <c r="G35">
        <v>3</v>
      </c>
      <c r="H35">
        <v>4.4000000000000004</v>
      </c>
      <c r="I35">
        <v>3</v>
      </c>
      <c r="J35">
        <v>3.3</v>
      </c>
    </row>
    <row r="36" spans="1:10" x14ac:dyDescent="0.3">
      <c r="A36" t="s">
        <v>262</v>
      </c>
      <c r="B36">
        <v>7</v>
      </c>
      <c r="C36">
        <v>3.8</v>
      </c>
      <c r="D36">
        <v>2.6</v>
      </c>
      <c r="E36">
        <v>4.7</v>
      </c>
      <c r="F36">
        <v>3.3</v>
      </c>
      <c r="G36">
        <v>4.0999999999999996</v>
      </c>
      <c r="H36">
        <v>2.7</v>
      </c>
      <c r="I36">
        <v>4.7</v>
      </c>
      <c r="J36">
        <v>3.7</v>
      </c>
    </row>
    <row r="37" spans="1:10" x14ac:dyDescent="0.3">
      <c r="A37" t="s">
        <v>263</v>
      </c>
      <c r="B37">
        <v>7</v>
      </c>
      <c r="C37">
        <v>0</v>
      </c>
      <c r="D37">
        <v>3</v>
      </c>
      <c r="E37">
        <v>0</v>
      </c>
      <c r="F37">
        <v>0</v>
      </c>
      <c r="G37">
        <v>0</v>
      </c>
      <c r="H37">
        <v>3</v>
      </c>
      <c r="I37">
        <v>0</v>
      </c>
      <c r="J37">
        <v>0</v>
      </c>
    </row>
    <row r="38" spans="1:10" x14ac:dyDescent="0.3">
      <c r="A38" t="s">
        <v>264</v>
      </c>
      <c r="B38">
        <v>7</v>
      </c>
      <c r="H38">
        <v>7</v>
      </c>
      <c r="J38">
        <v>7</v>
      </c>
    </row>
    <row r="39" spans="1:10" x14ac:dyDescent="0.3">
      <c r="A39" t="s">
        <v>265</v>
      </c>
      <c r="B39">
        <v>7</v>
      </c>
      <c r="H39">
        <v>32</v>
      </c>
      <c r="J39">
        <v>31</v>
      </c>
    </row>
    <row r="40" spans="1:10" x14ac:dyDescent="0.3">
      <c r="A40" t="s">
        <v>266</v>
      </c>
      <c r="B40">
        <v>7</v>
      </c>
      <c r="H40">
        <v>0</v>
      </c>
      <c r="J40">
        <v>0</v>
      </c>
    </row>
    <row r="41" spans="1:10" x14ac:dyDescent="0.3">
      <c r="A41" t="s">
        <v>267</v>
      </c>
      <c r="B41">
        <v>7</v>
      </c>
      <c r="C41">
        <v>12.8</v>
      </c>
      <c r="D41">
        <v>27</v>
      </c>
      <c r="E41">
        <v>13.7</v>
      </c>
      <c r="F41">
        <v>23.5</v>
      </c>
      <c r="G41">
        <v>13.1</v>
      </c>
      <c r="H41">
        <v>50.1</v>
      </c>
      <c r="I41">
        <v>14.7</v>
      </c>
      <c r="J41">
        <v>48.5</v>
      </c>
    </row>
    <row r="42" spans="1:10" x14ac:dyDescent="0.3">
      <c r="A42" t="s">
        <v>268</v>
      </c>
      <c r="B42">
        <v>7</v>
      </c>
      <c r="C42">
        <v>0</v>
      </c>
      <c r="D42">
        <v>1</v>
      </c>
      <c r="E42">
        <v>0</v>
      </c>
      <c r="F42">
        <v>1</v>
      </c>
      <c r="G42">
        <v>0</v>
      </c>
      <c r="H42">
        <v>1</v>
      </c>
      <c r="I42">
        <v>0</v>
      </c>
      <c r="J42">
        <v>1</v>
      </c>
    </row>
    <row r="43" spans="1:10" x14ac:dyDescent="0.3">
      <c r="A43" t="s">
        <v>269</v>
      </c>
      <c r="B43">
        <v>7</v>
      </c>
      <c r="C43">
        <v>1</v>
      </c>
      <c r="D43">
        <v>1</v>
      </c>
      <c r="E43">
        <v>1</v>
      </c>
      <c r="F43">
        <v>1</v>
      </c>
      <c r="G43">
        <v>1</v>
      </c>
      <c r="H43">
        <v>1</v>
      </c>
      <c r="I43">
        <v>1</v>
      </c>
      <c r="J43">
        <v>1</v>
      </c>
    </row>
    <row r="44" spans="1:10" x14ac:dyDescent="0.3">
      <c r="A44" t="s">
        <v>270</v>
      </c>
      <c r="B44">
        <v>7</v>
      </c>
      <c r="C44">
        <v>43.8</v>
      </c>
      <c r="D44">
        <v>70</v>
      </c>
      <c r="E44">
        <v>120.2</v>
      </c>
      <c r="F44">
        <v>138.4</v>
      </c>
      <c r="G44">
        <v>43.8</v>
      </c>
      <c r="H44">
        <v>57.2</v>
      </c>
      <c r="I44">
        <v>120.2</v>
      </c>
      <c r="J44">
        <v>135.19999999999999</v>
      </c>
    </row>
    <row r="45" spans="1:10" x14ac:dyDescent="0.3">
      <c r="A45" t="s">
        <v>271</v>
      </c>
      <c r="B45">
        <v>7</v>
      </c>
      <c r="C45">
        <v>70</v>
      </c>
      <c r="D45">
        <v>120.2</v>
      </c>
      <c r="E45">
        <v>138.4</v>
      </c>
      <c r="F45">
        <v>43.8</v>
      </c>
      <c r="G45">
        <v>57.2</v>
      </c>
      <c r="H45">
        <v>120.2</v>
      </c>
      <c r="I45">
        <v>135.19999999999999</v>
      </c>
      <c r="J45">
        <v>43.8</v>
      </c>
    </row>
    <row r="46" spans="1:10" x14ac:dyDescent="0.3">
      <c r="A46" t="s">
        <v>272</v>
      </c>
      <c r="B46">
        <v>7</v>
      </c>
      <c r="C46">
        <v>63.2</v>
      </c>
      <c r="D46">
        <v>113.2</v>
      </c>
      <c r="E46">
        <v>130.69999999999999</v>
      </c>
      <c r="F46">
        <v>37.200000000000003</v>
      </c>
      <c r="G46">
        <v>50.1</v>
      </c>
      <c r="H46">
        <v>113.1</v>
      </c>
      <c r="I46">
        <v>127.5</v>
      </c>
      <c r="J46">
        <v>36.799999999999997</v>
      </c>
    </row>
    <row r="47" spans="1:10" x14ac:dyDescent="0.3">
      <c r="A47" t="s">
        <v>273</v>
      </c>
      <c r="B47">
        <v>7</v>
      </c>
      <c r="C47">
        <v>63.2</v>
      </c>
      <c r="D47">
        <v>113.2</v>
      </c>
      <c r="E47">
        <v>130.69999999999999</v>
      </c>
      <c r="F47">
        <v>37.200000000000003</v>
      </c>
      <c r="G47">
        <v>50.1</v>
      </c>
      <c r="H47">
        <v>81.099999999999994</v>
      </c>
      <c r="I47">
        <v>127.5</v>
      </c>
      <c r="J47">
        <v>36.799999999999997</v>
      </c>
    </row>
    <row r="48" spans="1:10" x14ac:dyDescent="0.3">
      <c r="A48" t="s">
        <v>274</v>
      </c>
      <c r="B48">
        <v>7</v>
      </c>
      <c r="C48">
        <v>113.8</v>
      </c>
      <c r="D48">
        <v>0</v>
      </c>
      <c r="E48">
        <v>50.2</v>
      </c>
      <c r="F48">
        <v>68.400000000000006</v>
      </c>
      <c r="G48">
        <v>113.8</v>
      </c>
      <c r="H48">
        <v>127.2</v>
      </c>
      <c r="I48">
        <v>50.2</v>
      </c>
      <c r="J48">
        <v>65.2</v>
      </c>
    </row>
    <row r="49" spans="1:10" x14ac:dyDescent="0.3">
      <c r="A49" t="s">
        <v>275</v>
      </c>
      <c r="B49">
        <v>7</v>
      </c>
      <c r="C49">
        <v>133.19999999999999</v>
      </c>
      <c r="D49">
        <v>43.2</v>
      </c>
      <c r="E49">
        <v>60.7</v>
      </c>
      <c r="F49">
        <v>107.2</v>
      </c>
      <c r="G49">
        <v>120.1</v>
      </c>
      <c r="H49">
        <v>43.1</v>
      </c>
      <c r="I49">
        <v>57.5</v>
      </c>
      <c r="J49">
        <v>106.8</v>
      </c>
    </row>
    <row r="50" spans="1:10" x14ac:dyDescent="0.3">
      <c r="A50" t="s">
        <v>276</v>
      </c>
      <c r="B50">
        <v>7</v>
      </c>
      <c r="C50">
        <v>133.19999999999999</v>
      </c>
      <c r="D50">
        <v>43.2</v>
      </c>
      <c r="E50">
        <v>60.7</v>
      </c>
      <c r="F50">
        <v>107.2</v>
      </c>
      <c r="G50">
        <v>120.1</v>
      </c>
      <c r="H50">
        <v>11.1</v>
      </c>
      <c r="I50">
        <v>57.5</v>
      </c>
      <c r="J50">
        <v>106.8</v>
      </c>
    </row>
    <row r="51" spans="1:10" x14ac:dyDescent="0.3">
      <c r="A51" t="s">
        <v>567</v>
      </c>
      <c r="B51">
        <v>7</v>
      </c>
      <c r="C51">
        <v>20</v>
      </c>
      <c r="D51">
        <v>72.900000000000006</v>
      </c>
      <c r="E51">
        <v>7.8</v>
      </c>
      <c r="F51">
        <v>11.2</v>
      </c>
      <c r="G51">
        <v>7.1</v>
      </c>
      <c r="H51">
        <v>85.4</v>
      </c>
      <c r="I51">
        <v>5.8</v>
      </c>
      <c r="J51">
        <v>12.8</v>
      </c>
    </row>
    <row r="52" spans="1:10" x14ac:dyDescent="0.3">
      <c r="A52" t="s">
        <v>254</v>
      </c>
      <c r="B52">
        <v>9</v>
      </c>
      <c r="C52">
        <v>111</v>
      </c>
      <c r="D52">
        <v>112</v>
      </c>
      <c r="E52">
        <v>211</v>
      </c>
      <c r="F52">
        <v>212</v>
      </c>
      <c r="G52">
        <v>121</v>
      </c>
      <c r="H52">
        <v>122</v>
      </c>
      <c r="I52">
        <v>221</v>
      </c>
      <c r="J52">
        <v>222</v>
      </c>
    </row>
    <row r="53" spans="1:10" x14ac:dyDescent="0.3">
      <c r="A53" t="s">
        <v>255</v>
      </c>
      <c r="B53">
        <v>9</v>
      </c>
      <c r="C53">
        <v>6</v>
      </c>
      <c r="D53">
        <v>10</v>
      </c>
      <c r="E53">
        <v>6</v>
      </c>
      <c r="F53">
        <v>5</v>
      </c>
      <c r="G53">
        <v>6</v>
      </c>
      <c r="H53">
        <v>10</v>
      </c>
      <c r="I53">
        <v>6</v>
      </c>
      <c r="J53">
        <v>5</v>
      </c>
    </row>
    <row r="54" spans="1:10" x14ac:dyDescent="0.3">
      <c r="A54" t="s">
        <v>256</v>
      </c>
      <c r="B54">
        <v>9</v>
      </c>
      <c r="C54">
        <v>14.5</v>
      </c>
      <c r="D54">
        <v>49.2</v>
      </c>
      <c r="E54">
        <v>6.3</v>
      </c>
      <c r="F54">
        <v>43.2</v>
      </c>
      <c r="G54">
        <v>6.3</v>
      </c>
      <c r="H54">
        <v>57</v>
      </c>
      <c r="I54">
        <v>12.1</v>
      </c>
      <c r="J54">
        <v>37.200000000000003</v>
      </c>
    </row>
    <row r="55" spans="1:10" x14ac:dyDescent="0.3">
      <c r="A55" t="s">
        <v>257</v>
      </c>
      <c r="B55">
        <v>9</v>
      </c>
      <c r="C55">
        <v>2.5</v>
      </c>
      <c r="D55">
        <v>2.5</v>
      </c>
      <c r="E55">
        <v>2.5</v>
      </c>
      <c r="F55">
        <v>3</v>
      </c>
      <c r="G55">
        <v>2.5</v>
      </c>
      <c r="H55">
        <v>2.5</v>
      </c>
      <c r="I55">
        <v>3</v>
      </c>
      <c r="J55">
        <v>3</v>
      </c>
    </row>
    <row r="56" spans="1:10" x14ac:dyDescent="0.3">
      <c r="A56" t="s">
        <v>258</v>
      </c>
      <c r="B56">
        <v>9</v>
      </c>
      <c r="C56">
        <v>0</v>
      </c>
      <c r="D56">
        <v>0</v>
      </c>
      <c r="E56">
        <v>0</v>
      </c>
      <c r="F56">
        <v>0</v>
      </c>
      <c r="G56">
        <v>0</v>
      </c>
      <c r="H56">
        <v>0</v>
      </c>
      <c r="I56">
        <v>0</v>
      </c>
      <c r="J56">
        <v>0</v>
      </c>
    </row>
    <row r="57" spans="1:10" x14ac:dyDescent="0.3">
      <c r="A57" t="s">
        <v>259</v>
      </c>
      <c r="B57">
        <v>9</v>
      </c>
      <c r="C57">
        <v>0</v>
      </c>
      <c r="D57">
        <v>0</v>
      </c>
      <c r="E57">
        <v>0</v>
      </c>
      <c r="F57">
        <v>0</v>
      </c>
      <c r="G57">
        <v>0</v>
      </c>
      <c r="H57">
        <v>0</v>
      </c>
      <c r="I57">
        <v>0</v>
      </c>
      <c r="J57">
        <v>0</v>
      </c>
    </row>
    <row r="58" spans="1:10" x14ac:dyDescent="0.3">
      <c r="A58" t="s">
        <v>260</v>
      </c>
      <c r="B58">
        <v>9</v>
      </c>
      <c r="C58">
        <v>3</v>
      </c>
      <c r="D58">
        <v>3</v>
      </c>
      <c r="E58">
        <v>3</v>
      </c>
      <c r="F58">
        <v>3</v>
      </c>
      <c r="G58">
        <v>3</v>
      </c>
      <c r="H58">
        <v>3</v>
      </c>
      <c r="I58">
        <v>3</v>
      </c>
      <c r="J58">
        <v>3</v>
      </c>
    </row>
    <row r="59" spans="1:10" x14ac:dyDescent="0.3">
      <c r="A59" t="s">
        <v>261</v>
      </c>
      <c r="B59">
        <v>9</v>
      </c>
      <c r="C59">
        <v>3</v>
      </c>
      <c r="D59">
        <v>4.4000000000000004</v>
      </c>
      <c r="E59">
        <v>3</v>
      </c>
      <c r="F59">
        <v>3.3</v>
      </c>
      <c r="G59">
        <v>3</v>
      </c>
      <c r="H59">
        <v>4.4000000000000004</v>
      </c>
      <c r="I59">
        <v>3</v>
      </c>
      <c r="J59">
        <v>3.6</v>
      </c>
    </row>
    <row r="60" spans="1:10" x14ac:dyDescent="0.3">
      <c r="A60" t="s">
        <v>262</v>
      </c>
      <c r="B60">
        <v>9</v>
      </c>
      <c r="C60">
        <v>3.7</v>
      </c>
      <c r="D60">
        <v>2</v>
      </c>
      <c r="E60">
        <v>3.9</v>
      </c>
      <c r="F60">
        <v>3.5</v>
      </c>
      <c r="G60">
        <v>3.7</v>
      </c>
      <c r="H60">
        <v>2.4</v>
      </c>
      <c r="I60">
        <v>3.9</v>
      </c>
      <c r="J60">
        <v>3.4</v>
      </c>
    </row>
    <row r="61" spans="1:10" x14ac:dyDescent="0.3">
      <c r="A61" t="s">
        <v>263</v>
      </c>
      <c r="B61">
        <v>9</v>
      </c>
      <c r="C61">
        <v>0</v>
      </c>
      <c r="D61">
        <v>3</v>
      </c>
      <c r="E61">
        <v>0</v>
      </c>
      <c r="F61">
        <v>0</v>
      </c>
      <c r="G61">
        <v>0</v>
      </c>
      <c r="H61">
        <v>3</v>
      </c>
      <c r="I61">
        <v>0</v>
      </c>
      <c r="J61">
        <v>0</v>
      </c>
    </row>
    <row r="62" spans="1:10" x14ac:dyDescent="0.3">
      <c r="A62" t="s">
        <v>264</v>
      </c>
      <c r="B62">
        <v>9</v>
      </c>
      <c r="F62">
        <v>7</v>
      </c>
      <c r="H62">
        <v>7</v>
      </c>
    </row>
    <row r="63" spans="1:10" x14ac:dyDescent="0.3">
      <c r="A63" t="s">
        <v>265</v>
      </c>
      <c r="B63">
        <v>9</v>
      </c>
      <c r="F63">
        <v>33</v>
      </c>
      <c r="H63">
        <v>16</v>
      </c>
    </row>
    <row r="64" spans="1:10" x14ac:dyDescent="0.3">
      <c r="A64" t="s">
        <v>266</v>
      </c>
      <c r="B64">
        <v>9</v>
      </c>
      <c r="F64">
        <v>0</v>
      </c>
      <c r="H64">
        <v>0</v>
      </c>
    </row>
    <row r="65" spans="1:10" x14ac:dyDescent="0.3">
      <c r="A65" t="s">
        <v>267</v>
      </c>
      <c r="B65">
        <v>9</v>
      </c>
      <c r="C65">
        <v>12.7</v>
      </c>
      <c r="D65">
        <v>22.5</v>
      </c>
      <c r="E65">
        <v>12.9</v>
      </c>
      <c r="F65">
        <v>49.8</v>
      </c>
      <c r="G65">
        <v>12.7</v>
      </c>
      <c r="H65">
        <v>34.799999999999997</v>
      </c>
      <c r="I65">
        <v>12.9</v>
      </c>
      <c r="J65">
        <v>22.5</v>
      </c>
    </row>
    <row r="66" spans="1:10" x14ac:dyDescent="0.3">
      <c r="A66" t="s">
        <v>268</v>
      </c>
      <c r="B66">
        <v>9</v>
      </c>
      <c r="C66">
        <v>0</v>
      </c>
      <c r="D66">
        <v>1</v>
      </c>
      <c r="E66">
        <v>0</v>
      </c>
      <c r="F66">
        <v>1</v>
      </c>
      <c r="G66">
        <v>0</v>
      </c>
      <c r="H66">
        <v>1</v>
      </c>
      <c r="I66">
        <v>0</v>
      </c>
      <c r="J66">
        <v>1</v>
      </c>
    </row>
    <row r="67" spans="1:10" x14ac:dyDescent="0.3">
      <c r="A67" t="s">
        <v>269</v>
      </c>
      <c r="B67">
        <v>9</v>
      </c>
      <c r="C67">
        <v>1</v>
      </c>
      <c r="D67">
        <v>1</v>
      </c>
      <c r="E67">
        <v>1</v>
      </c>
      <c r="F67">
        <v>1</v>
      </c>
      <c r="G67">
        <v>1</v>
      </c>
      <c r="H67">
        <v>1</v>
      </c>
      <c r="I67">
        <v>1</v>
      </c>
      <c r="J67">
        <v>1</v>
      </c>
    </row>
    <row r="68" spans="1:10" x14ac:dyDescent="0.3">
      <c r="A68" t="s">
        <v>270</v>
      </c>
      <c r="B68">
        <v>9</v>
      </c>
      <c r="C68">
        <v>53.8</v>
      </c>
      <c r="D68">
        <v>75</v>
      </c>
      <c r="E68">
        <v>130.6</v>
      </c>
      <c r="F68">
        <v>3.8</v>
      </c>
      <c r="G68">
        <v>53.8</v>
      </c>
      <c r="H68">
        <v>66.8</v>
      </c>
      <c r="I68">
        <v>130.6</v>
      </c>
      <c r="J68">
        <v>9.6</v>
      </c>
    </row>
    <row r="69" spans="1:10" x14ac:dyDescent="0.3">
      <c r="A69" t="s">
        <v>271</v>
      </c>
      <c r="B69">
        <v>9</v>
      </c>
      <c r="C69">
        <v>75</v>
      </c>
      <c r="D69">
        <v>130.6</v>
      </c>
      <c r="E69">
        <v>3.8</v>
      </c>
      <c r="F69">
        <v>53.8</v>
      </c>
      <c r="G69">
        <v>66.8</v>
      </c>
      <c r="H69">
        <v>130.6</v>
      </c>
      <c r="I69">
        <v>9.6</v>
      </c>
      <c r="J69">
        <v>53.8</v>
      </c>
    </row>
    <row r="70" spans="1:10" x14ac:dyDescent="0.3">
      <c r="A70" t="s">
        <v>272</v>
      </c>
      <c r="B70">
        <v>9</v>
      </c>
      <c r="C70">
        <v>68.3</v>
      </c>
      <c r="D70">
        <v>124.2</v>
      </c>
      <c r="E70">
        <v>136.9</v>
      </c>
      <c r="F70">
        <v>47</v>
      </c>
      <c r="G70">
        <v>60.1</v>
      </c>
      <c r="H70">
        <v>123.8</v>
      </c>
      <c r="I70">
        <v>2.7</v>
      </c>
      <c r="J70">
        <v>46.8</v>
      </c>
    </row>
    <row r="71" spans="1:10" x14ac:dyDescent="0.3">
      <c r="A71" t="s">
        <v>273</v>
      </c>
      <c r="B71">
        <v>9</v>
      </c>
      <c r="C71">
        <v>68.3</v>
      </c>
      <c r="D71">
        <v>124.2</v>
      </c>
      <c r="E71">
        <v>136.9</v>
      </c>
      <c r="F71">
        <v>47</v>
      </c>
      <c r="G71">
        <v>60.1</v>
      </c>
      <c r="H71">
        <v>107.8</v>
      </c>
      <c r="I71">
        <v>2.7</v>
      </c>
      <c r="J71">
        <v>46.8</v>
      </c>
    </row>
    <row r="72" spans="1:10" x14ac:dyDescent="0.3">
      <c r="A72" t="s">
        <v>274</v>
      </c>
      <c r="B72">
        <v>9</v>
      </c>
      <c r="C72">
        <v>118.8</v>
      </c>
      <c r="D72">
        <v>0</v>
      </c>
      <c r="E72">
        <v>55.6</v>
      </c>
      <c r="F72">
        <v>68.8</v>
      </c>
      <c r="G72">
        <v>118.8</v>
      </c>
      <c r="H72">
        <v>131.80000000000001</v>
      </c>
      <c r="I72">
        <v>55.6</v>
      </c>
      <c r="J72">
        <v>74.599999999999994</v>
      </c>
    </row>
    <row r="73" spans="1:10" x14ac:dyDescent="0.3">
      <c r="A73" t="s">
        <v>275</v>
      </c>
      <c r="B73">
        <v>9</v>
      </c>
      <c r="C73">
        <v>133.30000000000001</v>
      </c>
      <c r="D73">
        <v>49.2</v>
      </c>
      <c r="E73">
        <v>61.9</v>
      </c>
      <c r="F73">
        <v>112</v>
      </c>
      <c r="G73">
        <v>125.1</v>
      </c>
      <c r="H73">
        <v>48.8</v>
      </c>
      <c r="I73">
        <v>67.7</v>
      </c>
      <c r="J73">
        <v>111.8</v>
      </c>
    </row>
    <row r="74" spans="1:10" x14ac:dyDescent="0.3">
      <c r="A74" t="s">
        <v>276</v>
      </c>
      <c r="B74">
        <v>9</v>
      </c>
      <c r="C74">
        <v>133.30000000000001</v>
      </c>
      <c r="D74">
        <v>49.2</v>
      </c>
      <c r="E74">
        <v>61.9</v>
      </c>
      <c r="F74">
        <v>112</v>
      </c>
      <c r="G74">
        <v>125.1</v>
      </c>
      <c r="H74">
        <v>32.799999999999997</v>
      </c>
      <c r="I74">
        <v>67.7</v>
      </c>
      <c r="J74">
        <v>111.8</v>
      </c>
    </row>
    <row r="75" spans="1:10" x14ac:dyDescent="0.3">
      <c r="A75" t="s">
        <v>567</v>
      </c>
      <c r="B75">
        <v>9</v>
      </c>
      <c r="C75">
        <v>14.9</v>
      </c>
      <c r="D75">
        <v>75.7</v>
      </c>
      <c r="E75">
        <v>5</v>
      </c>
      <c r="F75">
        <v>17.600000000000001</v>
      </c>
      <c r="G75">
        <v>4.5</v>
      </c>
      <c r="H75">
        <v>85.7</v>
      </c>
      <c r="I75">
        <v>8.8000000000000007</v>
      </c>
      <c r="J75">
        <v>13.6</v>
      </c>
    </row>
    <row r="76" spans="1:10" x14ac:dyDescent="0.3">
      <c r="A76" t="s">
        <v>254</v>
      </c>
      <c r="B76">
        <v>11</v>
      </c>
      <c r="C76">
        <v>111</v>
      </c>
      <c r="D76">
        <v>112</v>
      </c>
      <c r="E76">
        <v>211</v>
      </c>
      <c r="F76">
        <v>212</v>
      </c>
      <c r="G76">
        <v>121</v>
      </c>
      <c r="H76">
        <v>122</v>
      </c>
      <c r="I76">
        <v>221</v>
      </c>
      <c r="J76">
        <v>222</v>
      </c>
    </row>
    <row r="77" spans="1:10" x14ac:dyDescent="0.3">
      <c r="A77" t="s">
        <v>255</v>
      </c>
      <c r="B77">
        <v>11</v>
      </c>
      <c r="C77">
        <v>6</v>
      </c>
      <c r="D77">
        <v>20</v>
      </c>
      <c r="E77">
        <v>6</v>
      </c>
      <c r="F77">
        <v>8</v>
      </c>
      <c r="G77">
        <v>6</v>
      </c>
      <c r="H77">
        <v>20</v>
      </c>
      <c r="I77">
        <v>6</v>
      </c>
      <c r="J77">
        <v>8</v>
      </c>
    </row>
    <row r="78" spans="1:10" x14ac:dyDescent="0.3">
      <c r="A78" t="s">
        <v>256</v>
      </c>
      <c r="B78">
        <v>11</v>
      </c>
      <c r="C78">
        <v>20.6</v>
      </c>
      <c r="D78">
        <v>48</v>
      </c>
      <c r="E78">
        <v>18.100000000000001</v>
      </c>
      <c r="F78">
        <v>27.3</v>
      </c>
      <c r="G78">
        <v>18</v>
      </c>
      <c r="H78">
        <v>50.6</v>
      </c>
      <c r="I78">
        <v>6</v>
      </c>
      <c r="J78">
        <v>40</v>
      </c>
    </row>
    <row r="79" spans="1:10" x14ac:dyDescent="0.3">
      <c r="A79" t="s">
        <v>257</v>
      </c>
      <c r="B79">
        <v>11</v>
      </c>
      <c r="C79">
        <v>2.5</v>
      </c>
      <c r="D79">
        <v>4</v>
      </c>
      <c r="E79">
        <v>2.5</v>
      </c>
      <c r="F79">
        <v>3.6</v>
      </c>
      <c r="G79">
        <v>2</v>
      </c>
      <c r="H79">
        <v>4</v>
      </c>
      <c r="I79">
        <v>2.5</v>
      </c>
      <c r="J79">
        <v>2</v>
      </c>
    </row>
    <row r="80" spans="1:10" x14ac:dyDescent="0.3">
      <c r="A80" t="s">
        <v>258</v>
      </c>
      <c r="B80">
        <v>11</v>
      </c>
      <c r="C80">
        <v>0</v>
      </c>
      <c r="D80">
        <v>0</v>
      </c>
      <c r="E80">
        <v>0</v>
      </c>
      <c r="F80">
        <v>0</v>
      </c>
      <c r="G80">
        <v>0</v>
      </c>
      <c r="H80">
        <v>0</v>
      </c>
      <c r="I80">
        <v>0</v>
      </c>
      <c r="J80">
        <v>0</v>
      </c>
    </row>
    <row r="81" spans="1:10" x14ac:dyDescent="0.3">
      <c r="A81" t="s">
        <v>259</v>
      </c>
      <c r="B81">
        <v>11</v>
      </c>
      <c r="C81">
        <v>0</v>
      </c>
      <c r="D81">
        <v>0</v>
      </c>
      <c r="E81">
        <v>0</v>
      </c>
      <c r="F81">
        <v>0</v>
      </c>
      <c r="G81">
        <v>0</v>
      </c>
      <c r="H81">
        <v>0</v>
      </c>
      <c r="I81">
        <v>0</v>
      </c>
      <c r="J81">
        <v>0</v>
      </c>
    </row>
    <row r="82" spans="1:10" x14ac:dyDescent="0.3">
      <c r="A82" t="s">
        <v>260</v>
      </c>
      <c r="B82">
        <v>11</v>
      </c>
      <c r="C82">
        <v>3</v>
      </c>
      <c r="D82">
        <v>3</v>
      </c>
      <c r="E82">
        <v>3</v>
      </c>
      <c r="F82">
        <v>3</v>
      </c>
      <c r="G82">
        <v>3</v>
      </c>
      <c r="H82">
        <v>3</v>
      </c>
      <c r="I82">
        <v>3</v>
      </c>
      <c r="J82">
        <v>3</v>
      </c>
    </row>
    <row r="83" spans="1:10" x14ac:dyDescent="0.3">
      <c r="A83" t="s">
        <v>261</v>
      </c>
      <c r="B83">
        <v>11</v>
      </c>
      <c r="C83">
        <v>3</v>
      </c>
      <c r="D83">
        <v>4.4000000000000004</v>
      </c>
      <c r="E83">
        <v>3</v>
      </c>
      <c r="F83">
        <v>3.6</v>
      </c>
      <c r="G83">
        <v>3</v>
      </c>
      <c r="H83">
        <v>4.4000000000000004</v>
      </c>
      <c r="I83">
        <v>3</v>
      </c>
      <c r="J83">
        <v>3.6</v>
      </c>
    </row>
    <row r="84" spans="1:10" x14ac:dyDescent="0.3">
      <c r="A84" t="s">
        <v>262</v>
      </c>
      <c r="B84">
        <v>11</v>
      </c>
      <c r="C84">
        <v>3.3</v>
      </c>
      <c r="D84">
        <v>2</v>
      </c>
      <c r="E84">
        <v>3.5</v>
      </c>
      <c r="F84">
        <v>3.2</v>
      </c>
      <c r="G84">
        <v>3.3</v>
      </c>
      <c r="H84">
        <v>2</v>
      </c>
      <c r="I84">
        <v>3</v>
      </c>
      <c r="J84">
        <v>3.1</v>
      </c>
    </row>
    <row r="85" spans="1:10" x14ac:dyDescent="0.3">
      <c r="A85" t="s">
        <v>263</v>
      </c>
      <c r="B85">
        <v>11</v>
      </c>
      <c r="C85">
        <v>0</v>
      </c>
      <c r="D85">
        <v>3</v>
      </c>
      <c r="E85">
        <v>0</v>
      </c>
      <c r="F85">
        <v>0</v>
      </c>
      <c r="G85">
        <v>0</v>
      </c>
      <c r="H85">
        <v>3</v>
      </c>
      <c r="I85">
        <v>0</v>
      </c>
      <c r="J85">
        <v>0</v>
      </c>
    </row>
    <row r="86" spans="1:10" x14ac:dyDescent="0.3">
      <c r="A86" t="s">
        <v>264</v>
      </c>
      <c r="B86">
        <v>11</v>
      </c>
      <c r="H86">
        <v>7</v>
      </c>
      <c r="J86">
        <v>7</v>
      </c>
    </row>
    <row r="87" spans="1:10" x14ac:dyDescent="0.3">
      <c r="A87" t="s">
        <v>265</v>
      </c>
      <c r="B87">
        <v>11</v>
      </c>
      <c r="H87">
        <v>17</v>
      </c>
      <c r="J87">
        <v>30</v>
      </c>
    </row>
    <row r="88" spans="1:10" x14ac:dyDescent="0.3">
      <c r="A88" t="s">
        <v>266</v>
      </c>
      <c r="B88">
        <v>11</v>
      </c>
      <c r="H88">
        <v>0</v>
      </c>
      <c r="J88">
        <v>0</v>
      </c>
    </row>
    <row r="89" spans="1:10" x14ac:dyDescent="0.3">
      <c r="A89" t="s">
        <v>267</v>
      </c>
      <c r="B89">
        <v>11</v>
      </c>
      <c r="C89">
        <v>12.3</v>
      </c>
      <c r="D89">
        <v>26.4</v>
      </c>
      <c r="E89">
        <v>22.5</v>
      </c>
      <c r="F89">
        <v>24.3</v>
      </c>
      <c r="G89">
        <v>24.3</v>
      </c>
      <c r="H89">
        <v>34.4</v>
      </c>
      <c r="I89">
        <v>12</v>
      </c>
      <c r="J89">
        <v>46.7</v>
      </c>
    </row>
    <row r="90" spans="1:10" x14ac:dyDescent="0.3">
      <c r="A90" t="s">
        <v>268</v>
      </c>
      <c r="B90">
        <v>11</v>
      </c>
      <c r="C90">
        <v>0</v>
      </c>
      <c r="D90">
        <v>1</v>
      </c>
      <c r="E90">
        <v>1</v>
      </c>
      <c r="F90">
        <v>1</v>
      </c>
      <c r="G90">
        <v>1</v>
      </c>
      <c r="H90">
        <v>1</v>
      </c>
      <c r="I90">
        <v>0</v>
      </c>
      <c r="J90">
        <v>1</v>
      </c>
    </row>
    <row r="91" spans="1:10" x14ac:dyDescent="0.3">
      <c r="A91" t="s">
        <v>269</v>
      </c>
      <c r="B91">
        <v>11</v>
      </c>
      <c r="C91">
        <v>1</v>
      </c>
      <c r="D91">
        <v>1</v>
      </c>
      <c r="E91">
        <v>1</v>
      </c>
      <c r="F91">
        <v>1</v>
      </c>
      <c r="G91">
        <v>1</v>
      </c>
      <c r="H91">
        <v>1</v>
      </c>
      <c r="I91">
        <v>1</v>
      </c>
      <c r="J91">
        <v>1</v>
      </c>
    </row>
    <row r="92" spans="1:10" x14ac:dyDescent="0.3">
      <c r="A92" t="s">
        <v>270</v>
      </c>
      <c r="B92">
        <v>11</v>
      </c>
      <c r="C92">
        <v>125.1</v>
      </c>
      <c r="D92">
        <v>12</v>
      </c>
      <c r="E92">
        <v>66.400000000000006</v>
      </c>
      <c r="F92">
        <v>91</v>
      </c>
      <c r="G92">
        <v>125.1</v>
      </c>
      <c r="H92">
        <v>9.4</v>
      </c>
      <c r="I92">
        <v>66.400000000000006</v>
      </c>
      <c r="J92">
        <v>78.400000000000006</v>
      </c>
    </row>
    <row r="93" spans="1:10" x14ac:dyDescent="0.3">
      <c r="A93" t="s">
        <v>271</v>
      </c>
      <c r="B93">
        <v>11</v>
      </c>
      <c r="C93">
        <v>12</v>
      </c>
      <c r="D93">
        <v>66.400000000000006</v>
      </c>
      <c r="E93">
        <v>91</v>
      </c>
      <c r="F93">
        <v>125.1</v>
      </c>
      <c r="G93">
        <v>9.4</v>
      </c>
      <c r="H93">
        <v>66.400000000000006</v>
      </c>
      <c r="I93">
        <v>78.400000000000006</v>
      </c>
      <c r="J93">
        <v>125.1</v>
      </c>
    </row>
    <row r="94" spans="1:10" x14ac:dyDescent="0.3">
      <c r="A94" t="s">
        <v>272</v>
      </c>
      <c r="B94">
        <v>11</v>
      </c>
      <c r="C94">
        <v>5.7</v>
      </c>
      <c r="D94">
        <v>60</v>
      </c>
      <c r="E94">
        <v>84.5</v>
      </c>
      <c r="F94">
        <v>118.3</v>
      </c>
      <c r="G94">
        <v>3.1</v>
      </c>
      <c r="H94">
        <v>60</v>
      </c>
      <c r="I94">
        <v>72.400000000000006</v>
      </c>
      <c r="J94">
        <v>118.4</v>
      </c>
    </row>
    <row r="95" spans="1:10" x14ac:dyDescent="0.3">
      <c r="A95" t="s">
        <v>273</v>
      </c>
      <c r="B95">
        <v>11</v>
      </c>
      <c r="C95">
        <v>5.7</v>
      </c>
      <c r="D95">
        <v>60</v>
      </c>
      <c r="E95">
        <v>84.5</v>
      </c>
      <c r="F95">
        <v>118.3</v>
      </c>
      <c r="G95">
        <v>3.1</v>
      </c>
      <c r="H95">
        <v>43</v>
      </c>
      <c r="I95">
        <v>72.400000000000006</v>
      </c>
      <c r="J95">
        <v>118.4</v>
      </c>
    </row>
    <row r="96" spans="1:10" x14ac:dyDescent="0.3">
      <c r="A96" t="s">
        <v>274</v>
      </c>
      <c r="B96">
        <v>11</v>
      </c>
      <c r="C96">
        <v>113.1</v>
      </c>
      <c r="D96">
        <v>0</v>
      </c>
      <c r="E96">
        <v>54.4</v>
      </c>
      <c r="F96">
        <v>79</v>
      </c>
      <c r="G96">
        <v>113.1</v>
      </c>
      <c r="H96">
        <v>137.4</v>
      </c>
      <c r="I96">
        <v>54.4</v>
      </c>
      <c r="J96">
        <v>66.400000000000006</v>
      </c>
    </row>
    <row r="97" spans="1:10" x14ac:dyDescent="0.3">
      <c r="A97" t="s">
        <v>275</v>
      </c>
      <c r="B97">
        <v>11</v>
      </c>
      <c r="C97">
        <v>133.69999999999999</v>
      </c>
      <c r="D97">
        <v>48</v>
      </c>
      <c r="E97">
        <v>72.5</v>
      </c>
      <c r="F97">
        <v>106.3</v>
      </c>
      <c r="G97">
        <v>131.1</v>
      </c>
      <c r="H97">
        <v>48</v>
      </c>
      <c r="I97">
        <v>60.4</v>
      </c>
      <c r="J97">
        <v>106.4</v>
      </c>
    </row>
    <row r="98" spans="1:10" x14ac:dyDescent="0.3">
      <c r="A98" t="s">
        <v>276</v>
      </c>
      <c r="B98">
        <v>11</v>
      </c>
      <c r="C98">
        <v>133.69999999999999</v>
      </c>
      <c r="D98">
        <v>48</v>
      </c>
      <c r="E98">
        <v>72.5</v>
      </c>
      <c r="F98">
        <v>106.3</v>
      </c>
      <c r="G98">
        <v>131.1</v>
      </c>
      <c r="H98">
        <v>31</v>
      </c>
      <c r="I98">
        <v>60.4</v>
      </c>
      <c r="J98">
        <v>106.4</v>
      </c>
    </row>
    <row r="99" spans="1:10" x14ac:dyDescent="0.3">
      <c r="A99" t="s">
        <v>567</v>
      </c>
      <c r="B99">
        <v>11</v>
      </c>
      <c r="C99">
        <v>17.399999999999999</v>
      </c>
      <c r="D99">
        <v>63.2</v>
      </c>
      <c r="E99">
        <v>14</v>
      </c>
      <c r="F99">
        <v>19.399999999999999</v>
      </c>
      <c r="G99">
        <v>7.5</v>
      </c>
      <c r="H99">
        <v>73.099999999999994</v>
      </c>
      <c r="I99">
        <v>0</v>
      </c>
      <c r="J99">
        <v>40</v>
      </c>
    </row>
    <row r="100" spans="1:10" x14ac:dyDescent="0.3">
      <c r="A100" t="s">
        <v>254</v>
      </c>
      <c r="B100">
        <v>13</v>
      </c>
      <c r="C100">
        <v>111</v>
      </c>
      <c r="D100">
        <v>112</v>
      </c>
      <c r="E100">
        <v>211</v>
      </c>
      <c r="F100">
        <v>212</v>
      </c>
      <c r="G100">
        <v>121</v>
      </c>
      <c r="H100">
        <v>122</v>
      </c>
      <c r="I100">
        <v>221</v>
      </c>
      <c r="J100">
        <v>222</v>
      </c>
    </row>
    <row r="101" spans="1:10" x14ac:dyDescent="0.3">
      <c r="A101" t="s">
        <v>255</v>
      </c>
      <c r="B101">
        <v>13</v>
      </c>
      <c r="C101">
        <v>6</v>
      </c>
      <c r="D101">
        <v>20</v>
      </c>
      <c r="E101">
        <v>6</v>
      </c>
      <c r="F101">
        <v>7</v>
      </c>
      <c r="G101">
        <v>7</v>
      </c>
      <c r="H101">
        <v>20</v>
      </c>
      <c r="I101">
        <v>7</v>
      </c>
      <c r="J101">
        <v>6</v>
      </c>
    </row>
    <row r="102" spans="1:10" x14ac:dyDescent="0.3">
      <c r="A102" t="s">
        <v>256</v>
      </c>
      <c r="B102">
        <v>13</v>
      </c>
      <c r="C102">
        <v>6</v>
      </c>
      <c r="D102">
        <v>34.4</v>
      </c>
      <c r="E102">
        <v>6</v>
      </c>
      <c r="F102">
        <v>63</v>
      </c>
      <c r="G102">
        <v>17.100000000000001</v>
      </c>
      <c r="H102">
        <v>22.8</v>
      </c>
      <c r="I102">
        <v>7.3</v>
      </c>
      <c r="J102">
        <v>61.7</v>
      </c>
    </row>
    <row r="103" spans="1:10" x14ac:dyDescent="0.3">
      <c r="A103" t="s">
        <v>257</v>
      </c>
      <c r="B103">
        <v>13</v>
      </c>
      <c r="C103">
        <v>2</v>
      </c>
      <c r="D103">
        <v>3.5</v>
      </c>
      <c r="E103">
        <v>2</v>
      </c>
      <c r="F103">
        <v>2</v>
      </c>
      <c r="G103">
        <v>2</v>
      </c>
      <c r="H103">
        <v>3.5</v>
      </c>
      <c r="I103">
        <v>2</v>
      </c>
      <c r="J103">
        <v>2</v>
      </c>
    </row>
    <row r="104" spans="1:10" x14ac:dyDescent="0.3">
      <c r="A104" t="s">
        <v>258</v>
      </c>
      <c r="B104">
        <v>13</v>
      </c>
      <c r="C104">
        <v>0</v>
      </c>
      <c r="D104">
        <v>0</v>
      </c>
      <c r="E104">
        <v>0</v>
      </c>
      <c r="F104">
        <v>0</v>
      </c>
      <c r="G104">
        <v>0</v>
      </c>
      <c r="H104">
        <v>0</v>
      </c>
      <c r="I104">
        <v>0</v>
      </c>
      <c r="J104">
        <v>0</v>
      </c>
    </row>
    <row r="105" spans="1:10" x14ac:dyDescent="0.3">
      <c r="A105" t="s">
        <v>259</v>
      </c>
      <c r="B105">
        <v>13</v>
      </c>
      <c r="C105">
        <v>0</v>
      </c>
      <c r="D105">
        <v>0</v>
      </c>
      <c r="E105">
        <v>0</v>
      </c>
      <c r="F105">
        <v>0</v>
      </c>
      <c r="G105">
        <v>0</v>
      </c>
      <c r="H105">
        <v>0</v>
      </c>
      <c r="I105">
        <v>0</v>
      </c>
      <c r="J105">
        <v>0</v>
      </c>
    </row>
    <row r="106" spans="1:10" x14ac:dyDescent="0.3">
      <c r="A106" t="s">
        <v>260</v>
      </c>
      <c r="B106">
        <v>13</v>
      </c>
      <c r="C106">
        <v>3</v>
      </c>
      <c r="D106">
        <v>3</v>
      </c>
      <c r="E106">
        <v>3</v>
      </c>
      <c r="F106">
        <v>3</v>
      </c>
      <c r="G106">
        <v>3</v>
      </c>
      <c r="H106">
        <v>3</v>
      </c>
      <c r="I106">
        <v>3</v>
      </c>
      <c r="J106">
        <v>3</v>
      </c>
    </row>
    <row r="107" spans="1:10" x14ac:dyDescent="0.3">
      <c r="A107" t="s">
        <v>261</v>
      </c>
      <c r="B107">
        <v>13</v>
      </c>
      <c r="C107">
        <v>3</v>
      </c>
      <c r="D107">
        <v>4.4000000000000004</v>
      </c>
      <c r="E107">
        <v>3</v>
      </c>
      <c r="F107">
        <v>3.6</v>
      </c>
      <c r="G107">
        <v>3</v>
      </c>
      <c r="H107">
        <v>4.4000000000000004</v>
      </c>
      <c r="I107">
        <v>3</v>
      </c>
      <c r="J107">
        <v>3.3</v>
      </c>
    </row>
    <row r="108" spans="1:10" x14ac:dyDescent="0.3">
      <c r="A108" t="s">
        <v>262</v>
      </c>
      <c r="B108">
        <v>13</v>
      </c>
      <c r="C108">
        <v>4</v>
      </c>
      <c r="D108">
        <v>2.6</v>
      </c>
      <c r="E108">
        <v>4.4000000000000004</v>
      </c>
      <c r="F108">
        <v>5.6</v>
      </c>
      <c r="G108">
        <v>4.9000000000000004</v>
      </c>
      <c r="H108">
        <v>2.2000000000000002</v>
      </c>
      <c r="I108">
        <v>4.7</v>
      </c>
      <c r="J108">
        <v>5.6</v>
      </c>
    </row>
    <row r="109" spans="1:10" x14ac:dyDescent="0.3">
      <c r="A109" t="s">
        <v>263</v>
      </c>
      <c r="B109">
        <v>13</v>
      </c>
      <c r="C109">
        <v>0</v>
      </c>
      <c r="D109">
        <v>3</v>
      </c>
      <c r="E109">
        <v>0</v>
      </c>
      <c r="F109">
        <v>0</v>
      </c>
      <c r="G109">
        <v>0</v>
      </c>
      <c r="H109">
        <v>3</v>
      </c>
      <c r="I109">
        <v>0</v>
      </c>
      <c r="J109">
        <v>0</v>
      </c>
    </row>
    <row r="110" spans="1:10" x14ac:dyDescent="0.3">
      <c r="A110" t="s">
        <v>264</v>
      </c>
      <c r="B110">
        <v>13</v>
      </c>
      <c r="J110">
        <v>7</v>
      </c>
    </row>
    <row r="111" spans="1:10" x14ac:dyDescent="0.3">
      <c r="A111" t="s">
        <v>265</v>
      </c>
      <c r="B111">
        <v>13</v>
      </c>
      <c r="J111">
        <v>34</v>
      </c>
    </row>
    <row r="112" spans="1:10" x14ac:dyDescent="0.3">
      <c r="A112" t="s">
        <v>266</v>
      </c>
      <c r="B112">
        <v>13</v>
      </c>
      <c r="J112">
        <v>0</v>
      </c>
    </row>
    <row r="113" spans="1:10" x14ac:dyDescent="0.3">
      <c r="A113" t="s">
        <v>267</v>
      </c>
      <c r="B113">
        <v>13</v>
      </c>
      <c r="C113">
        <v>13</v>
      </c>
      <c r="D113">
        <v>27</v>
      </c>
      <c r="E113">
        <v>13.4</v>
      </c>
      <c r="F113">
        <v>26.6</v>
      </c>
      <c r="G113">
        <v>25</v>
      </c>
      <c r="H113">
        <v>26.6</v>
      </c>
      <c r="I113">
        <v>14.7</v>
      </c>
      <c r="J113">
        <v>70.599999999999994</v>
      </c>
    </row>
    <row r="114" spans="1:10" x14ac:dyDescent="0.3">
      <c r="A114" t="s">
        <v>268</v>
      </c>
      <c r="B114">
        <v>13</v>
      </c>
      <c r="C114">
        <v>0</v>
      </c>
      <c r="D114">
        <v>1</v>
      </c>
      <c r="E114">
        <v>0</v>
      </c>
      <c r="F114">
        <v>1</v>
      </c>
      <c r="G114">
        <v>1</v>
      </c>
      <c r="H114">
        <v>1</v>
      </c>
      <c r="I114">
        <v>0</v>
      </c>
      <c r="J114">
        <v>1</v>
      </c>
    </row>
    <row r="115" spans="1:10" x14ac:dyDescent="0.3">
      <c r="A115" t="s">
        <v>269</v>
      </c>
      <c r="B115">
        <v>13</v>
      </c>
      <c r="C115">
        <v>1</v>
      </c>
      <c r="D115">
        <v>1</v>
      </c>
      <c r="E115">
        <v>1</v>
      </c>
      <c r="F115">
        <v>1</v>
      </c>
      <c r="G115">
        <v>1</v>
      </c>
      <c r="H115">
        <v>1</v>
      </c>
      <c r="I115">
        <v>1</v>
      </c>
      <c r="J115">
        <v>1</v>
      </c>
    </row>
    <row r="116" spans="1:10" x14ac:dyDescent="0.3">
      <c r="A116" t="s">
        <v>270</v>
      </c>
      <c r="B116">
        <v>13</v>
      </c>
      <c r="C116">
        <v>71</v>
      </c>
      <c r="D116">
        <v>84</v>
      </c>
      <c r="E116">
        <v>125.4</v>
      </c>
      <c r="F116">
        <v>138.80000000000001</v>
      </c>
      <c r="G116">
        <v>71</v>
      </c>
      <c r="H116">
        <v>96</v>
      </c>
      <c r="I116">
        <v>125.4</v>
      </c>
      <c r="J116">
        <v>0.4</v>
      </c>
    </row>
    <row r="117" spans="1:10" x14ac:dyDescent="0.3">
      <c r="A117" t="s">
        <v>271</v>
      </c>
      <c r="B117">
        <v>13</v>
      </c>
      <c r="C117">
        <v>84</v>
      </c>
      <c r="D117">
        <v>125.4</v>
      </c>
      <c r="E117">
        <v>138.80000000000001</v>
      </c>
      <c r="F117">
        <v>71</v>
      </c>
      <c r="G117">
        <v>96</v>
      </c>
      <c r="H117">
        <v>125.4</v>
      </c>
      <c r="I117">
        <v>0.4</v>
      </c>
      <c r="J117">
        <v>71</v>
      </c>
    </row>
    <row r="118" spans="1:10" x14ac:dyDescent="0.3">
      <c r="A118" t="s">
        <v>272</v>
      </c>
      <c r="B118">
        <v>13</v>
      </c>
      <c r="C118">
        <v>77</v>
      </c>
      <c r="D118">
        <v>118.4</v>
      </c>
      <c r="E118">
        <v>131.4</v>
      </c>
      <c r="F118">
        <v>61.8</v>
      </c>
      <c r="G118">
        <v>88.1</v>
      </c>
      <c r="H118">
        <v>118.8</v>
      </c>
      <c r="I118">
        <v>132.69999999999999</v>
      </c>
      <c r="J118">
        <v>62.1</v>
      </c>
    </row>
    <row r="119" spans="1:10" x14ac:dyDescent="0.3">
      <c r="A119" t="s">
        <v>273</v>
      </c>
      <c r="B119">
        <v>13</v>
      </c>
      <c r="C119">
        <v>77</v>
      </c>
      <c r="D119">
        <v>118.4</v>
      </c>
      <c r="E119">
        <v>131.4</v>
      </c>
      <c r="F119">
        <v>61.8</v>
      </c>
      <c r="G119">
        <v>88.1</v>
      </c>
      <c r="H119">
        <v>118.8</v>
      </c>
      <c r="I119">
        <v>132.69999999999999</v>
      </c>
      <c r="J119">
        <v>62.1</v>
      </c>
    </row>
    <row r="120" spans="1:10" x14ac:dyDescent="0.3">
      <c r="A120" t="s">
        <v>274</v>
      </c>
      <c r="B120">
        <v>13</v>
      </c>
      <c r="C120">
        <v>115</v>
      </c>
      <c r="D120">
        <v>128</v>
      </c>
      <c r="E120">
        <v>29.4</v>
      </c>
      <c r="F120">
        <v>42.8</v>
      </c>
      <c r="G120">
        <v>115</v>
      </c>
      <c r="H120">
        <v>0</v>
      </c>
      <c r="I120">
        <v>29.4</v>
      </c>
      <c r="J120">
        <v>44.4</v>
      </c>
    </row>
    <row r="121" spans="1:10" x14ac:dyDescent="0.3">
      <c r="A121" t="s">
        <v>275</v>
      </c>
      <c r="B121">
        <v>13</v>
      </c>
      <c r="C121">
        <v>121</v>
      </c>
      <c r="D121">
        <v>22.4</v>
      </c>
      <c r="E121">
        <v>35.4</v>
      </c>
      <c r="F121">
        <v>105.8</v>
      </c>
      <c r="G121">
        <v>132.1</v>
      </c>
      <c r="H121">
        <v>22.8</v>
      </c>
      <c r="I121">
        <v>36.700000000000003</v>
      </c>
      <c r="J121">
        <v>106.1</v>
      </c>
    </row>
    <row r="122" spans="1:10" x14ac:dyDescent="0.3">
      <c r="A122" t="s">
        <v>276</v>
      </c>
      <c r="B122">
        <v>13</v>
      </c>
      <c r="C122">
        <v>121</v>
      </c>
      <c r="D122">
        <v>22.4</v>
      </c>
      <c r="E122">
        <v>35.4</v>
      </c>
      <c r="F122">
        <v>105.8</v>
      </c>
      <c r="G122">
        <v>132.1</v>
      </c>
      <c r="H122">
        <v>22.8</v>
      </c>
      <c r="I122">
        <v>36.700000000000003</v>
      </c>
      <c r="J122">
        <v>106.1</v>
      </c>
    </row>
    <row r="123" spans="1:10" x14ac:dyDescent="0.3">
      <c r="A123" t="s">
        <v>567</v>
      </c>
      <c r="B123">
        <v>13</v>
      </c>
      <c r="C123">
        <v>2.7</v>
      </c>
      <c r="D123">
        <v>67.599999999999994</v>
      </c>
      <c r="E123">
        <v>4.8</v>
      </c>
      <c r="F123">
        <v>34.299999999999997</v>
      </c>
      <c r="G123">
        <v>18.399999999999999</v>
      </c>
      <c r="H123">
        <v>51.4</v>
      </c>
      <c r="I123">
        <v>7.3</v>
      </c>
      <c r="J123">
        <v>31.8</v>
      </c>
    </row>
    <row r="124" spans="1:10" x14ac:dyDescent="0.3">
      <c r="A124" t="s">
        <v>254</v>
      </c>
      <c r="B124">
        <v>17</v>
      </c>
      <c r="C124">
        <v>111</v>
      </c>
      <c r="D124">
        <v>112</v>
      </c>
      <c r="E124">
        <v>212</v>
      </c>
      <c r="F124">
        <v>211</v>
      </c>
      <c r="G124">
        <v>121</v>
      </c>
      <c r="H124">
        <v>122</v>
      </c>
      <c r="I124">
        <v>213</v>
      </c>
      <c r="J124">
        <v>214</v>
      </c>
    </row>
    <row r="125" spans="1:10" x14ac:dyDescent="0.3">
      <c r="A125" t="s">
        <v>255</v>
      </c>
      <c r="B125">
        <v>17</v>
      </c>
      <c r="C125">
        <v>10</v>
      </c>
      <c r="D125">
        <v>15</v>
      </c>
      <c r="F125">
        <v>8</v>
      </c>
      <c r="G125">
        <v>6</v>
      </c>
      <c r="H125">
        <v>15</v>
      </c>
      <c r="J125">
        <v>8</v>
      </c>
    </row>
    <row r="126" spans="1:10" x14ac:dyDescent="0.3">
      <c r="A126" t="s">
        <v>256</v>
      </c>
      <c r="B126">
        <v>17</v>
      </c>
      <c r="C126">
        <v>18</v>
      </c>
      <c r="D126">
        <v>27.3</v>
      </c>
      <c r="F126">
        <v>45</v>
      </c>
      <c r="G126">
        <v>6.3</v>
      </c>
      <c r="H126">
        <v>38.200000000000003</v>
      </c>
      <c r="J126">
        <v>46</v>
      </c>
    </row>
    <row r="127" spans="1:10" x14ac:dyDescent="0.3">
      <c r="A127" t="s">
        <v>257</v>
      </c>
      <c r="B127">
        <v>17</v>
      </c>
      <c r="C127">
        <v>2.5</v>
      </c>
      <c r="D127">
        <v>2.5</v>
      </c>
      <c r="F127">
        <v>3.5</v>
      </c>
      <c r="G127">
        <v>2.5</v>
      </c>
      <c r="H127">
        <v>2.5</v>
      </c>
      <c r="J127">
        <v>2.5</v>
      </c>
    </row>
    <row r="128" spans="1:10" x14ac:dyDescent="0.3">
      <c r="A128" t="s">
        <v>258</v>
      </c>
      <c r="B128">
        <v>17</v>
      </c>
      <c r="C128">
        <v>0</v>
      </c>
      <c r="D128">
        <v>0</v>
      </c>
      <c r="F128">
        <v>0</v>
      </c>
      <c r="G128">
        <v>0</v>
      </c>
      <c r="H128">
        <v>0</v>
      </c>
      <c r="J128">
        <v>0</v>
      </c>
    </row>
    <row r="129" spans="1:10" x14ac:dyDescent="0.3">
      <c r="A129" t="s">
        <v>259</v>
      </c>
      <c r="B129">
        <v>17</v>
      </c>
      <c r="C129">
        <v>0</v>
      </c>
      <c r="D129">
        <v>0</v>
      </c>
      <c r="F129">
        <v>0</v>
      </c>
      <c r="G129">
        <v>0</v>
      </c>
      <c r="H129">
        <v>0</v>
      </c>
      <c r="J129">
        <v>0</v>
      </c>
    </row>
    <row r="130" spans="1:10" x14ac:dyDescent="0.3">
      <c r="A130" t="s">
        <v>260</v>
      </c>
      <c r="B130">
        <v>17</v>
      </c>
      <c r="C130">
        <v>3</v>
      </c>
      <c r="D130">
        <v>3</v>
      </c>
      <c r="F130">
        <v>3</v>
      </c>
      <c r="G130">
        <v>3</v>
      </c>
      <c r="H130">
        <v>3</v>
      </c>
      <c r="J130">
        <v>3</v>
      </c>
    </row>
    <row r="131" spans="1:10" x14ac:dyDescent="0.3">
      <c r="A131" t="s">
        <v>261</v>
      </c>
      <c r="B131">
        <v>17</v>
      </c>
      <c r="C131">
        <v>3</v>
      </c>
      <c r="D131">
        <v>4.4000000000000004</v>
      </c>
      <c r="F131">
        <v>3.3</v>
      </c>
      <c r="G131">
        <v>3</v>
      </c>
      <c r="H131">
        <v>4.4000000000000004</v>
      </c>
      <c r="J131">
        <v>3</v>
      </c>
    </row>
    <row r="132" spans="1:10" x14ac:dyDescent="0.3">
      <c r="A132" t="s">
        <v>262</v>
      </c>
      <c r="B132">
        <v>17</v>
      </c>
      <c r="C132">
        <v>3.8</v>
      </c>
      <c r="D132">
        <v>2.2000000000000002</v>
      </c>
      <c r="F132">
        <v>4.7</v>
      </c>
      <c r="G132">
        <v>4.7</v>
      </c>
      <c r="H132">
        <v>2.1</v>
      </c>
      <c r="J132">
        <v>4.3</v>
      </c>
    </row>
    <row r="133" spans="1:10" x14ac:dyDescent="0.3">
      <c r="A133" t="s">
        <v>263</v>
      </c>
      <c r="B133">
        <v>17</v>
      </c>
      <c r="C133">
        <v>0</v>
      </c>
      <c r="D133">
        <v>3</v>
      </c>
      <c r="F133">
        <v>0</v>
      </c>
      <c r="G133">
        <v>0</v>
      </c>
      <c r="H133">
        <v>3</v>
      </c>
      <c r="J133">
        <v>0</v>
      </c>
    </row>
    <row r="134" spans="1:10" x14ac:dyDescent="0.3">
      <c r="A134" t="s">
        <v>264</v>
      </c>
      <c r="B134">
        <v>17</v>
      </c>
      <c r="F134">
        <v>7</v>
      </c>
      <c r="H134">
        <v>7</v>
      </c>
      <c r="J134">
        <v>7</v>
      </c>
    </row>
    <row r="135" spans="1:10" x14ac:dyDescent="0.3">
      <c r="A135" t="s">
        <v>265</v>
      </c>
      <c r="B135">
        <v>17</v>
      </c>
      <c r="F135">
        <v>35</v>
      </c>
      <c r="H135">
        <v>26</v>
      </c>
      <c r="J135">
        <v>36</v>
      </c>
    </row>
    <row r="136" spans="1:10" x14ac:dyDescent="0.3">
      <c r="A136" t="s">
        <v>266</v>
      </c>
      <c r="B136">
        <v>17</v>
      </c>
      <c r="F136">
        <v>0</v>
      </c>
      <c r="H136">
        <v>0</v>
      </c>
      <c r="J136">
        <v>0</v>
      </c>
    </row>
    <row r="137" spans="1:10" x14ac:dyDescent="0.3">
      <c r="A137" t="s">
        <v>267</v>
      </c>
      <c r="B137">
        <v>17</v>
      </c>
      <c r="C137">
        <v>16.8</v>
      </c>
      <c r="D137">
        <v>21.6</v>
      </c>
      <c r="F137">
        <v>50</v>
      </c>
      <c r="G137">
        <v>13.7</v>
      </c>
      <c r="H137">
        <v>39.5</v>
      </c>
      <c r="J137">
        <v>50.3</v>
      </c>
    </row>
    <row r="138" spans="1:10" x14ac:dyDescent="0.3">
      <c r="A138" t="s">
        <v>268</v>
      </c>
      <c r="B138">
        <v>17</v>
      </c>
      <c r="C138">
        <v>1</v>
      </c>
      <c r="D138">
        <v>1</v>
      </c>
      <c r="F138">
        <v>1</v>
      </c>
      <c r="G138">
        <v>0</v>
      </c>
      <c r="H138">
        <v>1</v>
      </c>
      <c r="J138">
        <v>1</v>
      </c>
    </row>
    <row r="139" spans="1:10" x14ac:dyDescent="0.3">
      <c r="A139" t="s">
        <v>269</v>
      </c>
      <c r="B139">
        <v>17</v>
      </c>
      <c r="C139">
        <v>1</v>
      </c>
      <c r="D139">
        <v>1</v>
      </c>
      <c r="F139">
        <v>1</v>
      </c>
      <c r="G139">
        <v>1</v>
      </c>
      <c r="H139">
        <v>1</v>
      </c>
      <c r="J139">
        <v>1</v>
      </c>
    </row>
    <row r="140" spans="1:10" x14ac:dyDescent="0.3">
      <c r="A140" t="s">
        <v>270</v>
      </c>
      <c r="B140">
        <v>17</v>
      </c>
      <c r="C140">
        <v>0</v>
      </c>
      <c r="D140">
        <v>24.8</v>
      </c>
      <c r="F140">
        <v>58.7</v>
      </c>
      <c r="G140">
        <v>0</v>
      </c>
      <c r="H140">
        <v>14</v>
      </c>
      <c r="J140">
        <v>111.7</v>
      </c>
    </row>
    <row r="141" spans="1:10" x14ac:dyDescent="0.3">
      <c r="A141" t="s">
        <v>271</v>
      </c>
      <c r="B141">
        <v>17</v>
      </c>
      <c r="C141">
        <v>24.8</v>
      </c>
      <c r="D141">
        <v>58.7</v>
      </c>
      <c r="F141">
        <v>111.7</v>
      </c>
      <c r="G141">
        <v>14</v>
      </c>
      <c r="H141">
        <v>58.7</v>
      </c>
      <c r="J141">
        <v>0</v>
      </c>
    </row>
    <row r="142" spans="1:10" x14ac:dyDescent="0.3">
      <c r="A142" t="s">
        <v>272</v>
      </c>
      <c r="B142">
        <v>17</v>
      </c>
      <c r="C142">
        <v>18</v>
      </c>
      <c r="D142">
        <v>52.1</v>
      </c>
      <c r="F142">
        <v>103.7</v>
      </c>
      <c r="G142">
        <v>6.3</v>
      </c>
      <c r="H142">
        <v>52.2</v>
      </c>
      <c r="J142">
        <v>157.69999999999999</v>
      </c>
    </row>
    <row r="143" spans="1:10" x14ac:dyDescent="0.3">
      <c r="A143" t="s">
        <v>273</v>
      </c>
      <c r="B143">
        <v>17</v>
      </c>
      <c r="C143">
        <v>18</v>
      </c>
      <c r="D143">
        <v>52.1</v>
      </c>
      <c r="F143">
        <v>103.7</v>
      </c>
      <c r="G143">
        <v>6.3</v>
      </c>
      <c r="H143">
        <v>26.2</v>
      </c>
      <c r="J143">
        <v>157.69999999999999</v>
      </c>
    </row>
    <row r="144" spans="1:10" x14ac:dyDescent="0.3">
      <c r="A144" t="s">
        <v>274</v>
      </c>
      <c r="B144">
        <v>17</v>
      </c>
      <c r="C144">
        <v>140.19999999999999</v>
      </c>
      <c r="D144">
        <v>0</v>
      </c>
      <c r="F144">
        <v>33.9</v>
      </c>
      <c r="G144">
        <v>140.19999999999999</v>
      </c>
      <c r="H144">
        <v>154.19999999999999</v>
      </c>
      <c r="J144">
        <v>86.9</v>
      </c>
    </row>
    <row r="145" spans="1:10" x14ac:dyDescent="0.3">
      <c r="A145" t="s">
        <v>275</v>
      </c>
      <c r="B145">
        <v>17</v>
      </c>
      <c r="C145">
        <v>158.19999999999999</v>
      </c>
      <c r="D145">
        <v>27.3</v>
      </c>
      <c r="F145">
        <v>78.900000000000006</v>
      </c>
      <c r="G145">
        <v>146.5</v>
      </c>
      <c r="H145">
        <v>27.4</v>
      </c>
      <c r="J145">
        <v>132.9</v>
      </c>
    </row>
    <row r="146" spans="1:10" x14ac:dyDescent="0.3">
      <c r="A146" t="s">
        <v>276</v>
      </c>
      <c r="B146">
        <v>17</v>
      </c>
      <c r="C146">
        <v>158.19999999999999</v>
      </c>
      <c r="D146">
        <v>27.3</v>
      </c>
      <c r="F146">
        <v>78.900000000000006</v>
      </c>
      <c r="G146">
        <v>146.5</v>
      </c>
      <c r="H146">
        <v>1.4</v>
      </c>
      <c r="J146">
        <v>132.9</v>
      </c>
    </row>
    <row r="147" spans="1:10" x14ac:dyDescent="0.3">
      <c r="A147" t="s">
        <v>567</v>
      </c>
      <c r="B147">
        <v>17</v>
      </c>
      <c r="C147">
        <v>5.8</v>
      </c>
      <c r="D147">
        <v>42.4</v>
      </c>
      <c r="F147">
        <v>9.5</v>
      </c>
      <c r="G147">
        <v>6.3</v>
      </c>
      <c r="H147">
        <v>41.1</v>
      </c>
      <c r="J147">
        <v>11.7</v>
      </c>
    </row>
    <row r="148" spans="1:10" x14ac:dyDescent="0.3">
      <c r="A148" t="s">
        <v>254</v>
      </c>
      <c r="B148">
        <v>21</v>
      </c>
      <c r="C148">
        <v>111</v>
      </c>
      <c r="D148">
        <v>112</v>
      </c>
      <c r="E148">
        <v>211</v>
      </c>
      <c r="F148">
        <v>212</v>
      </c>
      <c r="G148">
        <v>121</v>
      </c>
      <c r="H148">
        <v>122</v>
      </c>
      <c r="I148">
        <v>221</v>
      </c>
      <c r="J148">
        <v>222</v>
      </c>
    </row>
    <row r="149" spans="1:10" x14ac:dyDescent="0.3">
      <c r="A149" t="s">
        <v>255</v>
      </c>
      <c r="B149">
        <v>21</v>
      </c>
      <c r="C149">
        <v>6</v>
      </c>
      <c r="D149">
        <v>20</v>
      </c>
      <c r="E149">
        <v>6</v>
      </c>
      <c r="F149">
        <v>7</v>
      </c>
      <c r="G149">
        <v>6</v>
      </c>
      <c r="H149">
        <v>20</v>
      </c>
      <c r="I149">
        <v>6</v>
      </c>
      <c r="J149">
        <v>7</v>
      </c>
    </row>
    <row r="150" spans="1:10" x14ac:dyDescent="0.3">
      <c r="A150" t="s">
        <v>256</v>
      </c>
      <c r="B150">
        <v>21</v>
      </c>
      <c r="C150">
        <v>7.3</v>
      </c>
      <c r="D150">
        <v>56</v>
      </c>
      <c r="E150">
        <v>6.7</v>
      </c>
      <c r="F150">
        <v>37.9</v>
      </c>
      <c r="G150">
        <v>9.1999999999999993</v>
      </c>
      <c r="H150">
        <v>53.3</v>
      </c>
      <c r="I150">
        <v>6.7</v>
      </c>
      <c r="J150">
        <v>38</v>
      </c>
    </row>
    <row r="151" spans="1:10" x14ac:dyDescent="0.3">
      <c r="A151" t="s">
        <v>257</v>
      </c>
      <c r="B151">
        <v>21</v>
      </c>
      <c r="C151">
        <v>2.5</v>
      </c>
      <c r="D151">
        <v>3</v>
      </c>
      <c r="E151">
        <v>2.5</v>
      </c>
      <c r="F151">
        <v>3</v>
      </c>
      <c r="G151">
        <v>2.5</v>
      </c>
      <c r="H151">
        <v>3</v>
      </c>
      <c r="I151">
        <v>2.5</v>
      </c>
      <c r="J151">
        <v>3</v>
      </c>
    </row>
    <row r="152" spans="1:10" x14ac:dyDescent="0.3">
      <c r="A152" t="s">
        <v>258</v>
      </c>
      <c r="B152">
        <v>21</v>
      </c>
      <c r="C152">
        <v>0</v>
      </c>
      <c r="D152">
        <v>0</v>
      </c>
      <c r="E152">
        <v>0</v>
      </c>
      <c r="F152">
        <v>0</v>
      </c>
      <c r="G152">
        <v>0</v>
      </c>
      <c r="H152">
        <v>0</v>
      </c>
      <c r="I152">
        <v>0</v>
      </c>
      <c r="J152">
        <v>0</v>
      </c>
    </row>
    <row r="153" spans="1:10" x14ac:dyDescent="0.3">
      <c r="A153" t="s">
        <v>259</v>
      </c>
      <c r="B153">
        <v>21</v>
      </c>
      <c r="C153">
        <v>0</v>
      </c>
      <c r="D153">
        <v>0</v>
      </c>
      <c r="E153">
        <v>0</v>
      </c>
      <c r="F153">
        <v>0</v>
      </c>
      <c r="G153">
        <v>0</v>
      </c>
      <c r="H153">
        <v>0</v>
      </c>
      <c r="I153">
        <v>0</v>
      </c>
      <c r="J153">
        <v>0</v>
      </c>
    </row>
    <row r="154" spans="1:10" x14ac:dyDescent="0.3">
      <c r="A154" t="s">
        <v>260</v>
      </c>
      <c r="B154">
        <v>21</v>
      </c>
      <c r="C154">
        <v>3</v>
      </c>
      <c r="D154">
        <v>3</v>
      </c>
      <c r="E154">
        <v>3</v>
      </c>
      <c r="F154">
        <v>3</v>
      </c>
      <c r="G154">
        <v>3</v>
      </c>
      <c r="H154">
        <v>3</v>
      </c>
      <c r="I154">
        <v>3</v>
      </c>
      <c r="J154">
        <v>3</v>
      </c>
    </row>
    <row r="155" spans="1:10" x14ac:dyDescent="0.3">
      <c r="A155" t="s">
        <v>261</v>
      </c>
      <c r="B155">
        <v>21</v>
      </c>
      <c r="C155">
        <v>3</v>
      </c>
      <c r="D155">
        <v>4.3</v>
      </c>
      <c r="E155">
        <v>3</v>
      </c>
      <c r="F155">
        <v>4.4000000000000004</v>
      </c>
      <c r="G155">
        <v>3</v>
      </c>
      <c r="H155">
        <v>4.3</v>
      </c>
      <c r="I155">
        <v>3</v>
      </c>
      <c r="J155">
        <v>4.4000000000000004</v>
      </c>
    </row>
    <row r="156" spans="1:10" x14ac:dyDescent="0.3">
      <c r="A156" t="s">
        <v>262</v>
      </c>
      <c r="B156">
        <v>21</v>
      </c>
      <c r="C156">
        <v>4.7</v>
      </c>
      <c r="D156">
        <v>3.9</v>
      </c>
      <c r="E156">
        <v>6</v>
      </c>
      <c r="F156">
        <v>2.8</v>
      </c>
      <c r="G156">
        <v>5.6</v>
      </c>
      <c r="H156">
        <v>3.8</v>
      </c>
      <c r="I156">
        <v>6</v>
      </c>
      <c r="J156">
        <v>2.7</v>
      </c>
    </row>
    <row r="157" spans="1:10" x14ac:dyDescent="0.3">
      <c r="A157" t="s">
        <v>263</v>
      </c>
      <c r="B157">
        <v>21</v>
      </c>
      <c r="C157">
        <v>0</v>
      </c>
      <c r="D157">
        <v>3</v>
      </c>
      <c r="E157">
        <v>0</v>
      </c>
      <c r="F157">
        <v>3</v>
      </c>
      <c r="G157">
        <v>0</v>
      </c>
      <c r="H157">
        <v>3</v>
      </c>
      <c r="I157">
        <v>0</v>
      </c>
      <c r="J157">
        <v>3</v>
      </c>
    </row>
    <row r="158" spans="1:10" x14ac:dyDescent="0.3">
      <c r="A158" t="s">
        <v>264</v>
      </c>
      <c r="B158">
        <v>21</v>
      </c>
      <c r="D158">
        <v>7</v>
      </c>
      <c r="F158">
        <v>7</v>
      </c>
      <c r="H158">
        <v>7</v>
      </c>
      <c r="J158">
        <v>7</v>
      </c>
    </row>
    <row r="159" spans="1:10" x14ac:dyDescent="0.3">
      <c r="A159" t="s">
        <v>265</v>
      </c>
      <c r="B159">
        <v>21</v>
      </c>
      <c r="D159">
        <v>45</v>
      </c>
      <c r="F159">
        <v>24</v>
      </c>
      <c r="H159">
        <v>41</v>
      </c>
      <c r="J159">
        <v>27</v>
      </c>
    </row>
    <row r="160" spans="1:10" x14ac:dyDescent="0.3">
      <c r="A160" t="s">
        <v>266</v>
      </c>
      <c r="B160">
        <v>21</v>
      </c>
      <c r="D160">
        <v>0</v>
      </c>
      <c r="F160">
        <v>0</v>
      </c>
      <c r="H160">
        <v>0</v>
      </c>
      <c r="J160">
        <v>0</v>
      </c>
    </row>
    <row r="161" spans="1:10" x14ac:dyDescent="0.3">
      <c r="A161" t="s">
        <v>267</v>
      </c>
      <c r="B161">
        <v>21</v>
      </c>
      <c r="C161">
        <v>13.7</v>
      </c>
      <c r="D161">
        <v>64.2</v>
      </c>
      <c r="E161">
        <v>15.7</v>
      </c>
      <c r="F161">
        <v>43.2</v>
      </c>
      <c r="G161">
        <v>14.6</v>
      </c>
      <c r="H161">
        <v>59.1</v>
      </c>
      <c r="I161">
        <v>15.7</v>
      </c>
      <c r="J161">
        <v>45.1</v>
      </c>
    </row>
    <row r="162" spans="1:10" x14ac:dyDescent="0.3">
      <c r="A162" t="s">
        <v>268</v>
      </c>
      <c r="B162">
        <v>21</v>
      </c>
      <c r="C162">
        <v>0</v>
      </c>
      <c r="D162">
        <v>1</v>
      </c>
      <c r="E162">
        <v>0</v>
      </c>
      <c r="F162">
        <v>1</v>
      </c>
      <c r="G162">
        <v>0</v>
      </c>
      <c r="H162">
        <v>1</v>
      </c>
      <c r="I162">
        <v>0</v>
      </c>
      <c r="J162">
        <v>1</v>
      </c>
    </row>
    <row r="163" spans="1:10" x14ac:dyDescent="0.3">
      <c r="A163" t="s">
        <v>269</v>
      </c>
      <c r="B163">
        <v>21</v>
      </c>
      <c r="C163">
        <v>1</v>
      </c>
      <c r="D163">
        <v>1</v>
      </c>
      <c r="E163">
        <v>1</v>
      </c>
      <c r="F163">
        <v>1</v>
      </c>
      <c r="G163">
        <v>1</v>
      </c>
      <c r="H163">
        <v>1</v>
      </c>
      <c r="I163">
        <v>1</v>
      </c>
      <c r="J163">
        <v>1</v>
      </c>
    </row>
    <row r="164" spans="1:10" x14ac:dyDescent="0.3">
      <c r="A164" t="s">
        <v>270</v>
      </c>
      <c r="B164">
        <v>21</v>
      </c>
      <c r="C164">
        <v>112.1</v>
      </c>
      <c r="D164">
        <v>127.1</v>
      </c>
      <c r="E164">
        <v>51.3</v>
      </c>
      <c r="F164">
        <v>67</v>
      </c>
      <c r="G164">
        <v>112.1</v>
      </c>
      <c r="H164">
        <v>129.9</v>
      </c>
      <c r="I164">
        <v>51.3</v>
      </c>
      <c r="J164">
        <v>67</v>
      </c>
    </row>
    <row r="165" spans="1:10" x14ac:dyDescent="0.3">
      <c r="A165" t="s">
        <v>271</v>
      </c>
      <c r="B165">
        <v>21</v>
      </c>
      <c r="C165">
        <v>127.1</v>
      </c>
      <c r="D165">
        <v>51.3</v>
      </c>
      <c r="E165">
        <v>67</v>
      </c>
      <c r="F165">
        <v>112.1</v>
      </c>
      <c r="G165">
        <v>129.9</v>
      </c>
      <c r="H165">
        <v>51.3</v>
      </c>
      <c r="I165">
        <v>67</v>
      </c>
      <c r="J165">
        <v>112.1</v>
      </c>
    </row>
    <row r="166" spans="1:10" x14ac:dyDescent="0.3">
      <c r="A166" t="s">
        <v>272</v>
      </c>
      <c r="B166">
        <v>21</v>
      </c>
      <c r="C166">
        <v>119.4</v>
      </c>
      <c r="D166">
        <v>43.1</v>
      </c>
      <c r="E166">
        <v>58</v>
      </c>
      <c r="F166">
        <v>104.9</v>
      </c>
      <c r="G166">
        <v>121.3</v>
      </c>
      <c r="H166">
        <v>43.2</v>
      </c>
      <c r="I166">
        <v>58</v>
      </c>
      <c r="J166">
        <v>105</v>
      </c>
    </row>
    <row r="167" spans="1:10" x14ac:dyDescent="0.3">
      <c r="A167" t="s">
        <v>273</v>
      </c>
      <c r="B167">
        <v>21</v>
      </c>
      <c r="C167">
        <v>119.4</v>
      </c>
      <c r="D167">
        <v>138.1</v>
      </c>
      <c r="E167">
        <v>58</v>
      </c>
      <c r="F167">
        <v>80.900000000000006</v>
      </c>
      <c r="G167">
        <v>121.3</v>
      </c>
      <c r="H167">
        <v>2.2000000000000002</v>
      </c>
      <c r="I167">
        <v>58</v>
      </c>
      <c r="J167">
        <v>78</v>
      </c>
    </row>
    <row r="168" spans="1:10" x14ac:dyDescent="0.3">
      <c r="A168" t="s">
        <v>274</v>
      </c>
      <c r="B168">
        <v>21</v>
      </c>
      <c r="C168">
        <v>45.1</v>
      </c>
      <c r="D168">
        <v>60.1</v>
      </c>
      <c r="E168">
        <v>124.3</v>
      </c>
      <c r="F168">
        <v>0</v>
      </c>
      <c r="G168">
        <v>45.1</v>
      </c>
      <c r="H168">
        <v>62.9</v>
      </c>
      <c r="I168">
        <v>124.3</v>
      </c>
      <c r="J168">
        <v>0</v>
      </c>
    </row>
    <row r="169" spans="1:10" x14ac:dyDescent="0.3">
      <c r="A169" t="s">
        <v>275</v>
      </c>
      <c r="B169">
        <v>21</v>
      </c>
      <c r="C169">
        <v>52.4</v>
      </c>
      <c r="D169">
        <v>116.1</v>
      </c>
      <c r="E169">
        <v>131</v>
      </c>
      <c r="F169">
        <v>37.9</v>
      </c>
      <c r="G169">
        <v>54.3</v>
      </c>
      <c r="H169">
        <v>116.2</v>
      </c>
      <c r="I169">
        <v>131</v>
      </c>
      <c r="J169">
        <v>38</v>
      </c>
    </row>
    <row r="170" spans="1:10" x14ac:dyDescent="0.3">
      <c r="A170" t="s">
        <v>276</v>
      </c>
      <c r="B170">
        <v>21</v>
      </c>
      <c r="C170">
        <v>52.4</v>
      </c>
      <c r="D170">
        <v>71.099999999999994</v>
      </c>
      <c r="E170">
        <v>131</v>
      </c>
      <c r="F170">
        <v>13.9</v>
      </c>
      <c r="G170">
        <v>54.3</v>
      </c>
      <c r="H170">
        <v>75.2</v>
      </c>
      <c r="I170">
        <v>131</v>
      </c>
      <c r="J170">
        <v>11</v>
      </c>
    </row>
    <row r="171" spans="1:10" x14ac:dyDescent="0.3">
      <c r="A171" t="s">
        <v>567</v>
      </c>
      <c r="B171">
        <v>21</v>
      </c>
      <c r="C171">
        <v>5.8</v>
      </c>
      <c r="D171">
        <v>59</v>
      </c>
      <c r="E171">
        <v>1.2</v>
      </c>
      <c r="F171">
        <v>41.9</v>
      </c>
      <c r="G171">
        <v>9</v>
      </c>
      <c r="H171">
        <v>55</v>
      </c>
      <c r="I171">
        <v>3.9</v>
      </c>
      <c r="J171">
        <v>39.299999999999997</v>
      </c>
    </row>
    <row r="172" spans="1:10" x14ac:dyDescent="0.3">
      <c r="A172" t="s">
        <v>254</v>
      </c>
      <c r="B172">
        <v>25</v>
      </c>
      <c r="C172">
        <v>111</v>
      </c>
      <c r="D172">
        <v>112</v>
      </c>
      <c r="E172">
        <v>211</v>
      </c>
      <c r="F172">
        <v>212</v>
      </c>
      <c r="G172">
        <v>121</v>
      </c>
      <c r="H172">
        <v>122</v>
      </c>
      <c r="I172">
        <v>221</v>
      </c>
      <c r="J172">
        <v>222</v>
      </c>
    </row>
    <row r="173" spans="1:10" x14ac:dyDescent="0.3">
      <c r="A173" t="s">
        <v>255</v>
      </c>
      <c r="B173">
        <v>25</v>
      </c>
      <c r="D173">
        <v>25</v>
      </c>
      <c r="F173">
        <v>10</v>
      </c>
      <c r="G173">
        <v>5</v>
      </c>
      <c r="H173">
        <v>25</v>
      </c>
    </row>
    <row r="174" spans="1:10" x14ac:dyDescent="0.3">
      <c r="A174" t="s">
        <v>256</v>
      </c>
      <c r="B174">
        <v>25</v>
      </c>
      <c r="D174">
        <v>100.7</v>
      </c>
      <c r="F174">
        <v>26.7</v>
      </c>
      <c r="G174">
        <v>10</v>
      </c>
      <c r="H174">
        <v>84.7</v>
      </c>
    </row>
    <row r="175" spans="1:10" x14ac:dyDescent="0.3">
      <c r="A175" t="s">
        <v>257</v>
      </c>
      <c r="B175">
        <v>25</v>
      </c>
      <c r="D175">
        <v>2.5</v>
      </c>
      <c r="F175">
        <v>2.5</v>
      </c>
      <c r="G175">
        <v>2.5</v>
      </c>
      <c r="H175">
        <v>2.5</v>
      </c>
    </row>
    <row r="176" spans="1:10" x14ac:dyDescent="0.3">
      <c r="A176" t="s">
        <v>258</v>
      </c>
      <c r="B176">
        <v>25</v>
      </c>
      <c r="D176">
        <v>0</v>
      </c>
      <c r="F176">
        <v>0</v>
      </c>
      <c r="G176">
        <v>0</v>
      </c>
      <c r="H176">
        <v>0</v>
      </c>
    </row>
    <row r="177" spans="1:8" x14ac:dyDescent="0.3">
      <c r="A177" t="s">
        <v>259</v>
      </c>
      <c r="B177">
        <v>25</v>
      </c>
      <c r="D177">
        <v>0</v>
      </c>
      <c r="F177">
        <v>0</v>
      </c>
      <c r="G177">
        <v>0</v>
      </c>
      <c r="H177">
        <v>0</v>
      </c>
    </row>
    <row r="178" spans="1:8" x14ac:dyDescent="0.3">
      <c r="A178" t="s">
        <v>260</v>
      </c>
      <c r="B178">
        <v>25</v>
      </c>
      <c r="D178">
        <v>3</v>
      </c>
      <c r="F178">
        <v>3</v>
      </c>
      <c r="G178">
        <v>3</v>
      </c>
      <c r="H178">
        <v>3</v>
      </c>
    </row>
    <row r="179" spans="1:8" x14ac:dyDescent="0.3">
      <c r="A179" t="s">
        <v>261</v>
      </c>
      <c r="B179">
        <v>25</v>
      </c>
      <c r="D179">
        <v>4.4000000000000004</v>
      </c>
      <c r="F179">
        <v>3</v>
      </c>
      <c r="G179">
        <v>3</v>
      </c>
      <c r="H179">
        <v>4.4000000000000004</v>
      </c>
    </row>
    <row r="180" spans="1:8" x14ac:dyDescent="0.3">
      <c r="A180" t="s">
        <v>262</v>
      </c>
      <c r="B180">
        <v>25</v>
      </c>
      <c r="D180">
        <v>1.9</v>
      </c>
      <c r="F180">
        <v>3.3</v>
      </c>
      <c r="G180">
        <v>3</v>
      </c>
      <c r="H180">
        <v>1.9</v>
      </c>
    </row>
    <row r="181" spans="1:8" x14ac:dyDescent="0.3">
      <c r="A181" t="s">
        <v>263</v>
      </c>
      <c r="B181">
        <v>25</v>
      </c>
      <c r="D181">
        <v>3</v>
      </c>
      <c r="F181">
        <v>0</v>
      </c>
      <c r="G181">
        <v>0</v>
      </c>
      <c r="H181">
        <v>3</v>
      </c>
    </row>
    <row r="182" spans="1:8" x14ac:dyDescent="0.3">
      <c r="A182" t="s">
        <v>264</v>
      </c>
      <c r="B182">
        <v>25</v>
      </c>
      <c r="H182">
        <v>7</v>
      </c>
    </row>
    <row r="183" spans="1:8" x14ac:dyDescent="0.3">
      <c r="A183" t="s">
        <v>265</v>
      </c>
      <c r="B183">
        <v>25</v>
      </c>
      <c r="H183">
        <v>11</v>
      </c>
    </row>
    <row r="184" spans="1:8" x14ac:dyDescent="0.3">
      <c r="A184" t="s">
        <v>266</v>
      </c>
      <c r="B184">
        <v>25</v>
      </c>
      <c r="H184">
        <v>0</v>
      </c>
    </row>
    <row r="185" spans="1:8" x14ac:dyDescent="0.3">
      <c r="A185" t="s">
        <v>267</v>
      </c>
      <c r="B185">
        <v>25</v>
      </c>
      <c r="D185">
        <v>31.3</v>
      </c>
      <c r="F185">
        <v>22.5</v>
      </c>
      <c r="G185">
        <v>11</v>
      </c>
      <c r="H185">
        <v>31.3</v>
      </c>
    </row>
    <row r="186" spans="1:8" x14ac:dyDescent="0.3">
      <c r="A186" t="s">
        <v>268</v>
      </c>
      <c r="B186">
        <v>25</v>
      </c>
      <c r="D186">
        <v>1</v>
      </c>
      <c r="F186">
        <v>1</v>
      </c>
      <c r="G186">
        <v>0</v>
      </c>
      <c r="H186">
        <v>1</v>
      </c>
    </row>
    <row r="187" spans="1:8" x14ac:dyDescent="0.3">
      <c r="A187" t="s">
        <v>269</v>
      </c>
      <c r="B187">
        <v>25</v>
      </c>
      <c r="D187">
        <v>1</v>
      </c>
      <c r="F187">
        <v>1</v>
      </c>
      <c r="G187">
        <v>1</v>
      </c>
      <c r="H187">
        <v>1</v>
      </c>
    </row>
    <row r="188" spans="1:8" x14ac:dyDescent="0.3">
      <c r="A188" t="s">
        <v>270</v>
      </c>
      <c r="B188">
        <v>25</v>
      </c>
      <c r="D188">
        <v>98</v>
      </c>
      <c r="F188">
        <v>65</v>
      </c>
      <c r="G188">
        <v>98</v>
      </c>
      <c r="H188">
        <v>114</v>
      </c>
    </row>
    <row r="189" spans="1:8" x14ac:dyDescent="0.3">
      <c r="A189" t="s">
        <v>271</v>
      </c>
      <c r="B189">
        <v>25</v>
      </c>
      <c r="D189">
        <v>65</v>
      </c>
      <c r="F189">
        <v>98</v>
      </c>
      <c r="G189">
        <v>114</v>
      </c>
      <c r="H189">
        <v>65</v>
      </c>
    </row>
    <row r="190" spans="1:8" x14ac:dyDescent="0.3">
      <c r="A190" t="s">
        <v>272</v>
      </c>
      <c r="B190">
        <v>25</v>
      </c>
      <c r="D190">
        <v>58.7</v>
      </c>
      <c r="F190">
        <v>91.7</v>
      </c>
      <c r="G190">
        <v>108</v>
      </c>
      <c r="H190">
        <v>58.7</v>
      </c>
    </row>
    <row r="191" spans="1:8" x14ac:dyDescent="0.3">
      <c r="A191" t="s">
        <v>273</v>
      </c>
      <c r="B191">
        <v>25</v>
      </c>
      <c r="D191">
        <v>58.7</v>
      </c>
      <c r="F191">
        <v>91.7</v>
      </c>
      <c r="G191">
        <v>108</v>
      </c>
      <c r="H191">
        <v>47.7</v>
      </c>
    </row>
    <row r="192" spans="1:8" x14ac:dyDescent="0.3">
      <c r="A192" t="s">
        <v>274</v>
      </c>
      <c r="B192">
        <v>25</v>
      </c>
      <c r="D192">
        <v>124</v>
      </c>
      <c r="F192">
        <v>91</v>
      </c>
      <c r="G192">
        <v>124</v>
      </c>
      <c r="H192">
        <v>0</v>
      </c>
    </row>
    <row r="193" spans="1:10" x14ac:dyDescent="0.3">
      <c r="A193" t="s">
        <v>275</v>
      </c>
      <c r="B193">
        <v>25</v>
      </c>
      <c r="D193">
        <v>84.7</v>
      </c>
      <c r="F193">
        <v>117.7</v>
      </c>
      <c r="G193">
        <v>134</v>
      </c>
      <c r="H193">
        <v>84.7</v>
      </c>
    </row>
    <row r="194" spans="1:10" x14ac:dyDescent="0.3">
      <c r="A194" t="s">
        <v>276</v>
      </c>
      <c r="B194">
        <v>25</v>
      </c>
      <c r="D194">
        <v>84.7</v>
      </c>
      <c r="F194">
        <v>117.7</v>
      </c>
      <c r="G194">
        <v>134</v>
      </c>
      <c r="H194">
        <v>73.7</v>
      </c>
    </row>
    <row r="195" spans="1:10" x14ac:dyDescent="0.3">
      <c r="A195" t="s">
        <v>567</v>
      </c>
      <c r="B195">
        <v>25</v>
      </c>
      <c r="D195">
        <v>109.6</v>
      </c>
      <c r="F195">
        <v>17.8</v>
      </c>
      <c r="G195">
        <v>7.7</v>
      </c>
      <c r="H195">
        <v>95.9</v>
      </c>
    </row>
    <row r="196" spans="1:10" x14ac:dyDescent="0.3">
      <c r="A196" t="s">
        <v>254</v>
      </c>
      <c r="B196">
        <v>26</v>
      </c>
      <c r="C196">
        <v>111</v>
      </c>
      <c r="D196">
        <v>112</v>
      </c>
      <c r="E196">
        <v>211</v>
      </c>
      <c r="F196">
        <v>212</v>
      </c>
      <c r="G196">
        <v>121</v>
      </c>
      <c r="H196">
        <v>122</v>
      </c>
      <c r="I196">
        <v>221</v>
      </c>
      <c r="J196">
        <v>222</v>
      </c>
    </row>
    <row r="197" spans="1:10" x14ac:dyDescent="0.3">
      <c r="A197" t="s">
        <v>255</v>
      </c>
      <c r="B197">
        <v>26</v>
      </c>
      <c r="D197">
        <v>15</v>
      </c>
      <c r="G197">
        <v>6</v>
      </c>
      <c r="H197">
        <v>15</v>
      </c>
      <c r="J197">
        <v>6</v>
      </c>
    </row>
    <row r="198" spans="1:10" x14ac:dyDescent="0.3">
      <c r="A198" t="s">
        <v>256</v>
      </c>
      <c r="B198">
        <v>26</v>
      </c>
      <c r="D198">
        <v>87.5</v>
      </c>
      <c r="G198">
        <v>22.6</v>
      </c>
      <c r="H198">
        <v>58.5</v>
      </c>
      <c r="J198">
        <v>38.700000000000003</v>
      </c>
    </row>
    <row r="199" spans="1:10" x14ac:dyDescent="0.3">
      <c r="A199" t="s">
        <v>257</v>
      </c>
      <c r="B199">
        <v>26</v>
      </c>
      <c r="D199">
        <v>2.5</v>
      </c>
      <c r="G199">
        <v>2.5</v>
      </c>
      <c r="H199">
        <v>2.5</v>
      </c>
      <c r="J199">
        <v>3.3</v>
      </c>
    </row>
    <row r="200" spans="1:10" x14ac:dyDescent="0.3">
      <c r="A200" t="s">
        <v>258</v>
      </c>
      <c r="B200">
        <v>26</v>
      </c>
      <c r="D200">
        <v>0</v>
      </c>
      <c r="G200">
        <v>0</v>
      </c>
      <c r="H200">
        <v>0</v>
      </c>
      <c r="J200">
        <v>0</v>
      </c>
    </row>
    <row r="201" spans="1:10" x14ac:dyDescent="0.3">
      <c r="A201" t="s">
        <v>259</v>
      </c>
      <c r="B201">
        <v>26</v>
      </c>
      <c r="D201">
        <v>0</v>
      </c>
      <c r="G201">
        <v>0</v>
      </c>
      <c r="H201">
        <v>0</v>
      </c>
      <c r="J201">
        <v>0</v>
      </c>
    </row>
    <row r="202" spans="1:10" x14ac:dyDescent="0.3">
      <c r="A202" t="s">
        <v>260</v>
      </c>
      <c r="B202">
        <v>26</v>
      </c>
      <c r="D202">
        <v>3</v>
      </c>
      <c r="G202">
        <v>3</v>
      </c>
      <c r="H202">
        <v>3</v>
      </c>
      <c r="J202">
        <v>3</v>
      </c>
    </row>
    <row r="203" spans="1:10" x14ac:dyDescent="0.3">
      <c r="A203" t="s">
        <v>261</v>
      </c>
      <c r="B203">
        <v>26</v>
      </c>
      <c r="D203">
        <v>4.4000000000000004</v>
      </c>
      <c r="G203">
        <v>3</v>
      </c>
      <c r="H203">
        <v>4.4000000000000004</v>
      </c>
      <c r="J203">
        <v>3</v>
      </c>
    </row>
    <row r="204" spans="1:10" x14ac:dyDescent="0.3">
      <c r="A204" t="s">
        <v>262</v>
      </c>
      <c r="B204">
        <v>26</v>
      </c>
      <c r="D204">
        <v>2.1</v>
      </c>
      <c r="G204">
        <v>3.4</v>
      </c>
      <c r="H204">
        <v>2.1</v>
      </c>
      <c r="J204">
        <v>4.3</v>
      </c>
    </row>
    <row r="205" spans="1:10" x14ac:dyDescent="0.3">
      <c r="A205" t="s">
        <v>263</v>
      </c>
      <c r="B205">
        <v>26</v>
      </c>
      <c r="D205">
        <v>3</v>
      </c>
      <c r="G205">
        <v>0</v>
      </c>
      <c r="H205">
        <v>3</v>
      </c>
      <c r="J205">
        <v>0</v>
      </c>
    </row>
    <row r="206" spans="1:10" x14ac:dyDescent="0.3">
      <c r="A206" t="s">
        <v>264</v>
      </c>
      <c r="B206">
        <v>26</v>
      </c>
      <c r="H206">
        <v>7</v>
      </c>
    </row>
    <row r="207" spans="1:10" x14ac:dyDescent="0.3">
      <c r="A207" t="s">
        <v>265</v>
      </c>
      <c r="B207">
        <v>26</v>
      </c>
      <c r="H207">
        <v>18</v>
      </c>
    </row>
    <row r="208" spans="1:10" x14ac:dyDescent="0.3">
      <c r="A208" t="s">
        <v>266</v>
      </c>
      <c r="B208">
        <v>26</v>
      </c>
      <c r="H208">
        <v>0</v>
      </c>
    </row>
    <row r="209" spans="1:10" x14ac:dyDescent="0.3">
      <c r="A209" t="s">
        <v>267</v>
      </c>
      <c r="B209">
        <v>26</v>
      </c>
      <c r="D209">
        <v>26.8</v>
      </c>
      <c r="G209">
        <v>19.5</v>
      </c>
      <c r="H209">
        <v>35.5</v>
      </c>
      <c r="J209">
        <v>26.6</v>
      </c>
    </row>
    <row r="210" spans="1:10" x14ac:dyDescent="0.3">
      <c r="A210" t="s">
        <v>268</v>
      </c>
      <c r="B210">
        <v>26</v>
      </c>
      <c r="D210">
        <v>1</v>
      </c>
      <c r="G210">
        <v>0</v>
      </c>
      <c r="H210">
        <v>1</v>
      </c>
      <c r="J210">
        <v>1</v>
      </c>
    </row>
    <row r="211" spans="1:10" x14ac:dyDescent="0.3">
      <c r="A211" t="s">
        <v>269</v>
      </c>
      <c r="B211">
        <v>26</v>
      </c>
      <c r="D211">
        <v>1</v>
      </c>
      <c r="G211">
        <v>1</v>
      </c>
      <c r="H211">
        <v>1</v>
      </c>
      <c r="J211">
        <v>1</v>
      </c>
    </row>
    <row r="212" spans="1:10" x14ac:dyDescent="0.3">
      <c r="A212" t="s">
        <v>270</v>
      </c>
      <c r="B212">
        <v>26</v>
      </c>
      <c r="D212">
        <v>136</v>
      </c>
      <c r="G212">
        <v>136</v>
      </c>
      <c r="H212">
        <v>25</v>
      </c>
      <c r="J212">
        <v>90</v>
      </c>
    </row>
    <row r="213" spans="1:10" x14ac:dyDescent="0.3">
      <c r="A213" t="s">
        <v>271</v>
      </c>
      <c r="B213">
        <v>26</v>
      </c>
      <c r="D213">
        <v>90</v>
      </c>
      <c r="G213">
        <v>25</v>
      </c>
      <c r="H213">
        <v>90</v>
      </c>
      <c r="J213">
        <v>136</v>
      </c>
    </row>
    <row r="214" spans="1:10" x14ac:dyDescent="0.3">
      <c r="A214" t="s">
        <v>272</v>
      </c>
      <c r="B214">
        <v>26</v>
      </c>
      <c r="D214">
        <v>83.5</v>
      </c>
      <c r="G214">
        <v>18.600000000000001</v>
      </c>
      <c r="H214">
        <v>83.5</v>
      </c>
      <c r="J214">
        <v>128.69999999999999</v>
      </c>
    </row>
    <row r="215" spans="1:10" x14ac:dyDescent="0.3">
      <c r="A215" t="s">
        <v>273</v>
      </c>
      <c r="B215">
        <v>26</v>
      </c>
      <c r="D215">
        <v>83.5</v>
      </c>
      <c r="G215">
        <v>18.600000000000001</v>
      </c>
      <c r="H215">
        <v>65.5</v>
      </c>
      <c r="J215">
        <v>128.69999999999999</v>
      </c>
    </row>
    <row r="216" spans="1:10" x14ac:dyDescent="0.3">
      <c r="A216" t="s">
        <v>274</v>
      </c>
      <c r="B216">
        <v>26</v>
      </c>
      <c r="D216">
        <v>111</v>
      </c>
      <c r="G216">
        <v>111</v>
      </c>
      <c r="H216">
        <v>0</v>
      </c>
      <c r="J216">
        <v>65</v>
      </c>
    </row>
    <row r="217" spans="1:10" x14ac:dyDescent="0.3">
      <c r="A217" t="s">
        <v>275</v>
      </c>
      <c r="B217">
        <v>26</v>
      </c>
      <c r="D217">
        <v>58.5</v>
      </c>
      <c r="G217">
        <v>133.6</v>
      </c>
      <c r="H217">
        <v>58.5</v>
      </c>
      <c r="J217">
        <v>103.7</v>
      </c>
    </row>
    <row r="218" spans="1:10" x14ac:dyDescent="0.3">
      <c r="A218" t="s">
        <v>276</v>
      </c>
      <c r="B218">
        <v>26</v>
      </c>
      <c r="D218">
        <v>58.5</v>
      </c>
      <c r="G218">
        <v>133.6</v>
      </c>
      <c r="H218">
        <v>40.5</v>
      </c>
      <c r="J218">
        <v>103.7</v>
      </c>
    </row>
    <row r="219" spans="1:10" x14ac:dyDescent="0.3">
      <c r="A219" t="s">
        <v>567</v>
      </c>
      <c r="B219">
        <v>26</v>
      </c>
      <c r="D219">
        <v>111.8</v>
      </c>
      <c r="G219">
        <v>8.1</v>
      </c>
      <c r="H219">
        <v>97.3</v>
      </c>
      <c r="J219">
        <v>14.4</v>
      </c>
    </row>
    <row r="220" spans="1:10" x14ac:dyDescent="0.3">
      <c r="A220" t="s">
        <v>254</v>
      </c>
      <c r="B220">
        <v>27</v>
      </c>
      <c r="C220">
        <v>111</v>
      </c>
      <c r="D220">
        <v>112</v>
      </c>
      <c r="E220">
        <v>211</v>
      </c>
      <c r="F220">
        <v>212</v>
      </c>
      <c r="G220">
        <v>121</v>
      </c>
      <c r="H220">
        <v>122</v>
      </c>
      <c r="I220">
        <v>221</v>
      </c>
      <c r="J220">
        <v>222</v>
      </c>
    </row>
    <row r="221" spans="1:10" x14ac:dyDescent="0.3">
      <c r="A221" t="s">
        <v>255</v>
      </c>
      <c r="B221">
        <v>27</v>
      </c>
      <c r="D221">
        <v>25</v>
      </c>
      <c r="F221">
        <v>8</v>
      </c>
      <c r="G221">
        <v>6</v>
      </c>
      <c r="H221">
        <v>25</v>
      </c>
    </row>
    <row r="222" spans="1:10" x14ac:dyDescent="0.3">
      <c r="A222" t="s">
        <v>256</v>
      </c>
      <c r="B222">
        <v>27</v>
      </c>
      <c r="D222">
        <v>96.2</v>
      </c>
      <c r="F222">
        <v>30.7</v>
      </c>
      <c r="G222">
        <v>14</v>
      </c>
      <c r="H222">
        <v>74.7</v>
      </c>
    </row>
    <row r="223" spans="1:10" x14ac:dyDescent="0.3">
      <c r="A223" t="s">
        <v>257</v>
      </c>
      <c r="B223">
        <v>27</v>
      </c>
      <c r="D223">
        <v>6</v>
      </c>
      <c r="F223">
        <v>2.5</v>
      </c>
      <c r="G223">
        <v>2.5</v>
      </c>
      <c r="H223">
        <v>6</v>
      </c>
    </row>
    <row r="224" spans="1:10" x14ac:dyDescent="0.3">
      <c r="A224" t="s">
        <v>258</v>
      </c>
      <c r="B224">
        <v>27</v>
      </c>
      <c r="D224">
        <v>0</v>
      </c>
      <c r="F224">
        <v>0</v>
      </c>
      <c r="G224">
        <v>0</v>
      </c>
      <c r="H224">
        <v>0</v>
      </c>
    </row>
    <row r="225" spans="1:8" x14ac:dyDescent="0.3">
      <c r="A225" t="s">
        <v>259</v>
      </c>
      <c r="B225">
        <v>27</v>
      </c>
      <c r="D225">
        <v>0</v>
      </c>
      <c r="F225">
        <v>0</v>
      </c>
      <c r="G225">
        <v>0</v>
      </c>
      <c r="H225">
        <v>0</v>
      </c>
    </row>
    <row r="226" spans="1:8" x14ac:dyDescent="0.3">
      <c r="A226" t="s">
        <v>260</v>
      </c>
      <c r="B226">
        <v>27</v>
      </c>
      <c r="D226">
        <v>3</v>
      </c>
      <c r="F226">
        <v>3</v>
      </c>
      <c r="G226">
        <v>3</v>
      </c>
      <c r="H226">
        <v>3</v>
      </c>
    </row>
    <row r="227" spans="1:8" x14ac:dyDescent="0.3">
      <c r="A227" t="s">
        <v>261</v>
      </c>
      <c r="B227">
        <v>27</v>
      </c>
      <c r="D227">
        <v>4.4000000000000004</v>
      </c>
      <c r="F227">
        <v>3</v>
      </c>
      <c r="G227">
        <v>3</v>
      </c>
      <c r="H227">
        <v>4.4000000000000004</v>
      </c>
    </row>
    <row r="228" spans="1:8" x14ac:dyDescent="0.3">
      <c r="A228" t="s">
        <v>262</v>
      </c>
      <c r="B228">
        <v>27</v>
      </c>
      <c r="D228">
        <v>1.4</v>
      </c>
      <c r="F228">
        <v>4.3</v>
      </c>
      <c r="G228">
        <v>4</v>
      </c>
      <c r="H228">
        <v>1.9</v>
      </c>
    </row>
    <row r="229" spans="1:8" x14ac:dyDescent="0.3">
      <c r="A229" t="s">
        <v>263</v>
      </c>
      <c r="B229">
        <v>27</v>
      </c>
      <c r="D229">
        <v>3</v>
      </c>
      <c r="F229">
        <v>0</v>
      </c>
      <c r="G229">
        <v>0</v>
      </c>
      <c r="H229">
        <v>3</v>
      </c>
    </row>
    <row r="230" spans="1:8" x14ac:dyDescent="0.3">
      <c r="A230" t="s">
        <v>264</v>
      </c>
      <c r="B230">
        <v>27</v>
      </c>
      <c r="H230">
        <v>7</v>
      </c>
    </row>
    <row r="231" spans="1:8" x14ac:dyDescent="0.3">
      <c r="A231" t="s">
        <v>265</v>
      </c>
      <c r="B231">
        <v>27</v>
      </c>
      <c r="H231">
        <v>23</v>
      </c>
    </row>
    <row r="232" spans="1:8" x14ac:dyDescent="0.3">
      <c r="A232" t="s">
        <v>266</v>
      </c>
      <c r="B232">
        <v>27</v>
      </c>
      <c r="H232">
        <v>0</v>
      </c>
    </row>
    <row r="233" spans="1:8" x14ac:dyDescent="0.3">
      <c r="A233" t="s">
        <v>267</v>
      </c>
      <c r="B233">
        <v>27</v>
      </c>
      <c r="D233">
        <v>30.8</v>
      </c>
      <c r="F233">
        <v>22.5</v>
      </c>
      <c r="G233">
        <v>13</v>
      </c>
      <c r="H233">
        <v>41.3</v>
      </c>
    </row>
    <row r="234" spans="1:8" x14ac:dyDescent="0.3">
      <c r="A234" t="s">
        <v>268</v>
      </c>
      <c r="B234">
        <v>27</v>
      </c>
      <c r="D234">
        <v>1</v>
      </c>
      <c r="F234">
        <v>1</v>
      </c>
      <c r="G234">
        <v>0</v>
      </c>
      <c r="H234">
        <v>1</v>
      </c>
    </row>
    <row r="235" spans="1:8" x14ac:dyDescent="0.3">
      <c r="A235" t="s">
        <v>269</v>
      </c>
      <c r="B235">
        <v>27</v>
      </c>
      <c r="D235">
        <v>1</v>
      </c>
      <c r="F235">
        <v>1</v>
      </c>
      <c r="G235">
        <v>1</v>
      </c>
      <c r="H235">
        <v>1</v>
      </c>
    </row>
    <row r="236" spans="1:8" x14ac:dyDescent="0.3">
      <c r="A236" t="s">
        <v>270</v>
      </c>
      <c r="B236">
        <v>27</v>
      </c>
      <c r="D236">
        <v>113</v>
      </c>
      <c r="F236">
        <v>75</v>
      </c>
      <c r="G236">
        <v>113</v>
      </c>
      <c r="H236">
        <v>134</v>
      </c>
    </row>
    <row r="237" spans="1:8" x14ac:dyDescent="0.3">
      <c r="A237" t="s">
        <v>271</v>
      </c>
      <c r="B237">
        <v>27</v>
      </c>
      <c r="D237">
        <v>75</v>
      </c>
      <c r="F237">
        <v>113</v>
      </c>
      <c r="G237">
        <v>134</v>
      </c>
      <c r="H237">
        <v>75</v>
      </c>
    </row>
    <row r="238" spans="1:8" x14ac:dyDescent="0.3">
      <c r="A238" t="s">
        <v>272</v>
      </c>
      <c r="B238">
        <v>27</v>
      </c>
      <c r="D238">
        <v>69.2</v>
      </c>
      <c r="F238">
        <v>105.7</v>
      </c>
      <c r="G238">
        <v>127</v>
      </c>
      <c r="H238">
        <v>68.7</v>
      </c>
    </row>
    <row r="239" spans="1:8" x14ac:dyDescent="0.3">
      <c r="A239" t="s">
        <v>273</v>
      </c>
      <c r="B239">
        <v>27</v>
      </c>
      <c r="D239">
        <v>69.2</v>
      </c>
      <c r="F239">
        <v>105.7</v>
      </c>
      <c r="G239">
        <v>127</v>
      </c>
      <c r="H239">
        <v>45.7</v>
      </c>
    </row>
    <row r="240" spans="1:8" x14ac:dyDescent="0.3">
      <c r="A240" t="s">
        <v>274</v>
      </c>
      <c r="B240">
        <v>27</v>
      </c>
      <c r="D240">
        <v>119</v>
      </c>
      <c r="F240">
        <v>81</v>
      </c>
      <c r="G240">
        <v>119</v>
      </c>
      <c r="H240">
        <v>0</v>
      </c>
    </row>
    <row r="241" spans="1:10" x14ac:dyDescent="0.3">
      <c r="A241" t="s">
        <v>275</v>
      </c>
      <c r="B241">
        <v>27</v>
      </c>
      <c r="D241">
        <v>75.2</v>
      </c>
      <c r="F241">
        <v>111.7</v>
      </c>
      <c r="G241">
        <v>133</v>
      </c>
      <c r="H241">
        <v>74.7</v>
      </c>
    </row>
    <row r="242" spans="1:10" x14ac:dyDescent="0.3">
      <c r="A242" t="s">
        <v>276</v>
      </c>
      <c r="B242">
        <v>27</v>
      </c>
      <c r="D242">
        <v>75.2</v>
      </c>
      <c r="F242">
        <v>111.7</v>
      </c>
      <c r="G242">
        <v>133</v>
      </c>
      <c r="H242">
        <v>51.7</v>
      </c>
    </row>
    <row r="243" spans="1:10" x14ac:dyDescent="0.3">
      <c r="A243" t="s">
        <v>567</v>
      </c>
      <c r="B243">
        <v>27</v>
      </c>
      <c r="D243">
        <v>116.2</v>
      </c>
      <c r="F243">
        <v>10.7</v>
      </c>
      <c r="G243">
        <v>2.5</v>
      </c>
      <c r="H243">
        <v>106.2</v>
      </c>
    </row>
    <row r="244" spans="1:10" x14ac:dyDescent="0.3">
      <c r="A244" t="s">
        <v>254</v>
      </c>
      <c r="B244">
        <v>28</v>
      </c>
      <c r="C244">
        <v>111</v>
      </c>
      <c r="D244">
        <v>112</v>
      </c>
      <c r="E244">
        <v>211</v>
      </c>
      <c r="F244">
        <v>212</v>
      </c>
      <c r="G244">
        <v>121</v>
      </c>
      <c r="H244">
        <v>122</v>
      </c>
      <c r="I244">
        <v>221</v>
      </c>
      <c r="J244">
        <v>222</v>
      </c>
    </row>
    <row r="245" spans="1:10" x14ac:dyDescent="0.3">
      <c r="A245" t="s">
        <v>255</v>
      </c>
      <c r="B245">
        <v>28</v>
      </c>
      <c r="D245">
        <v>10</v>
      </c>
      <c r="F245">
        <v>7</v>
      </c>
      <c r="G245">
        <v>10</v>
      </c>
      <c r="H245">
        <v>10</v>
      </c>
    </row>
    <row r="246" spans="1:10" x14ac:dyDescent="0.3">
      <c r="A246" t="s">
        <v>256</v>
      </c>
      <c r="B246">
        <v>28</v>
      </c>
      <c r="D246">
        <v>99.9</v>
      </c>
      <c r="F246">
        <v>25.7</v>
      </c>
      <c r="G246">
        <v>29.1</v>
      </c>
      <c r="H246">
        <v>64</v>
      </c>
    </row>
    <row r="247" spans="1:10" x14ac:dyDescent="0.3">
      <c r="A247" t="s">
        <v>257</v>
      </c>
      <c r="B247">
        <v>28</v>
      </c>
      <c r="D247">
        <v>3</v>
      </c>
      <c r="F247">
        <v>2.5</v>
      </c>
      <c r="G247">
        <v>2.5</v>
      </c>
      <c r="H247">
        <v>3</v>
      </c>
    </row>
    <row r="248" spans="1:10" x14ac:dyDescent="0.3">
      <c r="A248" t="s">
        <v>258</v>
      </c>
      <c r="B248">
        <v>28</v>
      </c>
      <c r="D248">
        <v>0</v>
      </c>
      <c r="F248">
        <v>0</v>
      </c>
      <c r="G248">
        <v>0</v>
      </c>
      <c r="H248">
        <v>0</v>
      </c>
    </row>
    <row r="249" spans="1:10" x14ac:dyDescent="0.3">
      <c r="A249" t="s">
        <v>259</v>
      </c>
      <c r="B249">
        <v>28</v>
      </c>
      <c r="D249">
        <v>0</v>
      </c>
      <c r="F249">
        <v>0</v>
      </c>
      <c r="G249">
        <v>0</v>
      </c>
      <c r="H249">
        <v>0</v>
      </c>
    </row>
    <row r="250" spans="1:10" x14ac:dyDescent="0.3">
      <c r="A250" t="s">
        <v>260</v>
      </c>
      <c r="B250">
        <v>28</v>
      </c>
      <c r="D250">
        <v>3</v>
      </c>
      <c r="F250">
        <v>3</v>
      </c>
      <c r="G250">
        <v>3</v>
      </c>
      <c r="H250">
        <v>3</v>
      </c>
    </row>
    <row r="251" spans="1:10" x14ac:dyDescent="0.3">
      <c r="A251" t="s">
        <v>261</v>
      </c>
      <c r="B251">
        <v>28</v>
      </c>
      <c r="D251">
        <v>4.4000000000000004</v>
      </c>
      <c r="F251">
        <v>3</v>
      </c>
      <c r="G251">
        <v>3</v>
      </c>
      <c r="H251">
        <v>4.4000000000000004</v>
      </c>
    </row>
    <row r="252" spans="1:10" x14ac:dyDescent="0.3">
      <c r="A252" t="s">
        <v>262</v>
      </c>
      <c r="B252">
        <v>28</v>
      </c>
      <c r="D252">
        <v>1.7</v>
      </c>
      <c r="F252">
        <v>5.3</v>
      </c>
      <c r="G252">
        <v>3.9</v>
      </c>
      <c r="H252">
        <v>1.6</v>
      </c>
    </row>
    <row r="253" spans="1:10" x14ac:dyDescent="0.3">
      <c r="A253" t="s">
        <v>263</v>
      </c>
      <c r="B253">
        <v>28</v>
      </c>
      <c r="D253">
        <v>3</v>
      </c>
      <c r="F253">
        <v>0</v>
      </c>
      <c r="G253">
        <v>0</v>
      </c>
      <c r="H253">
        <v>3</v>
      </c>
    </row>
    <row r="254" spans="1:10" x14ac:dyDescent="0.3">
      <c r="A254" t="s">
        <v>264</v>
      </c>
      <c r="B254">
        <v>28</v>
      </c>
      <c r="H254">
        <v>7</v>
      </c>
    </row>
    <row r="255" spans="1:10" x14ac:dyDescent="0.3">
      <c r="A255" t="s">
        <v>265</v>
      </c>
      <c r="B255">
        <v>28</v>
      </c>
      <c r="H255">
        <v>10</v>
      </c>
    </row>
    <row r="256" spans="1:10" x14ac:dyDescent="0.3">
      <c r="A256" t="s">
        <v>266</v>
      </c>
      <c r="B256">
        <v>28</v>
      </c>
      <c r="H256">
        <v>0</v>
      </c>
    </row>
    <row r="257" spans="1:10" x14ac:dyDescent="0.3">
      <c r="A257" t="s">
        <v>267</v>
      </c>
      <c r="B257">
        <v>28</v>
      </c>
      <c r="D257">
        <v>25.3</v>
      </c>
      <c r="F257">
        <v>15.3</v>
      </c>
      <c r="G257">
        <v>16.899999999999999</v>
      </c>
      <c r="H257">
        <v>27</v>
      </c>
    </row>
    <row r="258" spans="1:10" x14ac:dyDescent="0.3">
      <c r="A258" t="s">
        <v>268</v>
      </c>
      <c r="B258">
        <v>28</v>
      </c>
      <c r="D258">
        <v>1</v>
      </c>
      <c r="F258">
        <v>1</v>
      </c>
      <c r="G258">
        <v>0</v>
      </c>
      <c r="H258">
        <v>1</v>
      </c>
    </row>
    <row r="259" spans="1:10" x14ac:dyDescent="0.3">
      <c r="A259" t="s">
        <v>269</v>
      </c>
      <c r="B259">
        <v>28</v>
      </c>
      <c r="D259">
        <v>1</v>
      </c>
      <c r="F259">
        <v>1</v>
      </c>
      <c r="G259">
        <v>1</v>
      </c>
      <c r="H259">
        <v>1</v>
      </c>
    </row>
    <row r="260" spans="1:10" x14ac:dyDescent="0.3">
      <c r="A260" t="s">
        <v>270</v>
      </c>
      <c r="B260">
        <v>28</v>
      </c>
      <c r="D260">
        <v>23</v>
      </c>
      <c r="F260">
        <v>129</v>
      </c>
      <c r="G260">
        <v>23</v>
      </c>
      <c r="H260">
        <v>59</v>
      </c>
    </row>
    <row r="261" spans="1:10" x14ac:dyDescent="0.3">
      <c r="A261" t="s">
        <v>271</v>
      </c>
      <c r="B261">
        <v>28</v>
      </c>
      <c r="D261">
        <v>129</v>
      </c>
      <c r="F261">
        <v>23</v>
      </c>
      <c r="G261">
        <v>59</v>
      </c>
      <c r="H261">
        <v>129</v>
      </c>
    </row>
    <row r="262" spans="1:10" x14ac:dyDescent="0.3">
      <c r="A262" t="s">
        <v>272</v>
      </c>
      <c r="B262">
        <v>28</v>
      </c>
      <c r="D262">
        <v>122.9</v>
      </c>
      <c r="F262">
        <v>14.7</v>
      </c>
      <c r="G262">
        <v>52.1</v>
      </c>
      <c r="H262">
        <v>123</v>
      </c>
    </row>
    <row r="263" spans="1:10" x14ac:dyDescent="0.3">
      <c r="A263" t="s">
        <v>273</v>
      </c>
      <c r="B263">
        <v>28</v>
      </c>
      <c r="D263">
        <v>122.9</v>
      </c>
      <c r="F263">
        <v>14.7</v>
      </c>
      <c r="G263">
        <v>52.1</v>
      </c>
      <c r="H263">
        <v>113</v>
      </c>
    </row>
    <row r="264" spans="1:10" x14ac:dyDescent="0.3">
      <c r="A264" t="s">
        <v>274</v>
      </c>
      <c r="B264">
        <v>28</v>
      </c>
      <c r="D264">
        <v>104</v>
      </c>
      <c r="F264">
        <v>70</v>
      </c>
      <c r="G264">
        <v>104</v>
      </c>
      <c r="H264">
        <v>0</v>
      </c>
    </row>
    <row r="265" spans="1:10" x14ac:dyDescent="0.3">
      <c r="A265" t="s">
        <v>275</v>
      </c>
      <c r="B265">
        <v>28</v>
      </c>
      <c r="D265">
        <v>63.9</v>
      </c>
      <c r="F265">
        <v>95.7</v>
      </c>
      <c r="G265">
        <v>133.1</v>
      </c>
      <c r="H265">
        <v>64</v>
      </c>
    </row>
    <row r="266" spans="1:10" x14ac:dyDescent="0.3">
      <c r="A266" t="s">
        <v>276</v>
      </c>
      <c r="B266">
        <v>28</v>
      </c>
      <c r="D266">
        <v>63.9</v>
      </c>
      <c r="F266">
        <v>95.7</v>
      </c>
      <c r="G266">
        <v>133.1</v>
      </c>
      <c r="H266">
        <v>54</v>
      </c>
    </row>
    <row r="267" spans="1:10" x14ac:dyDescent="0.3">
      <c r="A267" t="s">
        <v>567</v>
      </c>
      <c r="B267">
        <v>28</v>
      </c>
      <c r="D267">
        <v>119.2</v>
      </c>
      <c r="F267">
        <v>6.4</v>
      </c>
      <c r="G267">
        <v>8.4</v>
      </c>
      <c r="H267">
        <v>104</v>
      </c>
    </row>
    <row r="268" spans="1:10" x14ac:dyDescent="0.3">
      <c r="A268" t="s">
        <v>254</v>
      </c>
      <c r="B268">
        <v>31</v>
      </c>
      <c r="C268">
        <v>111</v>
      </c>
      <c r="D268">
        <v>112</v>
      </c>
      <c r="E268">
        <v>211</v>
      </c>
      <c r="F268">
        <v>212</v>
      </c>
      <c r="G268">
        <v>121</v>
      </c>
      <c r="H268">
        <v>122</v>
      </c>
      <c r="I268">
        <v>221</v>
      </c>
      <c r="J268">
        <v>222</v>
      </c>
    </row>
    <row r="269" spans="1:10" x14ac:dyDescent="0.3">
      <c r="A269" t="s">
        <v>255</v>
      </c>
      <c r="B269">
        <v>31</v>
      </c>
      <c r="D269">
        <v>20</v>
      </c>
      <c r="F269">
        <v>6</v>
      </c>
      <c r="G269">
        <v>6</v>
      </c>
      <c r="H269">
        <v>20</v>
      </c>
    </row>
    <row r="270" spans="1:10" x14ac:dyDescent="0.3">
      <c r="A270" t="s">
        <v>256</v>
      </c>
      <c r="B270">
        <v>31</v>
      </c>
      <c r="D270">
        <v>98.1</v>
      </c>
      <c r="F270">
        <v>29</v>
      </c>
      <c r="G270">
        <v>22.3</v>
      </c>
      <c r="H270">
        <v>68.7</v>
      </c>
    </row>
    <row r="271" spans="1:10" x14ac:dyDescent="0.3">
      <c r="A271" t="s">
        <v>257</v>
      </c>
      <c r="B271">
        <v>31</v>
      </c>
      <c r="D271">
        <v>6</v>
      </c>
      <c r="F271">
        <v>2.5</v>
      </c>
      <c r="G271">
        <v>2.5</v>
      </c>
      <c r="H271">
        <v>6</v>
      </c>
    </row>
    <row r="272" spans="1:10" x14ac:dyDescent="0.3">
      <c r="A272" t="s">
        <v>258</v>
      </c>
      <c r="B272">
        <v>31</v>
      </c>
      <c r="D272">
        <v>0</v>
      </c>
      <c r="F272">
        <v>0</v>
      </c>
      <c r="G272">
        <v>0</v>
      </c>
      <c r="H272">
        <v>0</v>
      </c>
    </row>
    <row r="273" spans="1:8" x14ac:dyDescent="0.3">
      <c r="A273" t="s">
        <v>259</v>
      </c>
      <c r="B273">
        <v>31</v>
      </c>
      <c r="D273">
        <v>0</v>
      </c>
      <c r="F273">
        <v>0</v>
      </c>
      <c r="G273">
        <v>0</v>
      </c>
      <c r="H273">
        <v>0</v>
      </c>
    </row>
    <row r="274" spans="1:8" x14ac:dyDescent="0.3">
      <c r="A274" t="s">
        <v>260</v>
      </c>
      <c r="B274">
        <v>31</v>
      </c>
      <c r="D274">
        <v>3</v>
      </c>
      <c r="F274">
        <v>3</v>
      </c>
      <c r="G274">
        <v>3</v>
      </c>
      <c r="H274">
        <v>3</v>
      </c>
    </row>
    <row r="275" spans="1:8" x14ac:dyDescent="0.3">
      <c r="A275" t="s">
        <v>261</v>
      </c>
      <c r="B275">
        <v>31</v>
      </c>
      <c r="D275">
        <v>4.4000000000000004</v>
      </c>
      <c r="F275">
        <v>3</v>
      </c>
      <c r="G275">
        <v>3</v>
      </c>
      <c r="H275">
        <v>4.4000000000000004</v>
      </c>
    </row>
    <row r="276" spans="1:8" x14ac:dyDescent="0.3">
      <c r="A276" t="s">
        <v>262</v>
      </c>
      <c r="B276">
        <v>31</v>
      </c>
      <c r="D276">
        <v>1.5</v>
      </c>
      <c r="F276">
        <v>4</v>
      </c>
      <c r="G276">
        <v>3.7</v>
      </c>
      <c r="H276">
        <v>1.9</v>
      </c>
    </row>
    <row r="277" spans="1:8" x14ac:dyDescent="0.3">
      <c r="A277" t="s">
        <v>263</v>
      </c>
      <c r="B277">
        <v>31</v>
      </c>
      <c r="D277">
        <v>3</v>
      </c>
      <c r="F277">
        <v>0</v>
      </c>
      <c r="G277">
        <v>0</v>
      </c>
      <c r="H277">
        <v>3</v>
      </c>
    </row>
    <row r="278" spans="1:8" x14ac:dyDescent="0.3">
      <c r="A278" t="s">
        <v>264</v>
      </c>
      <c r="B278">
        <v>31</v>
      </c>
      <c r="H278">
        <v>7</v>
      </c>
    </row>
    <row r="279" spans="1:8" x14ac:dyDescent="0.3">
      <c r="A279" t="s">
        <v>265</v>
      </c>
      <c r="B279">
        <v>31</v>
      </c>
      <c r="H279">
        <v>25</v>
      </c>
    </row>
    <row r="280" spans="1:8" x14ac:dyDescent="0.3">
      <c r="A280" t="s">
        <v>266</v>
      </c>
      <c r="B280">
        <v>31</v>
      </c>
      <c r="H280">
        <v>0</v>
      </c>
    </row>
    <row r="281" spans="1:8" x14ac:dyDescent="0.3">
      <c r="A281" t="s">
        <v>267</v>
      </c>
      <c r="B281">
        <v>31</v>
      </c>
      <c r="D281">
        <v>25.9</v>
      </c>
      <c r="F281">
        <v>25</v>
      </c>
      <c r="G281">
        <v>12.7</v>
      </c>
      <c r="H281">
        <v>43.3</v>
      </c>
    </row>
    <row r="282" spans="1:8" x14ac:dyDescent="0.3">
      <c r="A282" t="s">
        <v>268</v>
      </c>
      <c r="B282">
        <v>31</v>
      </c>
      <c r="D282">
        <v>1</v>
      </c>
      <c r="F282">
        <v>1</v>
      </c>
      <c r="G282">
        <v>0</v>
      </c>
      <c r="H282">
        <v>1</v>
      </c>
    </row>
    <row r="283" spans="1:8" x14ac:dyDescent="0.3">
      <c r="A283" t="s">
        <v>269</v>
      </c>
      <c r="B283">
        <v>31</v>
      </c>
      <c r="D283">
        <v>1</v>
      </c>
      <c r="F283">
        <v>1</v>
      </c>
      <c r="G283">
        <v>1</v>
      </c>
      <c r="H283">
        <v>1</v>
      </c>
    </row>
    <row r="284" spans="1:8" x14ac:dyDescent="0.3">
      <c r="A284" t="s">
        <v>270</v>
      </c>
      <c r="B284">
        <v>31</v>
      </c>
      <c r="D284">
        <v>83</v>
      </c>
      <c r="F284">
        <v>47</v>
      </c>
      <c r="G284">
        <v>83</v>
      </c>
      <c r="H284">
        <v>112</v>
      </c>
    </row>
    <row r="285" spans="1:8" x14ac:dyDescent="0.3">
      <c r="A285" t="s">
        <v>271</v>
      </c>
      <c r="B285">
        <v>31</v>
      </c>
      <c r="D285">
        <v>47</v>
      </c>
      <c r="F285">
        <v>83</v>
      </c>
      <c r="G285">
        <v>112</v>
      </c>
      <c r="H285">
        <v>47</v>
      </c>
    </row>
    <row r="286" spans="1:8" x14ac:dyDescent="0.3">
      <c r="A286" t="s">
        <v>272</v>
      </c>
      <c r="B286">
        <v>31</v>
      </c>
      <c r="D286">
        <v>41.1</v>
      </c>
      <c r="F286">
        <v>76</v>
      </c>
      <c r="G286">
        <v>105.3</v>
      </c>
      <c r="H286">
        <v>40.700000000000003</v>
      </c>
    </row>
    <row r="287" spans="1:8" x14ac:dyDescent="0.3">
      <c r="A287" t="s">
        <v>273</v>
      </c>
      <c r="B287">
        <v>31</v>
      </c>
      <c r="D287">
        <v>41.1</v>
      </c>
      <c r="F287">
        <v>76</v>
      </c>
      <c r="G287">
        <v>105.3</v>
      </c>
      <c r="H287">
        <v>15.7</v>
      </c>
    </row>
    <row r="288" spans="1:8" x14ac:dyDescent="0.3">
      <c r="A288" t="s">
        <v>274</v>
      </c>
      <c r="B288">
        <v>31</v>
      </c>
      <c r="D288">
        <v>111</v>
      </c>
      <c r="F288">
        <v>75</v>
      </c>
      <c r="G288">
        <v>111</v>
      </c>
      <c r="H288">
        <v>0</v>
      </c>
    </row>
    <row r="289" spans="1:10" x14ac:dyDescent="0.3">
      <c r="A289" t="s">
        <v>275</v>
      </c>
      <c r="B289">
        <v>31</v>
      </c>
      <c r="D289">
        <v>69.099999999999994</v>
      </c>
      <c r="F289">
        <v>104</v>
      </c>
      <c r="G289">
        <v>133.30000000000001</v>
      </c>
      <c r="H289">
        <v>68.7</v>
      </c>
    </row>
    <row r="290" spans="1:10" x14ac:dyDescent="0.3">
      <c r="A290" t="s">
        <v>276</v>
      </c>
      <c r="B290">
        <v>31</v>
      </c>
      <c r="D290">
        <v>69.099999999999994</v>
      </c>
      <c r="F290">
        <v>104</v>
      </c>
      <c r="G290">
        <v>133.30000000000001</v>
      </c>
      <c r="H290">
        <v>43.7</v>
      </c>
    </row>
    <row r="291" spans="1:10" x14ac:dyDescent="0.3">
      <c r="A291" t="s">
        <v>567</v>
      </c>
      <c r="B291">
        <v>31</v>
      </c>
      <c r="D291">
        <v>119.4</v>
      </c>
      <c r="F291">
        <v>7.7</v>
      </c>
      <c r="G291">
        <v>10.1</v>
      </c>
      <c r="H291">
        <v>102.2</v>
      </c>
    </row>
    <row r="292" spans="1:10" x14ac:dyDescent="0.3">
      <c r="A292" t="s">
        <v>254</v>
      </c>
      <c r="B292">
        <v>33</v>
      </c>
      <c r="C292">
        <v>111</v>
      </c>
      <c r="D292">
        <v>112</v>
      </c>
      <c r="E292">
        <v>211</v>
      </c>
      <c r="F292">
        <v>212</v>
      </c>
      <c r="G292">
        <v>121</v>
      </c>
      <c r="H292">
        <v>122</v>
      </c>
      <c r="I292">
        <v>221</v>
      </c>
      <c r="J292">
        <v>222</v>
      </c>
    </row>
    <row r="293" spans="1:10" x14ac:dyDescent="0.3">
      <c r="A293" t="s">
        <v>255</v>
      </c>
      <c r="B293">
        <v>33</v>
      </c>
      <c r="D293">
        <v>25</v>
      </c>
      <c r="F293">
        <v>6</v>
      </c>
      <c r="G293">
        <v>6</v>
      </c>
      <c r="H293">
        <v>25</v>
      </c>
    </row>
    <row r="294" spans="1:10" x14ac:dyDescent="0.3">
      <c r="A294" t="s">
        <v>256</v>
      </c>
      <c r="B294">
        <v>33</v>
      </c>
      <c r="D294">
        <v>95.3</v>
      </c>
      <c r="F294">
        <v>32</v>
      </c>
      <c r="G294">
        <v>22.2</v>
      </c>
      <c r="H294">
        <v>66.900000000000006</v>
      </c>
    </row>
    <row r="295" spans="1:10" x14ac:dyDescent="0.3">
      <c r="A295" t="s">
        <v>257</v>
      </c>
      <c r="B295">
        <v>33</v>
      </c>
      <c r="D295">
        <v>2.5</v>
      </c>
      <c r="F295">
        <v>2.5</v>
      </c>
      <c r="G295">
        <v>2.5</v>
      </c>
      <c r="H295">
        <v>2.5</v>
      </c>
    </row>
    <row r="296" spans="1:10" x14ac:dyDescent="0.3">
      <c r="A296" t="s">
        <v>258</v>
      </c>
      <c r="B296">
        <v>33</v>
      </c>
      <c r="D296">
        <v>0</v>
      </c>
      <c r="F296">
        <v>0</v>
      </c>
      <c r="G296">
        <v>0</v>
      </c>
      <c r="H296">
        <v>0</v>
      </c>
    </row>
    <row r="297" spans="1:10" x14ac:dyDescent="0.3">
      <c r="A297" t="s">
        <v>259</v>
      </c>
      <c r="B297">
        <v>33</v>
      </c>
      <c r="D297">
        <v>0</v>
      </c>
      <c r="F297">
        <v>0</v>
      </c>
      <c r="G297">
        <v>0</v>
      </c>
      <c r="H297">
        <v>0</v>
      </c>
    </row>
    <row r="298" spans="1:10" x14ac:dyDescent="0.3">
      <c r="A298" t="s">
        <v>260</v>
      </c>
      <c r="B298">
        <v>33</v>
      </c>
      <c r="D298">
        <v>3</v>
      </c>
      <c r="F298">
        <v>3</v>
      </c>
      <c r="G298">
        <v>3</v>
      </c>
      <c r="H298">
        <v>3</v>
      </c>
    </row>
    <row r="299" spans="1:10" x14ac:dyDescent="0.3">
      <c r="A299" t="s">
        <v>261</v>
      </c>
      <c r="B299">
        <v>33</v>
      </c>
      <c r="D299">
        <v>4.4000000000000004</v>
      </c>
      <c r="F299">
        <v>3</v>
      </c>
      <c r="G299">
        <v>3</v>
      </c>
      <c r="H299">
        <v>4.4000000000000004</v>
      </c>
    </row>
    <row r="300" spans="1:10" x14ac:dyDescent="0.3">
      <c r="A300" t="s">
        <v>262</v>
      </c>
      <c r="B300">
        <v>33</v>
      </c>
      <c r="D300">
        <v>1.3</v>
      </c>
      <c r="F300">
        <v>4</v>
      </c>
      <c r="G300">
        <v>2.8</v>
      </c>
      <c r="H300">
        <v>1.7</v>
      </c>
    </row>
    <row r="301" spans="1:10" x14ac:dyDescent="0.3">
      <c r="A301" t="s">
        <v>263</v>
      </c>
      <c r="B301">
        <v>33</v>
      </c>
      <c r="D301">
        <v>3</v>
      </c>
      <c r="F301">
        <v>0</v>
      </c>
      <c r="G301">
        <v>0</v>
      </c>
      <c r="H301">
        <v>3</v>
      </c>
    </row>
    <row r="302" spans="1:10" x14ac:dyDescent="0.3">
      <c r="A302" t="s">
        <v>264</v>
      </c>
      <c r="B302">
        <v>33</v>
      </c>
      <c r="H302">
        <v>7</v>
      </c>
    </row>
    <row r="303" spans="1:10" x14ac:dyDescent="0.3">
      <c r="A303" t="s">
        <v>265</v>
      </c>
      <c r="B303">
        <v>33</v>
      </c>
      <c r="H303">
        <v>21</v>
      </c>
    </row>
    <row r="304" spans="1:10" x14ac:dyDescent="0.3">
      <c r="A304" t="s">
        <v>266</v>
      </c>
      <c r="B304">
        <v>33</v>
      </c>
      <c r="H304">
        <v>0</v>
      </c>
    </row>
    <row r="305" spans="1:10" x14ac:dyDescent="0.3">
      <c r="A305" t="s">
        <v>267</v>
      </c>
      <c r="B305">
        <v>33</v>
      </c>
      <c r="D305">
        <v>30.7</v>
      </c>
      <c r="F305">
        <v>22.5</v>
      </c>
      <c r="G305">
        <v>11.8</v>
      </c>
      <c r="H305">
        <v>38.1</v>
      </c>
    </row>
    <row r="306" spans="1:10" x14ac:dyDescent="0.3">
      <c r="A306" t="s">
        <v>268</v>
      </c>
      <c r="B306">
        <v>33</v>
      </c>
      <c r="D306">
        <v>1</v>
      </c>
      <c r="F306">
        <v>1</v>
      </c>
      <c r="G306">
        <v>0</v>
      </c>
      <c r="H306">
        <v>1</v>
      </c>
    </row>
    <row r="307" spans="1:10" x14ac:dyDescent="0.3">
      <c r="A307" t="s">
        <v>269</v>
      </c>
      <c r="B307">
        <v>33</v>
      </c>
      <c r="D307">
        <v>1</v>
      </c>
      <c r="F307">
        <v>1</v>
      </c>
      <c r="G307">
        <v>1</v>
      </c>
      <c r="H307">
        <v>1</v>
      </c>
    </row>
    <row r="308" spans="1:10" x14ac:dyDescent="0.3">
      <c r="A308" t="s">
        <v>270</v>
      </c>
      <c r="B308">
        <v>33</v>
      </c>
      <c r="D308">
        <v>32</v>
      </c>
      <c r="F308">
        <v>133</v>
      </c>
      <c r="G308">
        <v>32</v>
      </c>
      <c r="H308">
        <v>60</v>
      </c>
    </row>
    <row r="309" spans="1:10" x14ac:dyDescent="0.3">
      <c r="A309" t="s">
        <v>271</v>
      </c>
      <c r="B309">
        <v>33</v>
      </c>
      <c r="D309">
        <v>133</v>
      </c>
      <c r="F309">
        <v>32</v>
      </c>
      <c r="G309">
        <v>60</v>
      </c>
      <c r="H309">
        <v>133</v>
      </c>
    </row>
    <row r="310" spans="1:10" x14ac:dyDescent="0.3">
      <c r="A310" t="s">
        <v>272</v>
      </c>
      <c r="B310">
        <v>33</v>
      </c>
      <c r="D310">
        <v>127.3</v>
      </c>
      <c r="F310">
        <v>25</v>
      </c>
      <c r="G310">
        <v>54.2</v>
      </c>
      <c r="H310">
        <v>126.9</v>
      </c>
    </row>
    <row r="311" spans="1:10" x14ac:dyDescent="0.3">
      <c r="A311" t="s">
        <v>273</v>
      </c>
      <c r="B311">
        <v>33</v>
      </c>
      <c r="D311">
        <v>127.3</v>
      </c>
      <c r="F311">
        <v>25</v>
      </c>
      <c r="G311">
        <v>54.2</v>
      </c>
      <c r="H311">
        <v>105.9</v>
      </c>
    </row>
    <row r="312" spans="1:10" x14ac:dyDescent="0.3">
      <c r="A312" t="s">
        <v>274</v>
      </c>
      <c r="B312">
        <v>33</v>
      </c>
      <c r="D312">
        <v>112</v>
      </c>
      <c r="F312">
        <v>73</v>
      </c>
      <c r="G312">
        <v>112</v>
      </c>
      <c r="H312">
        <v>0</v>
      </c>
    </row>
    <row r="313" spans="1:10" x14ac:dyDescent="0.3">
      <c r="A313" t="s">
        <v>275</v>
      </c>
      <c r="B313">
        <v>33</v>
      </c>
      <c r="D313">
        <v>67.3</v>
      </c>
      <c r="F313">
        <v>105</v>
      </c>
      <c r="G313">
        <v>134.19999999999999</v>
      </c>
      <c r="H313">
        <v>66.900000000000006</v>
      </c>
    </row>
    <row r="314" spans="1:10" x14ac:dyDescent="0.3">
      <c r="A314" t="s">
        <v>276</v>
      </c>
      <c r="B314">
        <v>33</v>
      </c>
      <c r="D314">
        <v>67.3</v>
      </c>
      <c r="F314">
        <v>105</v>
      </c>
      <c r="G314">
        <v>134.19999999999999</v>
      </c>
      <c r="H314">
        <v>45.9</v>
      </c>
    </row>
    <row r="315" spans="1:10" x14ac:dyDescent="0.3">
      <c r="A315" t="s">
        <v>567</v>
      </c>
      <c r="B315">
        <v>33</v>
      </c>
      <c r="D315">
        <v>117.5</v>
      </c>
      <c r="F315">
        <v>9.8000000000000007</v>
      </c>
      <c r="G315">
        <v>6.5</v>
      </c>
      <c r="H315">
        <v>104.8</v>
      </c>
    </row>
    <row r="316" spans="1:10" x14ac:dyDescent="0.3">
      <c r="A316" t="s">
        <v>254</v>
      </c>
      <c r="B316">
        <v>34</v>
      </c>
      <c r="C316">
        <v>111</v>
      </c>
      <c r="D316">
        <v>112</v>
      </c>
      <c r="E316">
        <v>211</v>
      </c>
      <c r="F316">
        <v>212</v>
      </c>
      <c r="G316">
        <v>121</v>
      </c>
      <c r="H316">
        <v>122</v>
      </c>
      <c r="I316">
        <v>221</v>
      </c>
      <c r="J316">
        <v>222</v>
      </c>
    </row>
    <row r="317" spans="1:10" x14ac:dyDescent="0.3">
      <c r="A317" t="s">
        <v>255</v>
      </c>
      <c r="B317">
        <v>34</v>
      </c>
      <c r="C317">
        <v>6</v>
      </c>
      <c r="D317">
        <v>25</v>
      </c>
      <c r="E317">
        <v>6</v>
      </c>
      <c r="F317">
        <v>8</v>
      </c>
      <c r="G317">
        <v>6</v>
      </c>
      <c r="H317">
        <v>25</v>
      </c>
      <c r="I317">
        <v>6</v>
      </c>
      <c r="J317">
        <v>8</v>
      </c>
    </row>
    <row r="318" spans="1:10" x14ac:dyDescent="0.3">
      <c r="A318" t="s">
        <v>256</v>
      </c>
      <c r="B318">
        <v>34</v>
      </c>
      <c r="C318">
        <v>12.3</v>
      </c>
      <c r="D318">
        <v>39.6</v>
      </c>
      <c r="E318">
        <v>13.3</v>
      </c>
      <c r="F318">
        <v>46</v>
      </c>
      <c r="G318">
        <v>10.3</v>
      </c>
      <c r="H318">
        <v>41.9</v>
      </c>
      <c r="I318">
        <v>12.7</v>
      </c>
      <c r="J318">
        <v>46.4</v>
      </c>
    </row>
    <row r="319" spans="1:10" x14ac:dyDescent="0.3">
      <c r="A319" t="s">
        <v>257</v>
      </c>
      <c r="B319">
        <v>34</v>
      </c>
      <c r="C319">
        <v>2</v>
      </c>
      <c r="D319">
        <v>2</v>
      </c>
      <c r="E319">
        <v>2</v>
      </c>
      <c r="F319">
        <v>2</v>
      </c>
      <c r="G319">
        <v>2</v>
      </c>
      <c r="H319">
        <v>2</v>
      </c>
      <c r="I319">
        <v>2.5</v>
      </c>
      <c r="J319">
        <v>2</v>
      </c>
    </row>
    <row r="320" spans="1:10" x14ac:dyDescent="0.3">
      <c r="A320" t="s">
        <v>258</v>
      </c>
      <c r="B320">
        <v>34</v>
      </c>
      <c r="C320">
        <v>0</v>
      </c>
      <c r="D320">
        <v>0</v>
      </c>
      <c r="E320">
        <v>0</v>
      </c>
      <c r="F320">
        <v>0</v>
      </c>
      <c r="G320">
        <v>0</v>
      </c>
      <c r="H320">
        <v>0</v>
      </c>
      <c r="I320">
        <v>0</v>
      </c>
      <c r="J320">
        <v>0</v>
      </c>
    </row>
    <row r="321" spans="1:10" x14ac:dyDescent="0.3">
      <c r="A321" t="s">
        <v>259</v>
      </c>
      <c r="B321">
        <v>34</v>
      </c>
      <c r="C321">
        <v>0</v>
      </c>
      <c r="D321">
        <v>0</v>
      </c>
      <c r="E321">
        <v>0</v>
      </c>
      <c r="F321">
        <v>0</v>
      </c>
      <c r="G321">
        <v>0</v>
      </c>
      <c r="H321">
        <v>0</v>
      </c>
      <c r="I321">
        <v>0</v>
      </c>
      <c r="J321">
        <v>0</v>
      </c>
    </row>
    <row r="322" spans="1:10" x14ac:dyDescent="0.3">
      <c r="A322" t="s">
        <v>260</v>
      </c>
      <c r="B322">
        <v>34</v>
      </c>
      <c r="C322">
        <v>3</v>
      </c>
      <c r="D322">
        <v>3</v>
      </c>
      <c r="E322">
        <v>3</v>
      </c>
      <c r="F322">
        <v>3</v>
      </c>
      <c r="G322">
        <v>3</v>
      </c>
      <c r="H322">
        <v>3</v>
      </c>
      <c r="I322">
        <v>3</v>
      </c>
      <c r="J322">
        <v>3</v>
      </c>
    </row>
    <row r="323" spans="1:10" x14ac:dyDescent="0.3">
      <c r="A323" t="s">
        <v>261</v>
      </c>
      <c r="B323">
        <v>34</v>
      </c>
      <c r="C323">
        <v>3</v>
      </c>
      <c r="D323">
        <v>4.4000000000000004</v>
      </c>
      <c r="E323">
        <v>3</v>
      </c>
      <c r="F323">
        <v>3.6</v>
      </c>
      <c r="G323">
        <v>3</v>
      </c>
      <c r="H323">
        <v>4.4000000000000004</v>
      </c>
      <c r="I323">
        <v>3</v>
      </c>
      <c r="J323">
        <v>3.6</v>
      </c>
    </row>
    <row r="324" spans="1:10" x14ac:dyDescent="0.3">
      <c r="A324" t="s">
        <v>262</v>
      </c>
      <c r="B324">
        <v>34</v>
      </c>
      <c r="C324">
        <v>4.7</v>
      </c>
      <c r="D324">
        <v>2.2999999999999998</v>
      </c>
      <c r="E324">
        <v>4.7</v>
      </c>
      <c r="F324">
        <v>3.1</v>
      </c>
      <c r="G324">
        <v>4.7</v>
      </c>
      <c r="H324">
        <v>2</v>
      </c>
      <c r="I324">
        <v>4.7</v>
      </c>
      <c r="J324">
        <v>3.3</v>
      </c>
    </row>
    <row r="325" spans="1:10" x14ac:dyDescent="0.3">
      <c r="A325" t="s">
        <v>263</v>
      </c>
      <c r="B325">
        <v>34</v>
      </c>
      <c r="C325">
        <v>0</v>
      </c>
      <c r="D325">
        <v>3</v>
      </c>
      <c r="E325">
        <v>0</v>
      </c>
      <c r="F325">
        <v>0</v>
      </c>
      <c r="G325">
        <v>0</v>
      </c>
      <c r="H325">
        <v>3</v>
      </c>
      <c r="I325">
        <v>0</v>
      </c>
      <c r="J325">
        <v>0</v>
      </c>
    </row>
    <row r="326" spans="1:10" x14ac:dyDescent="0.3">
      <c r="A326" t="s">
        <v>264</v>
      </c>
      <c r="B326">
        <v>34</v>
      </c>
      <c r="D326">
        <v>7</v>
      </c>
      <c r="F326">
        <v>7</v>
      </c>
      <c r="H326">
        <v>7</v>
      </c>
      <c r="J326">
        <v>7</v>
      </c>
    </row>
    <row r="327" spans="1:10" x14ac:dyDescent="0.3">
      <c r="A327" t="s">
        <v>265</v>
      </c>
      <c r="B327">
        <v>34</v>
      </c>
      <c r="D327">
        <v>26</v>
      </c>
      <c r="F327">
        <v>35</v>
      </c>
      <c r="H327">
        <v>26</v>
      </c>
      <c r="J327">
        <v>35</v>
      </c>
    </row>
    <row r="328" spans="1:10" x14ac:dyDescent="0.3">
      <c r="A328" t="s">
        <v>266</v>
      </c>
      <c r="B328">
        <v>34</v>
      </c>
      <c r="D328">
        <v>0</v>
      </c>
      <c r="F328">
        <v>0</v>
      </c>
      <c r="H328">
        <v>0</v>
      </c>
      <c r="J328">
        <v>0</v>
      </c>
    </row>
    <row r="329" spans="1:10" x14ac:dyDescent="0.3">
      <c r="A329" t="s">
        <v>267</v>
      </c>
      <c r="B329">
        <v>34</v>
      </c>
      <c r="C329">
        <v>13.7</v>
      </c>
      <c r="D329">
        <v>44.7</v>
      </c>
      <c r="E329">
        <v>13.7</v>
      </c>
      <c r="F329">
        <v>52.7</v>
      </c>
      <c r="G329">
        <v>13.7</v>
      </c>
      <c r="H329">
        <v>43.4</v>
      </c>
      <c r="I329">
        <v>13.7</v>
      </c>
      <c r="J329">
        <v>52.9</v>
      </c>
    </row>
    <row r="330" spans="1:10" x14ac:dyDescent="0.3">
      <c r="A330" t="s">
        <v>268</v>
      </c>
      <c r="B330">
        <v>34</v>
      </c>
      <c r="C330">
        <v>0</v>
      </c>
      <c r="D330">
        <v>1</v>
      </c>
      <c r="E330">
        <v>0</v>
      </c>
      <c r="F330">
        <v>1</v>
      </c>
      <c r="G330">
        <v>0</v>
      </c>
      <c r="H330">
        <v>1</v>
      </c>
      <c r="I330">
        <v>0</v>
      </c>
      <c r="J330">
        <v>1</v>
      </c>
    </row>
    <row r="331" spans="1:10" x14ac:dyDescent="0.3">
      <c r="A331" t="s">
        <v>269</v>
      </c>
      <c r="B331">
        <v>34</v>
      </c>
      <c r="C331">
        <v>1</v>
      </c>
      <c r="D331">
        <v>1</v>
      </c>
      <c r="E331">
        <v>1</v>
      </c>
      <c r="F331">
        <v>1</v>
      </c>
      <c r="G331">
        <v>1</v>
      </c>
      <c r="H331">
        <v>1</v>
      </c>
      <c r="I331">
        <v>1</v>
      </c>
      <c r="J331">
        <v>1</v>
      </c>
    </row>
    <row r="332" spans="1:10" x14ac:dyDescent="0.3">
      <c r="A332" t="s">
        <v>270</v>
      </c>
      <c r="B332">
        <v>34</v>
      </c>
      <c r="C332">
        <v>25</v>
      </c>
      <c r="D332">
        <v>45</v>
      </c>
      <c r="E332">
        <v>91.3</v>
      </c>
      <c r="F332">
        <v>112.3</v>
      </c>
      <c r="G332">
        <v>25</v>
      </c>
      <c r="H332">
        <v>43</v>
      </c>
      <c r="I332">
        <v>91.3</v>
      </c>
      <c r="J332">
        <v>111.7</v>
      </c>
    </row>
    <row r="333" spans="1:10" x14ac:dyDescent="0.3">
      <c r="A333" t="s">
        <v>271</v>
      </c>
      <c r="B333">
        <v>34</v>
      </c>
      <c r="C333">
        <v>45</v>
      </c>
      <c r="D333">
        <v>91.3</v>
      </c>
      <c r="E333">
        <v>112.3</v>
      </c>
      <c r="F333">
        <v>25</v>
      </c>
      <c r="G333">
        <v>43</v>
      </c>
      <c r="H333">
        <v>91.3</v>
      </c>
      <c r="I333">
        <v>111.7</v>
      </c>
      <c r="J333">
        <v>25</v>
      </c>
    </row>
    <row r="334" spans="1:10" x14ac:dyDescent="0.3">
      <c r="A334" t="s">
        <v>272</v>
      </c>
      <c r="B334">
        <v>34</v>
      </c>
      <c r="C334">
        <v>37.299999999999997</v>
      </c>
      <c r="D334">
        <v>84.6</v>
      </c>
      <c r="E334">
        <v>104.6</v>
      </c>
      <c r="F334">
        <v>18.3</v>
      </c>
      <c r="G334">
        <v>35.299999999999997</v>
      </c>
      <c r="H334">
        <v>84.9</v>
      </c>
      <c r="I334">
        <v>104</v>
      </c>
      <c r="J334">
        <v>18.100000000000001</v>
      </c>
    </row>
    <row r="335" spans="1:10" x14ac:dyDescent="0.3">
      <c r="A335" t="s">
        <v>273</v>
      </c>
      <c r="B335">
        <v>34</v>
      </c>
      <c r="C335">
        <v>37.299999999999997</v>
      </c>
      <c r="D335">
        <v>58.6</v>
      </c>
      <c r="E335">
        <v>104.6</v>
      </c>
      <c r="F335">
        <v>18.3</v>
      </c>
      <c r="G335">
        <v>35.299999999999997</v>
      </c>
      <c r="H335">
        <v>58.9</v>
      </c>
      <c r="I335">
        <v>104</v>
      </c>
      <c r="J335">
        <v>18.100000000000001</v>
      </c>
    </row>
    <row r="336" spans="1:10" x14ac:dyDescent="0.3">
      <c r="A336" t="s">
        <v>274</v>
      </c>
      <c r="B336">
        <v>34</v>
      </c>
      <c r="C336">
        <v>120</v>
      </c>
      <c r="D336">
        <v>0</v>
      </c>
      <c r="E336">
        <v>46.3</v>
      </c>
      <c r="F336">
        <v>67.3</v>
      </c>
      <c r="G336">
        <v>120</v>
      </c>
      <c r="H336">
        <v>138</v>
      </c>
      <c r="I336">
        <v>46.3</v>
      </c>
      <c r="J336">
        <v>66.7</v>
      </c>
    </row>
    <row r="337" spans="1:10" x14ac:dyDescent="0.3">
      <c r="A337" t="s">
        <v>275</v>
      </c>
      <c r="B337">
        <v>34</v>
      </c>
      <c r="C337">
        <v>132.30000000000001</v>
      </c>
      <c r="D337">
        <v>39.6</v>
      </c>
      <c r="E337">
        <v>59.6</v>
      </c>
      <c r="F337">
        <v>113.3</v>
      </c>
      <c r="G337">
        <v>130.30000000000001</v>
      </c>
      <c r="H337">
        <v>39.9</v>
      </c>
      <c r="I337">
        <v>59</v>
      </c>
      <c r="J337">
        <v>113.1</v>
      </c>
    </row>
    <row r="338" spans="1:10" x14ac:dyDescent="0.3">
      <c r="A338" t="s">
        <v>276</v>
      </c>
      <c r="B338">
        <v>34</v>
      </c>
      <c r="C338">
        <v>132.30000000000001</v>
      </c>
      <c r="D338">
        <v>13.6</v>
      </c>
      <c r="E338">
        <v>59.6</v>
      </c>
      <c r="F338">
        <v>113.3</v>
      </c>
      <c r="G338">
        <v>130.30000000000001</v>
      </c>
      <c r="H338">
        <v>13.9</v>
      </c>
      <c r="I338">
        <v>59</v>
      </c>
      <c r="J338">
        <v>113.1</v>
      </c>
    </row>
    <row r="339" spans="1:10" x14ac:dyDescent="0.3">
      <c r="A339" t="s">
        <v>567</v>
      </c>
      <c r="B339">
        <v>34</v>
      </c>
      <c r="C339">
        <v>12.4</v>
      </c>
      <c r="D339">
        <v>66.5</v>
      </c>
      <c r="E339">
        <v>11.4</v>
      </c>
      <c r="F339">
        <v>20.9</v>
      </c>
      <c r="G339">
        <v>9.9</v>
      </c>
      <c r="H339">
        <v>69.3</v>
      </c>
      <c r="I339">
        <v>11.4</v>
      </c>
      <c r="J339">
        <v>20.7</v>
      </c>
    </row>
    <row r="340" spans="1:10" x14ac:dyDescent="0.3">
      <c r="A340" t="s">
        <v>254</v>
      </c>
      <c r="B340">
        <v>36</v>
      </c>
      <c r="C340">
        <v>111</v>
      </c>
      <c r="D340">
        <v>112</v>
      </c>
      <c r="E340">
        <v>211</v>
      </c>
      <c r="F340">
        <v>212</v>
      </c>
      <c r="G340">
        <v>121</v>
      </c>
      <c r="H340">
        <v>122</v>
      </c>
      <c r="I340">
        <v>221</v>
      </c>
      <c r="J340">
        <v>222</v>
      </c>
    </row>
    <row r="341" spans="1:10" x14ac:dyDescent="0.3">
      <c r="A341" t="s">
        <v>255</v>
      </c>
      <c r="B341">
        <v>36</v>
      </c>
      <c r="C341">
        <v>6</v>
      </c>
      <c r="D341">
        <v>25</v>
      </c>
      <c r="E341">
        <v>6</v>
      </c>
      <c r="F341">
        <v>10</v>
      </c>
      <c r="G341">
        <v>6</v>
      </c>
      <c r="H341">
        <v>25</v>
      </c>
      <c r="I341">
        <v>6</v>
      </c>
      <c r="J341">
        <v>10</v>
      </c>
    </row>
    <row r="342" spans="1:10" x14ac:dyDescent="0.3">
      <c r="A342" t="s">
        <v>256</v>
      </c>
      <c r="B342">
        <v>36</v>
      </c>
      <c r="C342">
        <v>22.5</v>
      </c>
      <c r="D342">
        <v>47.3</v>
      </c>
      <c r="E342">
        <v>16.7</v>
      </c>
      <c r="F342">
        <v>25.7</v>
      </c>
      <c r="G342">
        <v>11.7</v>
      </c>
      <c r="H342">
        <v>55.3</v>
      </c>
      <c r="I342">
        <v>17.3</v>
      </c>
      <c r="J342">
        <v>24.8</v>
      </c>
    </row>
    <row r="343" spans="1:10" x14ac:dyDescent="0.3">
      <c r="A343" t="s">
        <v>257</v>
      </c>
      <c r="B343">
        <v>36</v>
      </c>
      <c r="C343">
        <v>2.5</v>
      </c>
      <c r="D343">
        <v>6</v>
      </c>
      <c r="E343">
        <v>2.5</v>
      </c>
      <c r="F343">
        <v>2.5</v>
      </c>
      <c r="G343">
        <v>2.5</v>
      </c>
      <c r="H343">
        <v>6</v>
      </c>
      <c r="I343">
        <v>2.5</v>
      </c>
      <c r="J343">
        <v>2.5</v>
      </c>
    </row>
    <row r="344" spans="1:10" x14ac:dyDescent="0.3">
      <c r="A344" t="s">
        <v>258</v>
      </c>
      <c r="B344">
        <v>36</v>
      </c>
      <c r="C344">
        <v>0</v>
      </c>
      <c r="D344">
        <v>0</v>
      </c>
      <c r="E344">
        <v>0</v>
      </c>
      <c r="F344">
        <v>0</v>
      </c>
      <c r="G344">
        <v>0</v>
      </c>
      <c r="H344">
        <v>0</v>
      </c>
      <c r="I344">
        <v>0</v>
      </c>
      <c r="J344">
        <v>0</v>
      </c>
    </row>
    <row r="345" spans="1:10" x14ac:dyDescent="0.3">
      <c r="A345" t="s">
        <v>259</v>
      </c>
      <c r="B345">
        <v>36</v>
      </c>
      <c r="C345">
        <v>0</v>
      </c>
      <c r="D345">
        <v>0</v>
      </c>
      <c r="E345">
        <v>0</v>
      </c>
      <c r="F345">
        <v>0</v>
      </c>
      <c r="G345">
        <v>0</v>
      </c>
      <c r="H345">
        <v>0</v>
      </c>
      <c r="I345">
        <v>0</v>
      </c>
      <c r="J345">
        <v>0</v>
      </c>
    </row>
    <row r="346" spans="1:10" x14ac:dyDescent="0.3">
      <c r="A346" t="s">
        <v>260</v>
      </c>
      <c r="B346">
        <v>36</v>
      </c>
      <c r="C346">
        <v>3</v>
      </c>
      <c r="D346">
        <v>3</v>
      </c>
      <c r="E346">
        <v>3</v>
      </c>
      <c r="F346">
        <v>3</v>
      </c>
      <c r="G346">
        <v>3</v>
      </c>
      <c r="H346">
        <v>3</v>
      </c>
      <c r="I346">
        <v>3</v>
      </c>
      <c r="J346">
        <v>3</v>
      </c>
    </row>
    <row r="347" spans="1:10" x14ac:dyDescent="0.3">
      <c r="A347" t="s">
        <v>261</v>
      </c>
      <c r="B347">
        <v>36</v>
      </c>
      <c r="C347">
        <v>3</v>
      </c>
      <c r="D347">
        <v>4.4000000000000004</v>
      </c>
      <c r="E347">
        <v>3</v>
      </c>
      <c r="F347">
        <v>4.0999999999999996</v>
      </c>
      <c r="G347">
        <v>3</v>
      </c>
      <c r="H347">
        <v>5.0999999999999996</v>
      </c>
      <c r="I347">
        <v>3</v>
      </c>
      <c r="J347">
        <v>4.0999999999999996</v>
      </c>
    </row>
    <row r="348" spans="1:10" x14ac:dyDescent="0.3">
      <c r="A348" t="s">
        <v>262</v>
      </c>
      <c r="B348">
        <v>36</v>
      </c>
      <c r="C348">
        <v>4.5</v>
      </c>
      <c r="D348">
        <v>2.2999999999999998</v>
      </c>
      <c r="E348">
        <v>3.3</v>
      </c>
      <c r="F348">
        <v>3.2</v>
      </c>
      <c r="G348">
        <v>4.3</v>
      </c>
      <c r="H348">
        <v>4.5999999999999996</v>
      </c>
      <c r="I348">
        <v>3.7</v>
      </c>
      <c r="J348">
        <v>3.1</v>
      </c>
    </row>
    <row r="349" spans="1:10" x14ac:dyDescent="0.3">
      <c r="A349" t="s">
        <v>263</v>
      </c>
      <c r="B349">
        <v>36</v>
      </c>
      <c r="C349">
        <v>0</v>
      </c>
      <c r="D349">
        <v>3</v>
      </c>
      <c r="E349">
        <v>0</v>
      </c>
      <c r="F349">
        <v>0</v>
      </c>
      <c r="G349">
        <v>0</v>
      </c>
      <c r="H349">
        <v>3</v>
      </c>
      <c r="I349">
        <v>0</v>
      </c>
      <c r="J349">
        <v>0</v>
      </c>
    </row>
    <row r="350" spans="1:10" x14ac:dyDescent="0.3">
      <c r="A350" t="s">
        <v>264</v>
      </c>
      <c r="B350">
        <v>36</v>
      </c>
    </row>
    <row r="351" spans="1:10" x14ac:dyDescent="0.3">
      <c r="A351" t="s">
        <v>265</v>
      </c>
      <c r="B351">
        <v>36</v>
      </c>
    </row>
    <row r="352" spans="1:10" x14ac:dyDescent="0.3">
      <c r="A352" t="s">
        <v>266</v>
      </c>
      <c r="B352">
        <v>36</v>
      </c>
    </row>
    <row r="353" spans="1:10" x14ac:dyDescent="0.3">
      <c r="A353" t="s">
        <v>267</v>
      </c>
      <c r="B353">
        <v>36</v>
      </c>
      <c r="C353">
        <v>13.5</v>
      </c>
      <c r="D353">
        <v>31.7</v>
      </c>
      <c r="E353">
        <v>12.3</v>
      </c>
      <c r="F353">
        <v>25.2</v>
      </c>
      <c r="G353">
        <v>13.3</v>
      </c>
      <c r="H353">
        <v>34.700000000000003</v>
      </c>
      <c r="I353">
        <v>12.7</v>
      </c>
      <c r="J353">
        <v>25.2</v>
      </c>
    </row>
    <row r="354" spans="1:10" x14ac:dyDescent="0.3">
      <c r="A354" t="s">
        <v>268</v>
      </c>
      <c r="B354">
        <v>36</v>
      </c>
      <c r="C354">
        <v>0</v>
      </c>
      <c r="D354">
        <v>1</v>
      </c>
      <c r="E354">
        <v>0</v>
      </c>
      <c r="F354">
        <v>1</v>
      </c>
      <c r="G354">
        <v>0</v>
      </c>
      <c r="H354">
        <v>1</v>
      </c>
      <c r="I354">
        <v>0</v>
      </c>
      <c r="J354">
        <v>1</v>
      </c>
    </row>
    <row r="355" spans="1:10" x14ac:dyDescent="0.3">
      <c r="A355" t="s">
        <v>269</v>
      </c>
      <c r="B355">
        <v>36</v>
      </c>
      <c r="C355">
        <v>1</v>
      </c>
      <c r="D355">
        <v>1</v>
      </c>
      <c r="E355">
        <v>1</v>
      </c>
      <c r="F355">
        <v>1</v>
      </c>
      <c r="G355">
        <v>1</v>
      </c>
      <c r="H355">
        <v>1</v>
      </c>
      <c r="I355">
        <v>1</v>
      </c>
      <c r="J355">
        <v>1</v>
      </c>
    </row>
    <row r="356" spans="1:10" x14ac:dyDescent="0.3">
      <c r="A356" t="s">
        <v>270</v>
      </c>
      <c r="B356">
        <v>36</v>
      </c>
      <c r="C356">
        <v>78</v>
      </c>
      <c r="D356">
        <v>108</v>
      </c>
      <c r="E356">
        <v>22</v>
      </c>
      <c r="F356">
        <v>45</v>
      </c>
      <c r="G356">
        <v>78</v>
      </c>
      <c r="H356">
        <v>97</v>
      </c>
      <c r="I356">
        <v>22</v>
      </c>
      <c r="J356">
        <v>46</v>
      </c>
    </row>
    <row r="357" spans="1:10" x14ac:dyDescent="0.3">
      <c r="A357" t="s">
        <v>271</v>
      </c>
      <c r="B357">
        <v>36</v>
      </c>
      <c r="C357">
        <v>108</v>
      </c>
      <c r="D357">
        <v>22</v>
      </c>
      <c r="E357">
        <v>45</v>
      </c>
      <c r="F357">
        <v>78</v>
      </c>
      <c r="G357">
        <v>97</v>
      </c>
      <c r="H357">
        <v>22</v>
      </c>
      <c r="I357">
        <v>46</v>
      </c>
      <c r="J357">
        <v>78</v>
      </c>
    </row>
    <row r="358" spans="1:10" x14ac:dyDescent="0.3">
      <c r="A358" t="s">
        <v>272</v>
      </c>
      <c r="B358">
        <v>36</v>
      </c>
      <c r="C358">
        <v>100.5</v>
      </c>
      <c r="D358">
        <v>15.3</v>
      </c>
      <c r="E358">
        <v>38.700000000000003</v>
      </c>
      <c r="F358">
        <v>70.7</v>
      </c>
      <c r="G358">
        <v>89.7</v>
      </c>
      <c r="H358">
        <v>12.3</v>
      </c>
      <c r="I358">
        <v>39.299999999999997</v>
      </c>
      <c r="J358">
        <v>70.8</v>
      </c>
    </row>
    <row r="359" spans="1:10" x14ac:dyDescent="0.3">
      <c r="A359" t="s">
        <v>273</v>
      </c>
      <c r="B359">
        <v>36</v>
      </c>
      <c r="C359">
        <v>100.5</v>
      </c>
      <c r="D359">
        <v>15.3</v>
      </c>
      <c r="E359">
        <v>38.700000000000003</v>
      </c>
      <c r="F359">
        <v>70.7</v>
      </c>
      <c r="G359">
        <v>89.7</v>
      </c>
      <c r="H359">
        <v>12.3</v>
      </c>
      <c r="I359">
        <v>39.299999999999997</v>
      </c>
      <c r="J359">
        <v>70.8</v>
      </c>
    </row>
    <row r="360" spans="1:10" x14ac:dyDescent="0.3">
      <c r="A360" t="s">
        <v>274</v>
      </c>
      <c r="B360">
        <v>36</v>
      </c>
      <c r="C360">
        <v>110</v>
      </c>
      <c r="D360">
        <v>0</v>
      </c>
      <c r="E360">
        <v>54</v>
      </c>
      <c r="F360">
        <v>77</v>
      </c>
      <c r="G360">
        <v>110</v>
      </c>
      <c r="H360">
        <v>129</v>
      </c>
      <c r="I360">
        <v>54</v>
      </c>
      <c r="J360">
        <v>78</v>
      </c>
    </row>
    <row r="361" spans="1:10" x14ac:dyDescent="0.3">
      <c r="A361" t="s">
        <v>275</v>
      </c>
      <c r="B361">
        <v>36</v>
      </c>
      <c r="C361">
        <v>132.5</v>
      </c>
      <c r="D361">
        <v>47.3</v>
      </c>
      <c r="E361">
        <v>70.7</v>
      </c>
      <c r="F361">
        <v>102.7</v>
      </c>
      <c r="G361">
        <v>121.7</v>
      </c>
      <c r="H361">
        <v>44.3</v>
      </c>
      <c r="I361">
        <v>71.3</v>
      </c>
      <c r="J361">
        <v>102.8</v>
      </c>
    </row>
    <row r="362" spans="1:10" x14ac:dyDescent="0.3">
      <c r="A362" t="s">
        <v>276</v>
      </c>
      <c r="B362">
        <v>36</v>
      </c>
      <c r="C362">
        <v>132.5</v>
      </c>
      <c r="D362">
        <v>47.3</v>
      </c>
      <c r="E362">
        <v>70.7</v>
      </c>
      <c r="F362">
        <v>102.7</v>
      </c>
      <c r="G362">
        <v>121.7</v>
      </c>
      <c r="H362">
        <v>44.3</v>
      </c>
      <c r="I362">
        <v>71.3</v>
      </c>
      <c r="J362">
        <v>102.8</v>
      </c>
    </row>
    <row r="363" spans="1:10" x14ac:dyDescent="0.3">
      <c r="A363" t="s">
        <v>567</v>
      </c>
      <c r="B363">
        <v>36</v>
      </c>
      <c r="C363">
        <v>12.3</v>
      </c>
      <c r="D363">
        <v>81.3</v>
      </c>
      <c r="E363">
        <v>7.8</v>
      </c>
      <c r="F363">
        <v>10.8</v>
      </c>
      <c r="G363">
        <v>5.8</v>
      </c>
      <c r="H363">
        <v>85</v>
      </c>
      <c r="I363">
        <v>8</v>
      </c>
      <c r="J363">
        <v>10.3</v>
      </c>
    </row>
    <row r="364" spans="1:10" x14ac:dyDescent="0.3">
      <c r="A364" t="s">
        <v>254</v>
      </c>
      <c r="B364">
        <v>39</v>
      </c>
      <c r="C364">
        <v>112</v>
      </c>
      <c r="D364">
        <v>111</v>
      </c>
      <c r="E364">
        <v>212</v>
      </c>
      <c r="F364">
        <v>211</v>
      </c>
      <c r="G364">
        <v>121</v>
      </c>
      <c r="H364">
        <v>122</v>
      </c>
      <c r="I364">
        <v>221</v>
      </c>
      <c r="J364">
        <v>222</v>
      </c>
    </row>
    <row r="365" spans="1:10" x14ac:dyDescent="0.3">
      <c r="A365" t="s">
        <v>255</v>
      </c>
      <c r="B365">
        <v>39</v>
      </c>
      <c r="C365">
        <v>12</v>
      </c>
      <c r="D365">
        <v>6</v>
      </c>
      <c r="E365">
        <v>6</v>
      </c>
      <c r="F365">
        <v>12</v>
      </c>
    </row>
    <row r="366" spans="1:10" x14ac:dyDescent="0.3">
      <c r="A366" t="s">
        <v>256</v>
      </c>
      <c r="B366">
        <v>39</v>
      </c>
      <c r="C366">
        <v>39.700000000000003</v>
      </c>
      <c r="D366">
        <v>19.399999999999999</v>
      </c>
      <c r="E366">
        <v>32.1</v>
      </c>
      <c r="F366">
        <v>12.1</v>
      </c>
    </row>
    <row r="367" spans="1:10" x14ac:dyDescent="0.3">
      <c r="A367" t="s">
        <v>257</v>
      </c>
      <c r="B367">
        <v>39</v>
      </c>
      <c r="C367">
        <v>4.5</v>
      </c>
      <c r="D367">
        <v>2.5</v>
      </c>
      <c r="E367">
        <v>3</v>
      </c>
      <c r="F367">
        <v>2.5</v>
      </c>
    </row>
    <row r="368" spans="1:10" x14ac:dyDescent="0.3">
      <c r="A368" t="s">
        <v>258</v>
      </c>
      <c r="B368">
        <v>39</v>
      </c>
      <c r="C368">
        <v>0</v>
      </c>
      <c r="D368">
        <v>0</v>
      </c>
      <c r="E368">
        <v>0</v>
      </c>
      <c r="F368">
        <v>0</v>
      </c>
    </row>
    <row r="369" spans="1:6" x14ac:dyDescent="0.3">
      <c r="A369" t="s">
        <v>259</v>
      </c>
      <c r="B369">
        <v>39</v>
      </c>
      <c r="C369">
        <v>0</v>
      </c>
      <c r="D369">
        <v>0</v>
      </c>
      <c r="E369">
        <v>0</v>
      </c>
      <c r="F369">
        <v>0</v>
      </c>
    </row>
    <row r="370" spans="1:6" x14ac:dyDescent="0.3">
      <c r="A370" t="s">
        <v>260</v>
      </c>
      <c r="B370">
        <v>39</v>
      </c>
      <c r="C370">
        <v>3</v>
      </c>
      <c r="D370">
        <v>3</v>
      </c>
      <c r="E370">
        <v>3</v>
      </c>
      <c r="F370">
        <v>3</v>
      </c>
    </row>
    <row r="371" spans="1:6" x14ac:dyDescent="0.3">
      <c r="A371" t="s">
        <v>261</v>
      </c>
      <c r="B371">
        <v>39</v>
      </c>
      <c r="C371">
        <v>5.0999999999999996</v>
      </c>
      <c r="D371">
        <v>5</v>
      </c>
      <c r="E371">
        <v>5.0999999999999996</v>
      </c>
      <c r="F371">
        <v>5.4</v>
      </c>
    </row>
    <row r="372" spans="1:6" x14ac:dyDescent="0.3">
      <c r="A372" t="s">
        <v>262</v>
      </c>
      <c r="B372">
        <v>39</v>
      </c>
      <c r="C372">
        <v>2.2000000000000002</v>
      </c>
      <c r="D372">
        <v>4.5999999999999996</v>
      </c>
      <c r="E372">
        <v>4.8</v>
      </c>
      <c r="F372">
        <v>4.5</v>
      </c>
    </row>
    <row r="373" spans="1:6" x14ac:dyDescent="0.3">
      <c r="A373" t="s">
        <v>263</v>
      </c>
      <c r="B373">
        <v>39</v>
      </c>
      <c r="C373">
        <v>0</v>
      </c>
      <c r="D373">
        <v>3</v>
      </c>
      <c r="E373">
        <v>0</v>
      </c>
      <c r="F373">
        <v>0</v>
      </c>
    </row>
    <row r="374" spans="1:6" x14ac:dyDescent="0.3">
      <c r="A374" t="s">
        <v>264</v>
      </c>
      <c r="B374">
        <v>39</v>
      </c>
    </row>
    <row r="375" spans="1:6" x14ac:dyDescent="0.3">
      <c r="A375" t="s">
        <v>265</v>
      </c>
      <c r="B375">
        <v>39</v>
      </c>
    </row>
    <row r="376" spans="1:6" x14ac:dyDescent="0.3">
      <c r="A376" t="s">
        <v>266</v>
      </c>
      <c r="B376">
        <v>39</v>
      </c>
    </row>
    <row r="377" spans="1:6" x14ac:dyDescent="0.3">
      <c r="A377" t="s">
        <v>267</v>
      </c>
      <c r="B377">
        <v>39</v>
      </c>
      <c r="C377">
        <v>19.3</v>
      </c>
      <c r="D377">
        <v>15.6</v>
      </c>
      <c r="E377">
        <v>15.9</v>
      </c>
      <c r="F377">
        <v>21.9</v>
      </c>
    </row>
    <row r="378" spans="1:6" x14ac:dyDescent="0.3">
      <c r="A378" t="s">
        <v>268</v>
      </c>
      <c r="B378">
        <v>39</v>
      </c>
      <c r="C378">
        <v>1</v>
      </c>
      <c r="D378">
        <v>1</v>
      </c>
      <c r="E378">
        <v>1</v>
      </c>
      <c r="F378">
        <v>1</v>
      </c>
    </row>
    <row r="379" spans="1:6" x14ac:dyDescent="0.3">
      <c r="A379" t="s">
        <v>269</v>
      </c>
      <c r="B379">
        <v>39</v>
      </c>
      <c r="C379">
        <v>1</v>
      </c>
      <c r="D379">
        <v>1</v>
      </c>
      <c r="E379">
        <v>1</v>
      </c>
      <c r="F379">
        <v>1</v>
      </c>
    </row>
    <row r="380" spans="1:6" x14ac:dyDescent="0.3">
      <c r="A380" t="s">
        <v>270</v>
      </c>
      <c r="B380">
        <v>39</v>
      </c>
      <c r="C380">
        <v>30</v>
      </c>
      <c r="D380">
        <v>1</v>
      </c>
      <c r="E380">
        <v>99</v>
      </c>
      <c r="F380">
        <v>77</v>
      </c>
    </row>
    <row r="381" spans="1:6" x14ac:dyDescent="0.3">
      <c r="A381" t="s">
        <v>271</v>
      </c>
      <c r="B381">
        <v>39</v>
      </c>
      <c r="C381">
        <v>77</v>
      </c>
      <c r="D381">
        <v>30</v>
      </c>
      <c r="E381">
        <v>1</v>
      </c>
      <c r="F381">
        <v>99</v>
      </c>
    </row>
    <row r="382" spans="1:6" x14ac:dyDescent="0.3">
      <c r="A382" t="s">
        <v>272</v>
      </c>
      <c r="B382">
        <v>39</v>
      </c>
      <c r="C382">
        <v>69.7</v>
      </c>
      <c r="D382">
        <v>20.399999999999999</v>
      </c>
      <c r="E382">
        <v>131.1</v>
      </c>
      <c r="F382">
        <v>89.1</v>
      </c>
    </row>
    <row r="383" spans="1:6" x14ac:dyDescent="0.3">
      <c r="A383" t="s">
        <v>273</v>
      </c>
      <c r="B383">
        <v>39</v>
      </c>
      <c r="C383">
        <v>69.7</v>
      </c>
      <c r="D383">
        <v>20.399999999999999</v>
      </c>
      <c r="E383">
        <v>131.1</v>
      </c>
      <c r="F383">
        <v>89.1</v>
      </c>
    </row>
    <row r="384" spans="1:6" x14ac:dyDescent="0.3">
      <c r="A384" t="s">
        <v>274</v>
      </c>
      <c r="B384">
        <v>39</v>
      </c>
      <c r="C384">
        <v>29</v>
      </c>
      <c r="D384">
        <v>0</v>
      </c>
      <c r="E384">
        <v>98</v>
      </c>
      <c r="F384">
        <v>76</v>
      </c>
    </row>
    <row r="385" spans="1:10" x14ac:dyDescent="0.3">
      <c r="A385" t="s">
        <v>275</v>
      </c>
      <c r="B385">
        <v>39</v>
      </c>
      <c r="C385">
        <v>68.7</v>
      </c>
      <c r="D385">
        <v>19.399999999999999</v>
      </c>
      <c r="E385">
        <v>130.1</v>
      </c>
      <c r="F385">
        <v>88.1</v>
      </c>
    </row>
    <row r="386" spans="1:10" x14ac:dyDescent="0.3">
      <c r="A386" t="s">
        <v>276</v>
      </c>
      <c r="B386">
        <v>39</v>
      </c>
      <c r="C386">
        <v>68.7</v>
      </c>
      <c r="D386">
        <v>19.399999999999999</v>
      </c>
      <c r="E386">
        <v>130.1</v>
      </c>
      <c r="F386">
        <v>88.1</v>
      </c>
    </row>
    <row r="387" spans="1:10" x14ac:dyDescent="0.3">
      <c r="A387" t="s">
        <v>567</v>
      </c>
      <c r="B387">
        <v>39</v>
      </c>
      <c r="C387">
        <v>39.700000000000003</v>
      </c>
      <c r="D387">
        <v>19.399999999999999</v>
      </c>
      <c r="E387">
        <v>32.1</v>
      </c>
      <c r="F387">
        <v>12.1</v>
      </c>
    </row>
    <row r="388" spans="1:10" x14ac:dyDescent="0.3">
      <c r="A388" t="s">
        <v>254</v>
      </c>
      <c r="B388">
        <v>44</v>
      </c>
      <c r="C388">
        <v>111</v>
      </c>
      <c r="D388">
        <v>112</v>
      </c>
      <c r="E388">
        <v>211</v>
      </c>
      <c r="F388">
        <v>212</v>
      </c>
      <c r="G388">
        <v>121</v>
      </c>
      <c r="H388">
        <v>122</v>
      </c>
      <c r="I388">
        <v>221</v>
      </c>
      <c r="J388">
        <v>222</v>
      </c>
    </row>
    <row r="389" spans="1:10" x14ac:dyDescent="0.3">
      <c r="A389" t="s">
        <v>255</v>
      </c>
      <c r="B389">
        <v>44</v>
      </c>
      <c r="C389">
        <v>6</v>
      </c>
      <c r="D389">
        <v>15</v>
      </c>
      <c r="E389">
        <v>12</v>
      </c>
      <c r="F389">
        <v>8</v>
      </c>
      <c r="G389">
        <v>12</v>
      </c>
      <c r="H389">
        <v>15</v>
      </c>
      <c r="I389">
        <v>6</v>
      </c>
      <c r="J389">
        <v>8</v>
      </c>
    </row>
    <row r="390" spans="1:10" x14ac:dyDescent="0.3">
      <c r="A390" t="s">
        <v>256</v>
      </c>
      <c r="B390">
        <v>44</v>
      </c>
      <c r="C390">
        <v>6.9</v>
      </c>
      <c r="D390">
        <v>48.6</v>
      </c>
      <c r="E390">
        <v>32</v>
      </c>
      <c r="F390">
        <v>50</v>
      </c>
      <c r="G390">
        <v>12</v>
      </c>
      <c r="H390">
        <v>43.7</v>
      </c>
      <c r="I390">
        <v>6</v>
      </c>
      <c r="J390">
        <v>75.8</v>
      </c>
    </row>
    <row r="391" spans="1:10" x14ac:dyDescent="0.3">
      <c r="A391" t="s">
        <v>257</v>
      </c>
      <c r="B391">
        <v>44</v>
      </c>
      <c r="C391">
        <v>2.5</v>
      </c>
      <c r="D391">
        <v>6.5</v>
      </c>
      <c r="E391">
        <v>3</v>
      </c>
      <c r="F391">
        <v>2.5</v>
      </c>
      <c r="G391">
        <v>2.5</v>
      </c>
      <c r="H391">
        <v>6.5</v>
      </c>
      <c r="I391">
        <v>2.5</v>
      </c>
      <c r="J391">
        <v>2.5</v>
      </c>
    </row>
    <row r="392" spans="1:10" x14ac:dyDescent="0.3">
      <c r="A392" t="s">
        <v>258</v>
      </c>
      <c r="B392">
        <v>44</v>
      </c>
      <c r="C392">
        <v>0</v>
      </c>
      <c r="D392">
        <v>0</v>
      </c>
      <c r="E392">
        <v>0</v>
      </c>
      <c r="F392">
        <v>0</v>
      </c>
      <c r="G392">
        <v>0</v>
      </c>
      <c r="H392">
        <v>0</v>
      </c>
      <c r="I392">
        <v>0</v>
      </c>
      <c r="J392">
        <v>0</v>
      </c>
    </row>
    <row r="393" spans="1:10" x14ac:dyDescent="0.3">
      <c r="A393" t="s">
        <v>259</v>
      </c>
      <c r="B393">
        <v>44</v>
      </c>
      <c r="C393">
        <v>0</v>
      </c>
      <c r="D393">
        <v>0</v>
      </c>
      <c r="E393">
        <v>0</v>
      </c>
      <c r="F393">
        <v>0</v>
      </c>
      <c r="G393">
        <v>0</v>
      </c>
      <c r="H393">
        <v>0</v>
      </c>
      <c r="I393">
        <v>0</v>
      </c>
      <c r="J393">
        <v>0</v>
      </c>
    </row>
    <row r="394" spans="1:10" x14ac:dyDescent="0.3">
      <c r="A394" t="s">
        <v>260</v>
      </c>
      <c r="B394">
        <v>44</v>
      </c>
      <c r="C394">
        <v>3</v>
      </c>
      <c r="D394">
        <v>3</v>
      </c>
      <c r="E394">
        <v>3</v>
      </c>
      <c r="F394">
        <v>3</v>
      </c>
      <c r="G394">
        <v>3</v>
      </c>
      <c r="H394">
        <v>3</v>
      </c>
      <c r="I394">
        <v>3</v>
      </c>
      <c r="J394">
        <v>3</v>
      </c>
    </row>
    <row r="395" spans="1:10" x14ac:dyDescent="0.3">
      <c r="A395" t="s">
        <v>261</v>
      </c>
      <c r="B395">
        <v>44</v>
      </c>
      <c r="C395">
        <v>3</v>
      </c>
      <c r="D395">
        <v>5.8</v>
      </c>
      <c r="E395">
        <v>3</v>
      </c>
      <c r="F395">
        <v>3.3</v>
      </c>
      <c r="G395">
        <v>3</v>
      </c>
      <c r="H395">
        <v>5.8</v>
      </c>
      <c r="I395">
        <v>3</v>
      </c>
      <c r="J395">
        <v>4.4000000000000004</v>
      </c>
    </row>
    <row r="396" spans="1:10" x14ac:dyDescent="0.3">
      <c r="A396" t="s">
        <v>262</v>
      </c>
      <c r="B396">
        <v>44</v>
      </c>
      <c r="C396">
        <v>4.7</v>
      </c>
      <c r="D396">
        <v>2</v>
      </c>
      <c r="E396">
        <v>6</v>
      </c>
      <c r="F396">
        <v>4.7</v>
      </c>
      <c r="G396">
        <v>4.7</v>
      </c>
      <c r="H396">
        <v>1.8</v>
      </c>
      <c r="I396">
        <v>5.0999999999999996</v>
      </c>
      <c r="J396">
        <v>4.7</v>
      </c>
    </row>
    <row r="397" spans="1:10" x14ac:dyDescent="0.3">
      <c r="A397" t="s">
        <v>263</v>
      </c>
      <c r="B397">
        <v>44</v>
      </c>
      <c r="C397">
        <v>0</v>
      </c>
      <c r="D397">
        <v>3</v>
      </c>
      <c r="E397">
        <v>0</v>
      </c>
      <c r="F397">
        <v>0</v>
      </c>
      <c r="G397">
        <v>0</v>
      </c>
      <c r="H397">
        <v>3</v>
      </c>
      <c r="I397">
        <v>0</v>
      </c>
      <c r="J397">
        <v>0</v>
      </c>
    </row>
    <row r="398" spans="1:10" x14ac:dyDescent="0.3">
      <c r="A398" t="s">
        <v>264</v>
      </c>
      <c r="B398">
        <v>44</v>
      </c>
      <c r="D398">
        <v>7</v>
      </c>
      <c r="F398">
        <v>7</v>
      </c>
      <c r="H398">
        <v>7</v>
      </c>
      <c r="J398">
        <v>7</v>
      </c>
    </row>
    <row r="399" spans="1:10" x14ac:dyDescent="0.3">
      <c r="A399" t="s">
        <v>265</v>
      </c>
      <c r="B399">
        <v>44</v>
      </c>
      <c r="D399">
        <v>35</v>
      </c>
      <c r="F399">
        <v>43</v>
      </c>
      <c r="H399">
        <v>25</v>
      </c>
      <c r="J399">
        <v>42</v>
      </c>
    </row>
    <row r="400" spans="1:10" x14ac:dyDescent="0.3">
      <c r="A400" t="s">
        <v>266</v>
      </c>
      <c r="B400">
        <v>44</v>
      </c>
      <c r="D400">
        <v>0</v>
      </c>
      <c r="F400">
        <v>0</v>
      </c>
      <c r="H400">
        <v>0</v>
      </c>
      <c r="J400">
        <v>0</v>
      </c>
    </row>
    <row r="401" spans="1:10" x14ac:dyDescent="0.3">
      <c r="A401" t="s">
        <v>267</v>
      </c>
      <c r="B401">
        <v>44</v>
      </c>
      <c r="C401">
        <v>13.7</v>
      </c>
      <c r="D401">
        <v>54.8</v>
      </c>
      <c r="E401">
        <v>21</v>
      </c>
      <c r="F401">
        <v>58</v>
      </c>
      <c r="G401">
        <v>19.7</v>
      </c>
      <c r="H401">
        <v>44.6</v>
      </c>
      <c r="I401">
        <v>14.1</v>
      </c>
      <c r="J401">
        <v>62.1</v>
      </c>
    </row>
    <row r="402" spans="1:10" x14ac:dyDescent="0.3">
      <c r="A402" t="s">
        <v>268</v>
      </c>
      <c r="B402">
        <v>44</v>
      </c>
      <c r="C402">
        <v>0</v>
      </c>
      <c r="D402">
        <v>1</v>
      </c>
      <c r="E402">
        <v>0</v>
      </c>
      <c r="F402">
        <v>1</v>
      </c>
      <c r="G402">
        <v>0</v>
      </c>
      <c r="H402">
        <v>1</v>
      </c>
      <c r="I402">
        <v>0</v>
      </c>
      <c r="J402">
        <v>1</v>
      </c>
    </row>
    <row r="403" spans="1:10" x14ac:dyDescent="0.3">
      <c r="A403" t="s">
        <v>269</v>
      </c>
      <c r="B403">
        <v>44</v>
      </c>
      <c r="C403">
        <v>1</v>
      </c>
      <c r="D403">
        <v>1</v>
      </c>
      <c r="E403">
        <v>1</v>
      </c>
      <c r="F403">
        <v>1</v>
      </c>
      <c r="G403">
        <v>1</v>
      </c>
      <c r="H403">
        <v>1</v>
      </c>
      <c r="I403">
        <v>1</v>
      </c>
      <c r="J403">
        <v>1</v>
      </c>
    </row>
    <row r="404" spans="1:10" x14ac:dyDescent="0.3">
      <c r="A404" t="s">
        <v>270</v>
      </c>
      <c r="B404">
        <v>44</v>
      </c>
      <c r="C404">
        <v>0</v>
      </c>
      <c r="D404">
        <v>14.6</v>
      </c>
      <c r="E404">
        <v>71</v>
      </c>
      <c r="F404">
        <v>112</v>
      </c>
      <c r="G404">
        <v>0</v>
      </c>
      <c r="H404">
        <v>19.7</v>
      </c>
      <c r="I404">
        <v>71</v>
      </c>
      <c r="J404">
        <v>85.1</v>
      </c>
    </row>
    <row r="405" spans="1:10" x14ac:dyDescent="0.3">
      <c r="A405" t="s">
        <v>271</v>
      </c>
      <c r="B405">
        <v>44</v>
      </c>
      <c r="C405">
        <v>14.6</v>
      </c>
      <c r="D405">
        <v>71</v>
      </c>
      <c r="E405">
        <v>112</v>
      </c>
      <c r="F405">
        <v>0</v>
      </c>
      <c r="G405">
        <v>19.7</v>
      </c>
      <c r="H405">
        <v>71</v>
      </c>
      <c r="I405">
        <v>85.1</v>
      </c>
      <c r="J405">
        <v>0</v>
      </c>
    </row>
    <row r="406" spans="1:10" x14ac:dyDescent="0.3">
      <c r="A406" t="s">
        <v>272</v>
      </c>
      <c r="B406">
        <v>44</v>
      </c>
      <c r="C406">
        <v>6.9</v>
      </c>
      <c r="D406">
        <v>63.2</v>
      </c>
      <c r="E406">
        <v>103</v>
      </c>
      <c r="F406">
        <v>162</v>
      </c>
      <c r="G406">
        <v>12</v>
      </c>
      <c r="H406">
        <v>63.4</v>
      </c>
      <c r="I406">
        <v>77</v>
      </c>
      <c r="J406">
        <v>160.9</v>
      </c>
    </row>
    <row r="407" spans="1:10" x14ac:dyDescent="0.3">
      <c r="A407" t="s">
        <v>273</v>
      </c>
      <c r="B407">
        <v>44</v>
      </c>
      <c r="C407">
        <v>6.9</v>
      </c>
      <c r="D407">
        <v>28.2</v>
      </c>
      <c r="E407">
        <v>103</v>
      </c>
      <c r="F407">
        <v>162</v>
      </c>
      <c r="G407">
        <v>12</v>
      </c>
      <c r="H407">
        <v>38.4</v>
      </c>
      <c r="I407">
        <v>77</v>
      </c>
      <c r="J407">
        <v>160.9</v>
      </c>
    </row>
    <row r="408" spans="1:10" x14ac:dyDescent="0.3">
      <c r="A408" t="s">
        <v>274</v>
      </c>
      <c r="B408">
        <v>44</v>
      </c>
      <c r="C408">
        <v>150.30000000000001</v>
      </c>
      <c r="D408">
        <v>164.9</v>
      </c>
      <c r="E408">
        <v>51.3</v>
      </c>
      <c r="F408">
        <v>92.3</v>
      </c>
      <c r="G408">
        <v>150.30000000000001</v>
      </c>
      <c r="H408">
        <v>0</v>
      </c>
      <c r="I408">
        <v>51.3</v>
      </c>
      <c r="J408">
        <v>65.400000000000006</v>
      </c>
    </row>
    <row r="409" spans="1:10" x14ac:dyDescent="0.3">
      <c r="A409" t="s">
        <v>275</v>
      </c>
      <c r="B409">
        <v>44</v>
      </c>
      <c r="C409">
        <v>157.19999999999999</v>
      </c>
      <c r="D409">
        <v>43.5</v>
      </c>
      <c r="E409">
        <v>83.3</v>
      </c>
      <c r="F409">
        <v>142.30000000000001</v>
      </c>
      <c r="G409">
        <v>162.30000000000001</v>
      </c>
      <c r="H409">
        <v>43.7</v>
      </c>
      <c r="I409">
        <v>57.3</v>
      </c>
      <c r="J409">
        <v>141.19999999999999</v>
      </c>
    </row>
    <row r="410" spans="1:10" x14ac:dyDescent="0.3">
      <c r="A410" t="s">
        <v>276</v>
      </c>
      <c r="B410">
        <v>44</v>
      </c>
      <c r="C410">
        <v>157.19999999999999</v>
      </c>
      <c r="D410">
        <v>8.5</v>
      </c>
      <c r="E410">
        <v>83.3</v>
      </c>
      <c r="F410">
        <v>142.30000000000001</v>
      </c>
      <c r="G410">
        <v>162.30000000000001</v>
      </c>
      <c r="H410">
        <v>18.7</v>
      </c>
      <c r="I410">
        <v>57.3</v>
      </c>
      <c r="J410">
        <v>141.19999999999999</v>
      </c>
    </row>
    <row r="411" spans="1:10" x14ac:dyDescent="0.3">
      <c r="A411" t="s">
        <v>567</v>
      </c>
      <c r="B411">
        <v>44</v>
      </c>
      <c r="C411">
        <v>6.9</v>
      </c>
      <c r="D411">
        <v>55.1</v>
      </c>
      <c r="E411">
        <v>32.1</v>
      </c>
      <c r="F411">
        <v>7.7</v>
      </c>
      <c r="G411">
        <v>2.2999999999999998</v>
      </c>
      <c r="H411">
        <v>59.9</v>
      </c>
      <c r="I411">
        <v>1.1000000000000001</v>
      </c>
      <c r="J411">
        <v>38.5</v>
      </c>
    </row>
    <row r="412" spans="1:10" x14ac:dyDescent="0.3">
      <c r="A412" t="s">
        <v>254</v>
      </c>
      <c r="B412">
        <v>46</v>
      </c>
      <c r="C412">
        <v>111</v>
      </c>
      <c r="D412">
        <v>112</v>
      </c>
      <c r="E412">
        <v>211</v>
      </c>
      <c r="F412">
        <v>212</v>
      </c>
      <c r="G412">
        <v>121</v>
      </c>
      <c r="H412">
        <v>122</v>
      </c>
      <c r="I412">
        <v>221</v>
      </c>
      <c r="J412">
        <v>222</v>
      </c>
    </row>
    <row r="413" spans="1:10" x14ac:dyDescent="0.3">
      <c r="A413" t="s">
        <v>255</v>
      </c>
      <c r="B413">
        <v>46</v>
      </c>
      <c r="D413">
        <v>8</v>
      </c>
      <c r="F413">
        <v>5</v>
      </c>
      <c r="G413">
        <v>5</v>
      </c>
      <c r="H413">
        <v>8</v>
      </c>
    </row>
    <row r="414" spans="1:10" x14ac:dyDescent="0.3">
      <c r="A414" t="s">
        <v>256</v>
      </c>
      <c r="B414">
        <v>46</v>
      </c>
      <c r="D414">
        <v>103.9</v>
      </c>
      <c r="F414">
        <v>22.4</v>
      </c>
      <c r="G414">
        <v>18.100000000000001</v>
      </c>
      <c r="H414">
        <v>78.900000000000006</v>
      </c>
    </row>
    <row r="415" spans="1:10" x14ac:dyDescent="0.3">
      <c r="A415" t="s">
        <v>257</v>
      </c>
      <c r="B415">
        <v>46</v>
      </c>
      <c r="D415">
        <v>2.5</v>
      </c>
      <c r="F415">
        <v>2.5</v>
      </c>
      <c r="G415">
        <v>2.5</v>
      </c>
      <c r="H415">
        <v>2.5</v>
      </c>
    </row>
    <row r="416" spans="1:10" x14ac:dyDescent="0.3">
      <c r="A416" t="s">
        <v>258</v>
      </c>
      <c r="B416">
        <v>46</v>
      </c>
      <c r="D416">
        <v>0</v>
      </c>
      <c r="F416">
        <v>0</v>
      </c>
      <c r="G416">
        <v>0</v>
      </c>
      <c r="H416">
        <v>0</v>
      </c>
    </row>
    <row r="417" spans="1:8" x14ac:dyDescent="0.3">
      <c r="A417" t="s">
        <v>259</v>
      </c>
      <c r="B417">
        <v>46</v>
      </c>
      <c r="D417">
        <v>0</v>
      </c>
      <c r="F417">
        <v>0</v>
      </c>
      <c r="G417">
        <v>0</v>
      </c>
      <c r="H417">
        <v>0</v>
      </c>
    </row>
    <row r="418" spans="1:8" x14ac:dyDescent="0.3">
      <c r="A418" t="s">
        <v>260</v>
      </c>
      <c r="B418">
        <v>46</v>
      </c>
      <c r="D418">
        <v>3</v>
      </c>
      <c r="F418">
        <v>3</v>
      </c>
      <c r="G418">
        <v>3</v>
      </c>
      <c r="H418">
        <v>3</v>
      </c>
    </row>
    <row r="419" spans="1:8" x14ac:dyDescent="0.3">
      <c r="A419" t="s">
        <v>261</v>
      </c>
      <c r="B419">
        <v>46</v>
      </c>
      <c r="D419">
        <v>4.4000000000000004</v>
      </c>
      <c r="F419">
        <v>3</v>
      </c>
      <c r="G419">
        <v>3</v>
      </c>
      <c r="H419">
        <v>4.4000000000000004</v>
      </c>
    </row>
    <row r="420" spans="1:8" x14ac:dyDescent="0.3">
      <c r="A420" t="s">
        <v>262</v>
      </c>
      <c r="B420">
        <v>46</v>
      </c>
      <c r="D420">
        <v>1.7</v>
      </c>
      <c r="F420">
        <v>4.5999999999999996</v>
      </c>
      <c r="G420">
        <v>3.9</v>
      </c>
      <c r="H420">
        <v>1.7</v>
      </c>
    </row>
    <row r="421" spans="1:8" x14ac:dyDescent="0.3">
      <c r="A421" t="s">
        <v>263</v>
      </c>
      <c r="B421">
        <v>46</v>
      </c>
      <c r="D421">
        <v>3</v>
      </c>
      <c r="F421">
        <v>0</v>
      </c>
      <c r="G421">
        <v>0</v>
      </c>
      <c r="H421">
        <v>3</v>
      </c>
    </row>
    <row r="422" spans="1:8" x14ac:dyDescent="0.3">
      <c r="A422" t="s">
        <v>264</v>
      </c>
      <c r="B422">
        <v>46</v>
      </c>
      <c r="H422">
        <v>7</v>
      </c>
    </row>
    <row r="423" spans="1:8" x14ac:dyDescent="0.3">
      <c r="A423" t="s">
        <v>265</v>
      </c>
      <c r="B423">
        <v>46</v>
      </c>
      <c r="H423">
        <v>22</v>
      </c>
    </row>
    <row r="424" spans="1:8" x14ac:dyDescent="0.3">
      <c r="A424" t="s">
        <v>266</v>
      </c>
      <c r="B424">
        <v>46</v>
      </c>
      <c r="H424">
        <v>0</v>
      </c>
    </row>
    <row r="425" spans="1:8" x14ac:dyDescent="0.3">
      <c r="A425" t="s">
        <v>267</v>
      </c>
      <c r="B425">
        <v>46</v>
      </c>
      <c r="D425">
        <v>22.5</v>
      </c>
      <c r="F425">
        <v>22.5</v>
      </c>
      <c r="G425">
        <v>11.9</v>
      </c>
      <c r="H425">
        <v>40.1</v>
      </c>
    </row>
    <row r="426" spans="1:8" x14ac:dyDescent="0.3">
      <c r="A426" t="s">
        <v>268</v>
      </c>
      <c r="B426">
        <v>46</v>
      </c>
      <c r="D426">
        <v>1</v>
      </c>
      <c r="F426">
        <v>1</v>
      </c>
      <c r="G426">
        <v>0</v>
      </c>
      <c r="H426">
        <v>1</v>
      </c>
    </row>
    <row r="427" spans="1:8" x14ac:dyDescent="0.3">
      <c r="A427" t="s">
        <v>269</v>
      </c>
      <c r="B427">
        <v>46</v>
      </c>
      <c r="D427">
        <v>1</v>
      </c>
      <c r="F427">
        <v>1</v>
      </c>
      <c r="G427">
        <v>1</v>
      </c>
      <c r="H427">
        <v>1</v>
      </c>
    </row>
    <row r="428" spans="1:8" x14ac:dyDescent="0.3">
      <c r="A428" t="s">
        <v>270</v>
      </c>
      <c r="B428">
        <v>46</v>
      </c>
      <c r="D428">
        <v>19</v>
      </c>
      <c r="F428">
        <v>129</v>
      </c>
      <c r="G428">
        <v>19</v>
      </c>
      <c r="H428">
        <v>44</v>
      </c>
    </row>
    <row r="429" spans="1:8" x14ac:dyDescent="0.3">
      <c r="A429" t="s">
        <v>271</v>
      </c>
      <c r="B429">
        <v>46</v>
      </c>
      <c r="D429">
        <v>129</v>
      </c>
      <c r="F429">
        <v>19</v>
      </c>
      <c r="G429">
        <v>44</v>
      </c>
      <c r="H429">
        <v>129</v>
      </c>
    </row>
    <row r="430" spans="1:8" x14ac:dyDescent="0.3">
      <c r="A430" t="s">
        <v>272</v>
      </c>
      <c r="B430">
        <v>46</v>
      </c>
      <c r="D430">
        <v>122.9</v>
      </c>
      <c r="F430">
        <v>11.4</v>
      </c>
      <c r="G430">
        <v>37.1</v>
      </c>
      <c r="H430">
        <v>122.9</v>
      </c>
    </row>
    <row r="431" spans="1:8" x14ac:dyDescent="0.3">
      <c r="A431" t="s">
        <v>273</v>
      </c>
      <c r="B431">
        <v>46</v>
      </c>
      <c r="D431">
        <v>122.9</v>
      </c>
      <c r="F431">
        <v>11.4</v>
      </c>
      <c r="G431">
        <v>37.1</v>
      </c>
      <c r="H431">
        <v>100.9</v>
      </c>
    </row>
    <row r="432" spans="1:8" x14ac:dyDescent="0.3">
      <c r="A432" t="s">
        <v>274</v>
      </c>
      <c r="B432">
        <v>46</v>
      </c>
      <c r="D432">
        <v>115</v>
      </c>
      <c r="F432">
        <v>85</v>
      </c>
      <c r="G432">
        <v>115</v>
      </c>
      <c r="H432">
        <v>0</v>
      </c>
    </row>
    <row r="433" spans="1:10" x14ac:dyDescent="0.3">
      <c r="A433" t="s">
        <v>275</v>
      </c>
      <c r="B433">
        <v>46</v>
      </c>
      <c r="D433">
        <v>78.900000000000006</v>
      </c>
      <c r="F433">
        <v>107.4</v>
      </c>
      <c r="G433">
        <v>133.1</v>
      </c>
      <c r="H433">
        <v>78.900000000000006</v>
      </c>
    </row>
    <row r="434" spans="1:10" x14ac:dyDescent="0.3">
      <c r="A434" t="s">
        <v>276</v>
      </c>
      <c r="B434">
        <v>46</v>
      </c>
      <c r="D434">
        <v>78.900000000000006</v>
      </c>
      <c r="F434">
        <v>107.4</v>
      </c>
      <c r="G434">
        <v>133.1</v>
      </c>
      <c r="H434">
        <v>56.9</v>
      </c>
    </row>
    <row r="435" spans="1:10" x14ac:dyDescent="0.3">
      <c r="A435" t="s">
        <v>567</v>
      </c>
      <c r="B435">
        <v>46</v>
      </c>
      <c r="D435">
        <v>125.2</v>
      </c>
      <c r="F435">
        <v>1.1000000000000001</v>
      </c>
      <c r="G435">
        <v>1.3</v>
      </c>
      <c r="H435">
        <v>117</v>
      </c>
    </row>
    <row r="436" spans="1:10" x14ac:dyDescent="0.3">
      <c r="A436" t="s">
        <v>254</v>
      </c>
      <c r="B436">
        <v>49</v>
      </c>
      <c r="C436">
        <v>111</v>
      </c>
      <c r="D436">
        <v>112</v>
      </c>
      <c r="E436">
        <v>211</v>
      </c>
      <c r="F436">
        <v>212</v>
      </c>
      <c r="G436">
        <v>121</v>
      </c>
      <c r="H436">
        <v>122</v>
      </c>
      <c r="I436">
        <v>221</v>
      </c>
      <c r="J436">
        <v>222</v>
      </c>
    </row>
    <row r="437" spans="1:10" x14ac:dyDescent="0.3">
      <c r="A437" t="s">
        <v>255</v>
      </c>
      <c r="B437">
        <v>49</v>
      </c>
      <c r="D437">
        <v>25</v>
      </c>
      <c r="F437">
        <v>6</v>
      </c>
      <c r="G437">
        <v>22</v>
      </c>
      <c r="H437">
        <v>25</v>
      </c>
    </row>
    <row r="438" spans="1:10" x14ac:dyDescent="0.3">
      <c r="A438" t="s">
        <v>256</v>
      </c>
      <c r="B438">
        <v>49</v>
      </c>
      <c r="D438">
        <v>100</v>
      </c>
      <c r="F438">
        <v>27.3</v>
      </c>
      <c r="G438">
        <v>26.8</v>
      </c>
      <c r="H438">
        <v>67.2</v>
      </c>
    </row>
    <row r="439" spans="1:10" x14ac:dyDescent="0.3">
      <c r="A439" t="s">
        <v>257</v>
      </c>
      <c r="B439">
        <v>49</v>
      </c>
      <c r="D439">
        <v>3</v>
      </c>
      <c r="F439">
        <v>3.5</v>
      </c>
      <c r="G439">
        <v>2.5</v>
      </c>
      <c r="H439">
        <v>3</v>
      </c>
    </row>
    <row r="440" spans="1:10" x14ac:dyDescent="0.3">
      <c r="A440" t="s">
        <v>258</v>
      </c>
      <c r="B440">
        <v>49</v>
      </c>
      <c r="D440">
        <v>0</v>
      </c>
      <c r="F440">
        <v>0</v>
      </c>
      <c r="G440">
        <v>0</v>
      </c>
      <c r="H440">
        <v>0</v>
      </c>
    </row>
    <row r="441" spans="1:10" x14ac:dyDescent="0.3">
      <c r="A441" t="s">
        <v>259</v>
      </c>
      <c r="B441">
        <v>49</v>
      </c>
      <c r="D441">
        <v>0</v>
      </c>
      <c r="F441">
        <v>0</v>
      </c>
      <c r="G441">
        <v>0</v>
      </c>
      <c r="H441">
        <v>0</v>
      </c>
    </row>
    <row r="442" spans="1:10" x14ac:dyDescent="0.3">
      <c r="A442" t="s">
        <v>260</v>
      </c>
      <c r="B442">
        <v>49</v>
      </c>
      <c r="D442">
        <v>3</v>
      </c>
      <c r="F442">
        <v>3</v>
      </c>
      <c r="G442">
        <v>3</v>
      </c>
      <c r="H442">
        <v>3</v>
      </c>
    </row>
    <row r="443" spans="1:10" x14ac:dyDescent="0.3">
      <c r="A443" t="s">
        <v>261</v>
      </c>
      <c r="B443">
        <v>49</v>
      </c>
      <c r="D443">
        <v>4.4000000000000004</v>
      </c>
      <c r="F443">
        <v>3</v>
      </c>
      <c r="G443">
        <v>3</v>
      </c>
      <c r="H443">
        <v>4.4000000000000004</v>
      </c>
    </row>
    <row r="444" spans="1:10" x14ac:dyDescent="0.3">
      <c r="A444" t="s">
        <v>262</v>
      </c>
      <c r="B444">
        <v>49</v>
      </c>
      <c r="D444">
        <v>1.6</v>
      </c>
      <c r="F444">
        <v>3.7</v>
      </c>
      <c r="G444">
        <v>3.2</v>
      </c>
      <c r="H444">
        <v>1.4</v>
      </c>
    </row>
    <row r="445" spans="1:10" x14ac:dyDescent="0.3">
      <c r="A445" t="s">
        <v>263</v>
      </c>
      <c r="B445">
        <v>49</v>
      </c>
      <c r="D445">
        <v>3</v>
      </c>
      <c r="F445">
        <v>0</v>
      </c>
      <c r="G445">
        <v>0</v>
      </c>
      <c r="H445">
        <v>3</v>
      </c>
    </row>
    <row r="446" spans="1:10" x14ac:dyDescent="0.3">
      <c r="A446" t="s">
        <v>264</v>
      </c>
      <c r="B446">
        <v>49</v>
      </c>
    </row>
    <row r="447" spans="1:10" x14ac:dyDescent="0.3">
      <c r="A447" t="s">
        <v>265</v>
      </c>
      <c r="B447">
        <v>49</v>
      </c>
    </row>
    <row r="448" spans="1:10" x14ac:dyDescent="0.3">
      <c r="A448" t="s">
        <v>266</v>
      </c>
      <c r="B448">
        <v>49</v>
      </c>
    </row>
    <row r="449" spans="1:8" x14ac:dyDescent="0.3">
      <c r="A449" t="s">
        <v>267</v>
      </c>
      <c r="B449">
        <v>49</v>
      </c>
      <c r="D449">
        <v>32.299999999999997</v>
      </c>
      <c r="F449">
        <v>26.6</v>
      </c>
      <c r="G449">
        <v>28.2</v>
      </c>
      <c r="H449">
        <v>33.6</v>
      </c>
    </row>
    <row r="450" spans="1:8" x14ac:dyDescent="0.3">
      <c r="A450" t="s">
        <v>268</v>
      </c>
      <c r="B450">
        <v>49</v>
      </c>
      <c r="D450">
        <v>1</v>
      </c>
      <c r="F450">
        <v>1</v>
      </c>
      <c r="G450">
        <v>0</v>
      </c>
      <c r="H450">
        <v>1</v>
      </c>
    </row>
    <row r="451" spans="1:8" x14ac:dyDescent="0.3">
      <c r="A451" t="s">
        <v>269</v>
      </c>
      <c r="B451">
        <v>49</v>
      </c>
      <c r="D451">
        <v>1</v>
      </c>
      <c r="F451">
        <v>1</v>
      </c>
      <c r="G451">
        <v>1</v>
      </c>
      <c r="H451">
        <v>1</v>
      </c>
    </row>
    <row r="452" spans="1:8" x14ac:dyDescent="0.3">
      <c r="A452" t="s">
        <v>270</v>
      </c>
      <c r="B452">
        <v>49</v>
      </c>
      <c r="D452">
        <v>19</v>
      </c>
      <c r="F452">
        <v>125</v>
      </c>
      <c r="G452">
        <v>19</v>
      </c>
      <c r="H452">
        <v>52</v>
      </c>
    </row>
    <row r="453" spans="1:8" x14ac:dyDescent="0.3">
      <c r="A453" t="s">
        <v>271</v>
      </c>
      <c r="B453">
        <v>49</v>
      </c>
      <c r="D453">
        <v>125</v>
      </c>
      <c r="F453">
        <v>19</v>
      </c>
      <c r="G453">
        <v>52</v>
      </c>
      <c r="H453">
        <v>125</v>
      </c>
    </row>
    <row r="454" spans="1:8" x14ac:dyDescent="0.3">
      <c r="A454" t="s">
        <v>272</v>
      </c>
      <c r="B454">
        <v>49</v>
      </c>
      <c r="D454">
        <v>119</v>
      </c>
      <c r="F454">
        <v>12.3</v>
      </c>
      <c r="G454">
        <v>45.8</v>
      </c>
      <c r="H454">
        <v>119.2</v>
      </c>
    </row>
    <row r="455" spans="1:8" x14ac:dyDescent="0.3">
      <c r="A455" t="s">
        <v>273</v>
      </c>
      <c r="B455">
        <v>49</v>
      </c>
      <c r="D455">
        <v>119</v>
      </c>
      <c r="F455">
        <v>12.3</v>
      </c>
      <c r="G455">
        <v>45.8</v>
      </c>
      <c r="H455">
        <v>119.2</v>
      </c>
    </row>
    <row r="456" spans="1:8" x14ac:dyDescent="0.3">
      <c r="A456" t="s">
        <v>274</v>
      </c>
      <c r="B456">
        <v>49</v>
      </c>
      <c r="D456">
        <v>107</v>
      </c>
      <c r="F456">
        <v>73</v>
      </c>
      <c r="G456">
        <v>107</v>
      </c>
      <c r="H456">
        <v>0</v>
      </c>
    </row>
    <row r="457" spans="1:8" x14ac:dyDescent="0.3">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B23"/>
  <sheetViews>
    <sheetView workbookViewId="0">
      <selection activeCell="A100" sqref="A100:R123"/>
    </sheetView>
  </sheetViews>
  <sheetFormatPr defaultRowHeight="14.4" x14ac:dyDescent="0.3"/>
  <sheetData>
    <row r="23" spans="2:2" x14ac:dyDescent="0.3">
      <c r="B23" s="25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opLeftCell="A21" workbookViewId="0">
      <selection activeCell="K33" sqref="K33"/>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0_0_0</v>
      </c>
    </row>
    <row r="2" spans="1:9" x14ac:dyDescent="0.3">
      <c r="A2" s="162">
        <f>UTDF_input!B4</f>
        <v>0</v>
      </c>
      <c r="B2" s="162">
        <f>'Phase calculation'!C156</f>
        <v>4</v>
      </c>
      <c r="C2" s="162"/>
      <c r="D2" s="162">
        <f>'Phase calculation'!C158</f>
        <v>4</v>
      </c>
      <c r="E2" s="162" t="str">
        <f>'Phase calculation'!C159</f>
        <v>Permissive</v>
      </c>
      <c r="F2" s="257" t="str">
        <f>'Phase calculation'!C160</f>
        <v>EBL</v>
      </c>
    </row>
    <row r="3" spans="1:9" x14ac:dyDescent="0.3">
      <c r="A3" s="162">
        <f>$A$2</f>
        <v>0</v>
      </c>
      <c r="B3" s="162">
        <f>'Phase calculation'!D156</f>
        <v>4</v>
      </c>
      <c r="C3" s="162"/>
      <c r="D3" s="162">
        <f>'Phase calculation'!D158</f>
        <v>4</v>
      </c>
      <c r="E3" s="162" t="str">
        <f>'Phase calculation'!D159</f>
        <v>Protected</v>
      </c>
      <c r="F3" s="257" t="str">
        <f>'Phase calculation'!D160</f>
        <v>EBT</v>
      </c>
    </row>
    <row r="4" spans="1:9" x14ac:dyDescent="0.3">
      <c r="A4" s="162">
        <f t="shared" ref="A4:A13" si="0">$A$2</f>
        <v>0</v>
      </c>
      <c r="B4" s="162" t="str">
        <f>'Phase calculation'!E156</f>
        <v>41</v>
      </c>
      <c r="C4" s="162"/>
      <c r="D4" s="162">
        <f>'Phase calculation'!E158</f>
        <v>4</v>
      </c>
      <c r="E4" s="162" t="str">
        <f>'Phase calculation'!E159</f>
        <v>RTOR</v>
      </c>
      <c r="F4" s="257" t="str">
        <f>'Phase calculation'!E160</f>
        <v>EBR</v>
      </c>
    </row>
    <row r="5" spans="1:9" x14ac:dyDescent="0.3">
      <c r="A5" s="162">
        <f t="shared" si="0"/>
        <v>0</v>
      </c>
      <c r="B5" s="162">
        <f>'Phase calculation'!F156</f>
        <v>8</v>
      </c>
      <c r="C5" s="162"/>
      <c r="D5" s="162">
        <f>'Phase calculation'!F158</f>
        <v>8</v>
      </c>
      <c r="E5" s="162" t="str">
        <f>'Phase calculation'!F159</f>
        <v>Permissive</v>
      </c>
      <c r="F5" s="257" t="str">
        <f>'Phase calculation'!F160</f>
        <v>WBL</v>
      </c>
    </row>
    <row r="6" spans="1:9" x14ac:dyDescent="0.3">
      <c r="A6" s="162">
        <f t="shared" si="0"/>
        <v>0</v>
      </c>
      <c r="B6" s="162">
        <f>'Phase calculation'!G156</f>
        <v>8</v>
      </c>
      <c r="C6" s="162"/>
      <c r="D6" s="162">
        <f>'Phase calculation'!G158</f>
        <v>8</v>
      </c>
      <c r="E6" s="162" t="str">
        <f>'Phase calculation'!G159</f>
        <v>Protected</v>
      </c>
      <c r="F6" s="257" t="str">
        <f>'Phase calculation'!G160</f>
        <v>WBT</v>
      </c>
    </row>
    <row r="7" spans="1:9" x14ac:dyDescent="0.3">
      <c r="A7" s="162">
        <f t="shared" si="0"/>
        <v>0</v>
      </c>
      <c r="B7" s="162" t="str">
        <f>'Phase calculation'!H156</f>
        <v>81</v>
      </c>
      <c r="C7" s="162"/>
      <c r="D7" s="162">
        <f>'Phase calculation'!H158</f>
        <v>8</v>
      </c>
      <c r="E7" s="162" t="str">
        <f>'Phase calculation'!H159</f>
        <v>RTOR</v>
      </c>
      <c r="F7" s="257" t="str">
        <f>'Phase calculation'!H160</f>
        <v>WBR</v>
      </c>
    </row>
    <row r="8" spans="1:9" x14ac:dyDescent="0.3">
      <c r="A8" s="162">
        <f t="shared" si="0"/>
        <v>0</v>
      </c>
      <c r="B8" s="162">
        <f>'Phase calculation'!I156</f>
        <v>2</v>
      </c>
      <c r="C8" s="162"/>
      <c r="D8" s="162">
        <f>'Phase calculation'!I158</f>
        <v>2</v>
      </c>
      <c r="E8" s="162" t="str">
        <f>'Phase calculation'!I159</f>
        <v>Permissive</v>
      </c>
      <c r="F8" s="257" t="str">
        <f>'Phase calculation'!I160</f>
        <v>NBL</v>
      </c>
    </row>
    <row r="9" spans="1:9" x14ac:dyDescent="0.3">
      <c r="A9" s="162">
        <f t="shared" si="0"/>
        <v>0</v>
      </c>
      <c r="B9" s="162">
        <f>'Phase calculation'!J156</f>
        <v>2</v>
      </c>
      <c r="C9" s="162"/>
      <c r="D9" s="162">
        <f>'Phase calculation'!J158</f>
        <v>2</v>
      </c>
      <c r="E9" s="162" t="str">
        <f>'Phase calculation'!J159</f>
        <v>Protected</v>
      </c>
      <c r="F9" s="257" t="str">
        <f>'Phase calculation'!J160</f>
        <v>NBT</v>
      </c>
    </row>
    <row r="10" spans="1:9" x14ac:dyDescent="0.3">
      <c r="A10" s="162">
        <f t="shared" si="0"/>
        <v>0</v>
      </c>
      <c r="B10" s="162" t="str">
        <f>'Phase calculation'!K156</f>
        <v>21</v>
      </c>
      <c r="C10" s="162"/>
      <c r="D10" s="162">
        <f>'Phase calculation'!K158</f>
        <v>2</v>
      </c>
      <c r="E10" s="162" t="str">
        <f>'Phase calculation'!K159</f>
        <v>RTOR</v>
      </c>
      <c r="F10" s="257" t="str">
        <f>'Phase calculation'!K160</f>
        <v>NBR</v>
      </c>
    </row>
    <row r="11" spans="1:9" x14ac:dyDescent="0.3">
      <c r="A11" s="162">
        <f t="shared" si="0"/>
        <v>0</v>
      </c>
      <c r="B11" s="162">
        <f>'Phase calculation'!L156</f>
        <v>6</v>
      </c>
      <c r="C11" s="162"/>
      <c r="D11" s="162">
        <f>'Phase calculation'!L158</f>
        <v>6</v>
      </c>
      <c r="E11" s="162" t="str">
        <f>'Phase calculation'!L159</f>
        <v>Permissive</v>
      </c>
      <c r="F11" s="257" t="str">
        <f>'Phase calculation'!L160</f>
        <v>SBL</v>
      </c>
    </row>
    <row r="12" spans="1:9" x14ac:dyDescent="0.3">
      <c r="A12" s="162">
        <f t="shared" si="0"/>
        <v>0</v>
      </c>
      <c r="B12" s="162">
        <f>'Phase calculation'!M156</f>
        <v>6</v>
      </c>
      <c r="C12" s="162"/>
      <c r="D12" s="162">
        <f>'Phase calculation'!M158</f>
        <v>6</v>
      </c>
      <c r="E12" s="162" t="str">
        <f>'Phase calculation'!M159</f>
        <v>Protected</v>
      </c>
      <c r="F12" s="257" t="str">
        <f>'Phase calculation'!M160</f>
        <v>SBT</v>
      </c>
    </row>
    <row r="13" spans="1:9" x14ac:dyDescent="0.3">
      <c r="A13" s="162">
        <f t="shared" si="0"/>
        <v>0</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0</v>
      </c>
      <c r="B16" t="e">
        <f>IF(Phasing!D58=0,"",Phasing!D54)</f>
        <v>#N/A</v>
      </c>
      <c r="C16" t="e">
        <f>IF(B16="","",IF(B16&lt;=4,1,2))</f>
        <v>#N/A</v>
      </c>
      <c r="D16" t="e">
        <f>IF(C16="","",IF(OR(B16=1,B16=2,B16=5,B16=6),1,2))</f>
        <v>#N/A</v>
      </c>
    </row>
    <row r="17" spans="1:13" x14ac:dyDescent="0.3">
      <c r="A17">
        <f t="shared" ref="A17:A23" si="1">$A$2</f>
        <v>0</v>
      </c>
      <c r="B17" t="e">
        <f>IF(Phasing!E58=0,"",Phasing!E54)</f>
        <v>#N/A</v>
      </c>
      <c r="C17" t="e">
        <f t="shared" ref="C17:C23" si="2">IF(B17="","",IF(B17&lt;=4,1,2))</f>
        <v>#N/A</v>
      </c>
      <c r="D17" t="e">
        <f t="shared" ref="D17:D23" si="3">IF(C17="","",IF(OR(B17=1,B17=2,B17=5,B17=6),1,2))</f>
        <v>#N/A</v>
      </c>
    </row>
    <row r="18" spans="1:13" x14ac:dyDescent="0.3">
      <c r="A18">
        <f t="shared" si="1"/>
        <v>0</v>
      </c>
      <c r="B18" t="e">
        <f>IF(Phasing!F58=0,"",Phasing!F54)</f>
        <v>#N/A</v>
      </c>
      <c r="C18" t="e">
        <f t="shared" si="2"/>
        <v>#N/A</v>
      </c>
      <c r="D18" t="e">
        <f t="shared" si="3"/>
        <v>#N/A</v>
      </c>
    </row>
    <row r="19" spans="1:13" x14ac:dyDescent="0.3">
      <c r="A19">
        <f t="shared" si="1"/>
        <v>0</v>
      </c>
      <c r="B19" t="e">
        <f>IF(Phasing!G58=0,"",Phasing!G54)</f>
        <v>#N/A</v>
      </c>
      <c r="C19" t="e">
        <f t="shared" si="2"/>
        <v>#N/A</v>
      </c>
      <c r="D19" t="e">
        <f t="shared" si="3"/>
        <v>#N/A</v>
      </c>
    </row>
    <row r="20" spans="1:13" x14ac:dyDescent="0.3">
      <c r="A20">
        <f t="shared" si="1"/>
        <v>0</v>
      </c>
      <c r="B20" t="e">
        <f>IF(Phasing!H58=0,"",Phasing!H54)</f>
        <v>#N/A</v>
      </c>
      <c r="C20" t="e">
        <f t="shared" si="2"/>
        <v>#N/A</v>
      </c>
      <c r="D20" t="e">
        <f t="shared" si="3"/>
        <v>#N/A</v>
      </c>
    </row>
    <row r="21" spans="1:13" x14ac:dyDescent="0.3">
      <c r="A21">
        <f t="shared" si="1"/>
        <v>0</v>
      </c>
      <c r="B21" t="e">
        <f>IF(Phasing!I58=0,"",Phasing!I54)</f>
        <v>#N/A</v>
      </c>
      <c r="C21" t="e">
        <f t="shared" si="2"/>
        <v>#N/A</v>
      </c>
      <c r="D21" t="e">
        <f t="shared" si="3"/>
        <v>#N/A</v>
      </c>
    </row>
    <row r="22" spans="1:13" x14ac:dyDescent="0.3">
      <c r="A22">
        <f t="shared" si="1"/>
        <v>0</v>
      </c>
      <c r="B22" t="e">
        <f>IF(Phasing!J58=0,"",Phasing!J54)</f>
        <v>#N/A</v>
      </c>
      <c r="C22" t="e">
        <f t="shared" si="2"/>
        <v>#N/A</v>
      </c>
      <c r="D22" t="e">
        <f t="shared" si="3"/>
        <v>#N/A</v>
      </c>
    </row>
    <row r="23" spans="1:13" x14ac:dyDescent="0.3">
      <c r="A23">
        <f t="shared" si="1"/>
        <v>0</v>
      </c>
      <c r="B23" t="e">
        <f>IF(Phasing!K58=0,"",Phasing!K54)</f>
        <v>#N/A</v>
      </c>
      <c r="C23" t="e">
        <f t="shared" si="2"/>
        <v>#N/A</v>
      </c>
      <c r="D23" t="e">
        <f t="shared" si="3"/>
        <v>#N/A</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t="e">
        <f t="shared" ref="A26:A33" si="4">IF(C26="","",1)</f>
        <v>#N/A</v>
      </c>
      <c r="B26" s="162">
        <f>$A$2</f>
        <v>0</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3">
      <c r="A27" s="162" t="e">
        <f t="shared" si="4"/>
        <v>#N/A</v>
      </c>
      <c r="B27" s="162">
        <f t="shared" ref="B27:B33" si="6">$A$2</f>
        <v>0</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3">
      <c r="A28" s="162" t="e">
        <f t="shared" si="4"/>
        <v>#N/A</v>
      </c>
      <c r="B28" s="162">
        <f t="shared" si="6"/>
        <v>0</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3">
      <c r="A29" s="162" t="e">
        <f t="shared" si="4"/>
        <v>#N/A</v>
      </c>
      <c r="B29" s="162">
        <f t="shared" si="6"/>
        <v>0</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3">
      <c r="A30" s="162" t="e">
        <f t="shared" si="4"/>
        <v>#N/A</v>
      </c>
      <c r="B30" s="162">
        <f t="shared" si="6"/>
        <v>0</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3">
      <c r="A31" s="162" t="e">
        <f t="shared" si="4"/>
        <v>#N/A</v>
      </c>
      <c r="B31" s="162">
        <f t="shared" si="6"/>
        <v>0</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3">
      <c r="A32" s="162" t="e">
        <f t="shared" si="4"/>
        <v>#N/A</v>
      </c>
      <c r="B32" s="162">
        <f t="shared" si="6"/>
        <v>0</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3">
      <c r="A33" s="162" t="e">
        <f t="shared" si="4"/>
        <v>#N/A</v>
      </c>
      <c r="B33" s="162">
        <f t="shared" si="6"/>
        <v>0</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3">
      <c r="A35" t="s">
        <v>582</v>
      </c>
      <c r="B35" t="s">
        <v>629</v>
      </c>
      <c r="C35" t="s">
        <v>630</v>
      </c>
      <c r="D35" t="s">
        <v>595</v>
      </c>
      <c r="E35" t="s">
        <v>631</v>
      </c>
      <c r="F35" t="s">
        <v>632</v>
      </c>
      <c r="G35" t="s">
        <v>633</v>
      </c>
      <c r="L35" s="1" t="s">
        <v>634</v>
      </c>
    </row>
    <row r="36" spans="1:12" x14ac:dyDescent="0.3">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0</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3">
      <c r="A3">
        <f>GMNS!$A$2</f>
        <v>0</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3">
      <c r="A4">
        <f>GMNS!$A$2</f>
        <v>0</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3">
      <c r="A5">
        <f>GMNS!$A$2</f>
        <v>0</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3">
      <c r="A6">
        <f>GMNS!$A$2</f>
        <v>0</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3">
      <c r="A7">
        <f>GMNS!$A$2</f>
        <v>0</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3">
      <c r="A8">
        <f>GMNS!$A$2</f>
        <v>0</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3">
      <c r="A9">
        <f>GMNS!$A$2</f>
        <v>0</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3">
      <c r="A10">
        <f>GMNS!$A$2</f>
        <v>0</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3">
      <c r="A11">
        <f>GMNS!$A$2</f>
        <v>0</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3">
      <c r="A12">
        <f>GMNS!$A$2</f>
        <v>0</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3">
      <c r="A13">
        <f>GMNS!$A$2</f>
        <v>0</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2025-02-23T03:53:59Z</dcterms:modified>
</cp:coreProperties>
</file>