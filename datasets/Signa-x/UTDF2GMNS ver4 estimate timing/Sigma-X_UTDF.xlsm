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4 estimate timing\"/>
    </mc:Choice>
  </mc:AlternateContent>
  <bookViews>
    <workbookView xWindow="480" yWindow="615" windowWidth="14910" windowHeight="11250" tabRatio="851" firstSheet="1" activeTab="1"/>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J24" i="8" l="1"/>
  <c r="P13" i="8"/>
  <c r="D13" i="8"/>
  <c r="J4" i="8"/>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K22" i="8" l="1"/>
  <c r="J22" i="8"/>
  <c r="I22" i="8"/>
  <c r="K21" i="8"/>
  <c r="J21" i="8"/>
  <c r="I21" i="8"/>
  <c r="N16" i="8"/>
  <c r="M16" i="8"/>
  <c r="G16" i="8"/>
  <c r="F16" i="8"/>
  <c r="N14" i="8"/>
  <c r="M14" i="8"/>
  <c r="G14" i="8"/>
  <c r="F14" i="8"/>
  <c r="N12" i="8"/>
  <c r="M12" i="8"/>
  <c r="G12" i="8"/>
  <c r="F12" i="8"/>
  <c r="K7" i="8"/>
  <c r="J7" i="8"/>
  <c r="I7" i="8"/>
  <c r="K6" i="8"/>
  <c r="J6" i="8"/>
  <c r="I6" i="8"/>
  <c r="K14" i="8" l="1"/>
  <c r="J13" i="8"/>
  <c r="J14" i="8" s="1"/>
  <c r="R13" i="8"/>
  <c r="A13" i="8"/>
  <c r="I26" i="8"/>
  <c r="I2" i="8"/>
  <c r="H23" i="9" l="1"/>
  <c r="D23" i="9"/>
  <c r="M19" i="4"/>
  <c r="J19" i="4"/>
  <c r="G19" i="4"/>
  <c r="D19" i="4"/>
  <c r="M4" i="4"/>
  <c r="L4" i="4"/>
  <c r="J4" i="4"/>
  <c r="I4" i="4"/>
  <c r="G4" i="4"/>
  <c r="H4" i="4" s="1"/>
  <c r="F4" i="4"/>
  <c r="D4" i="4"/>
  <c r="C4" i="4"/>
  <c r="N4" i="4"/>
  <c r="K4" i="4"/>
  <c r="E4" i="4"/>
  <c r="V16" i="9"/>
  <c r="U16" i="9"/>
  <c r="U17" i="9" s="1"/>
  <c r="T16" i="9"/>
  <c r="S16" i="9"/>
  <c r="R16" i="9"/>
  <c r="Q16" i="9"/>
  <c r="P16" i="9"/>
  <c r="P17" i="9" s="1"/>
  <c r="O16" i="9"/>
  <c r="V17" i="9"/>
  <c r="T17" i="9"/>
  <c r="S17" i="9"/>
  <c r="R17" i="9"/>
  <c r="Q17" i="9"/>
  <c r="O17" i="9"/>
  <c r="Q67" i="2" l="1"/>
  <c r="P67" i="2"/>
  <c r="O67" i="2"/>
  <c r="N67" i="2"/>
  <c r="M67" i="2"/>
  <c r="L67" i="2"/>
  <c r="K67" i="2"/>
  <c r="J67" i="2"/>
  <c r="B4" i="8"/>
  <c r="V4" i="8"/>
  <c r="V3" i="8"/>
  <c r="P21" i="8"/>
  <c r="O21" i="8"/>
  <c r="Q18" i="8"/>
  <c r="E18" i="8"/>
  <c r="Q17" i="8"/>
  <c r="E17" i="8"/>
  <c r="N6" i="8"/>
  <c r="M6" i="8"/>
  <c r="L22" i="8"/>
  <c r="N11" i="8"/>
  <c r="H7" i="8"/>
  <c r="G17" i="8"/>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T26" i="9" l="1"/>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J7"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R28" i="9" l="1"/>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F16"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E3" i="7"/>
  <c r="AC3" i="7"/>
  <c r="AD2" i="7"/>
  <c r="AD5" i="7" s="1"/>
  <c r="L11" i="7" s="1"/>
  <c r="AG41" i="2"/>
  <c r="E14" i="1"/>
  <c r="F15" i="1" s="1"/>
  <c r="U49" i="2"/>
  <c r="U50" i="2" s="1"/>
  <c r="AH2" i="7"/>
  <c r="AH5" i="7" s="1"/>
  <c r="O17" i="7" s="1"/>
  <c r="G35" i="2"/>
  <c r="AG42" i="2"/>
  <c r="T14" i="1"/>
  <c r="U15" i="1" s="1"/>
  <c r="F21" i="4" l="1"/>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K9" i="22"/>
  <c r="Q10"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K149" i="4" l="1"/>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6" i="4"/>
  <c r="B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N156" i="4" l="1"/>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C29" i="4"/>
  <c r="F29" i="4"/>
  <c r="G29" i="4"/>
  <c r="I29" i="4"/>
  <c r="J29" i="4"/>
  <c r="L29" i="4"/>
  <c r="D29" i="4"/>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c r="I35" i="9" s="1"/>
  <c r="H48" i="1" s="1"/>
  <c r="H55" i="9" l="1"/>
  <c r="J37" i="4"/>
  <c r="K34" i="4"/>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L67" i="4"/>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J107" i="4"/>
  <c r="J108" i="4" s="1"/>
  <c r="J109" i="4" s="1"/>
  <c r="J111" i="4" s="1"/>
  <c r="J126" i="4" s="1"/>
  <c r="I62" i="4"/>
  <c r="K37" i="4"/>
  <c r="F35" i="7"/>
  <c r="K11" i="4"/>
  <c r="K39" i="4"/>
  <c r="I19" i="9"/>
  <c r="K84" i="7" l="1"/>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<sst xmlns="http://schemas.openxmlformats.org/spreadsheetml/2006/main" count="7284" uniqueCount="775">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</sst>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73">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10" fillId="2" borderId="0" xfId="0" applyFont="1" applyFill="1" applyAlignment="1">
      <alignment horizontal="center"/>
    </xf>
    <xf numFmtId="0" fontId="7" fillId="4"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2" borderId="0" xfId="0" applyFill="1" applyAlignment="1">
      <alignment horizontal="center"/>
    </xf>
    <xf numFmtId="0" fontId="0" fillId="8" borderId="0" xfId="0" applyFont="1" applyFill="1"/>
    <xf numFmtId="0" fontId="0" fillId="8" borderId="0" xfId="0" applyFont="1" applyFill="1" applyAlignment="1">
      <alignment horizontal="center"/>
    </xf>
    <xf numFmtId="0" fontId="0" fillId="0" borderId="0"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0" xfId="0" applyFill="1" applyBorder="1" applyAlignment="1">
      <alignment horizontal="center" vertical="center"/>
    </xf>
    <xf numFmtId="0" fontId="0" fillId="0" borderId="0" xfId="0"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0" fillId="0" borderId="0" xfId="0"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156" customFormat="1" x14ac:dyDescent="0.25">
      <c r="A17" s="156" t="s">
        <v>148</v>
      </c>
      <c r="B17" s="156">
        <v>1</v>
      </c>
      <c r="D17" s="156" t="e">
        <f>'Phase calculation'!I38</f>
        <v>#N/A</v>
      </c>
      <c r="E17" s="156" t="e">
        <f>'Phase calculation'!J38</f>
        <v>#N/A</v>
      </c>
      <c r="F17" s="156" t="e">
        <f>'Phase calculation'!K38</f>
        <v>#N/A</v>
      </c>
      <c r="I17" s="156" t="e">
        <f>'Phase calculation'!L38</f>
        <v>#N/A</v>
      </c>
      <c r="J17" s="156" t="e">
        <f>'Phase calculation'!M38</f>
        <v>#N/A</v>
      </c>
      <c r="K17" s="156" t="e">
        <f>'Phase calculation'!N38</f>
        <v>#N/A</v>
      </c>
      <c r="N17" s="156" t="e">
        <f>'Phase calculation'!C38</f>
        <v>#N/A</v>
      </c>
      <c r="O17" s="156" t="e">
        <f>'Phase calculation'!D38</f>
        <v>#N/A</v>
      </c>
      <c r="P17" s="156" t="e">
        <f>'Phase calculation'!E38</f>
        <v>#N/A</v>
      </c>
      <c r="S17" s="156" t="e">
        <f>'Phase calculation'!F38</f>
        <v>#N/A</v>
      </c>
      <c r="T17" s="156" t="e">
        <f>'Phase calculation'!G38</f>
        <v>#N/A</v>
      </c>
      <c r="U17" s="156"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239" customFormat="1" x14ac:dyDescent="0.25">
      <c r="A19" s="239" t="s">
        <v>135</v>
      </c>
      <c r="B19" s="239">
        <v>1</v>
      </c>
      <c r="D19" s="239" t="e">
        <f>'Phase calculation'!I40</f>
        <v>#N/A</v>
      </c>
      <c r="E19" s="239" t="e">
        <f>'Phase calculation'!J40</f>
        <v>#N/A</v>
      </c>
      <c r="F19" s="239" t="e">
        <f>'Phase calculation'!K40</f>
        <v>#N/A</v>
      </c>
      <c r="I19" s="239" t="e">
        <f>'Phase calculation'!L40</f>
        <v>#N/A</v>
      </c>
      <c r="J19" s="239" t="e">
        <f>'Phase calculation'!M40</f>
        <v>#N/A</v>
      </c>
      <c r="K19" s="239" t="e">
        <f>'Phase calculation'!N40</f>
        <v>#N/A</v>
      </c>
      <c r="N19" s="239" t="e">
        <f>'Phase calculation'!C40</f>
        <v>#N/A</v>
      </c>
      <c r="O19" s="239" t="e">
        <f>'Phase calculation'!D40</f>
        <v>#N/A</v>
      </c>
      <c r="P19" s="239" t="e">
        <f>'Phase calculation'!E40</f>
        <v>#N/A</v>
      </c>
      <c r="S19" s="239" t="e">
        <f>'Phase calculation'!F40</f>
        <v>#N/A</v>
      </c>
      <c r="T19" s="239" t="e">
        <f>'Phase calculation'!G40</f>
        <v>#N/A</v>
      </c>
      <c r="U19" s="239" t="e">
        <f>'Phase calculation'!H40</f>
        <v>#N/A</v>
      </c>
    </row>
    <row r="20" spans="1:21" s="240" customFormat="1" x14ac:dyDescent="0.25">
      <c r="A20" s="240" t="s">
        <v>150</v>
      </c>
      <c r="B20" s="240">
        <v>1</v>
      </c>
      <c r="D20" s="240">
        <f>'Phase calculation'!I44</f>
        <v>0</v>
      </c>
      <c r="E20" s="240">
        <f>'Phase calculation'!J44</f>
        <v>0</v>
      </c>
      <c r="F20" s="240">
        <f>'Phase calculation'!K44</f>
        <v>0</v>
      </c>
      <c r="I20" s="240">
        <f>'Phase calculation'!L44</f>
        <v>0</v>
      </c>
      <c r="J20" s="240">
        <f>'Phase calculation'!M44</f>
        <v>0</v>
      </c>
      <c r="K20" s="240">
        <f>'Phase calculation'!N44</f>
        <v>0</v>
      </c>
      <c r="N20" s="240">
        <f>'Phase calculation'!C44</f>
        <v>0</v>
      </c>
      <c r="O20" s="240">
        <f>'Phase calculation'!D44</f>
        <v>0</v>
      </c>
      <c r="P20" s="240">
        <f>'Phase calculation'!E44</f>
        <v>0</v>
      </c>
      <c r="S20" s="240">
        <f>'Phase calculation'!F44</f>
        <v>0</v>
      </c>
      <c r="T20" s="240">
        <f>'Phase calculation'!G44</f>
        <v>0</v>
      </c>
      <c r="U20" s="240">
        <f>'Phase calculation'!H44</f>
        <v>0</v>
      </c>
    </row>
    <row r="21" spans="1:21" s="1" customFormat="1" x14ac:dyDescent="0.25">
      <c r="A21" s="1" t="s">
        <v>139</v>
      </c>
      <c r="B21" s="1">
        <v>1</v>
      </c>
      <c r="D21" s="73" t="str">
        <f>'Phase calculation'!I45</f>
        <v>N/A</v>
      </c>
      <c r="E21" s="236" t="str">
        <f>'Phase calculation'!J45</f>
        <v>N/A</v>
      </c>
      <c r="F21" s="236" t="str">
        <f>'Phase calculation'!K45</f>
        <v>N/A</v>
      </c>
      <c r="G21" s="73"/>
      <c r="H21" s="73"/>
      <c r="I21" s="73" t="str">
        <f>'Phase calculation'!L45</f>
        <v>N/A</v>
      </c>
      <c r="J21" s="236" t="str">
        <f>'Phase calculation'!M45</f>
        <v>N/A</v>
      </c>
      <c r="K21" s="236" t="str">
        <f>'Phase calculation'!N45</f>
        <v>N/A</v>
      </c>
      <c r="L21" s="73"/>
      <c r="M21" s="73"/>
      <c r="N21" s="73" t="str">
        <f>'Phase calculation'!C45</f>
        <v>N/A</v>
      </c>
      <c r="O21" s="236" t="str">
        <f>'Phase calculation'!D45</f>
        <v>N/A</v>
      </c>
      <c r="P21" s="236" t="str">
        <f>'Phase calculation'!E45</f>
        <v>N/A</v>
      </c>
      <c r="Q21" s="73"/>
      <c r="R21" s="73"/>
      <c r="S21" s="73" t="str">
        <f>'Phase calculation'!F45</f>
        <v>N/A</v>
      </c>
      <c r="T21" s="236" t="str">
        <f>'Phase calculation'!G45</f>
        <v>N/A</v>
      </c>
      <c r="U21" s="236"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IF('Input sheet'!M22="Yes",10,0)</f>
        <v>10</v>
      </c>
      <c r="J29" s="62">
        <f>IF('Input sheet'!L5="Yes",10,0)</f>
        <v>10</v>
      </c>
      <c r="O29" s="62">
        <f>IF('Input sheet'!D16="Yes",10,0)</f>
        <v>10</v>
      </c>
      <c r="T29" s="62">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t="e">
        <f>IF(C70=0,0,INDEX($C$59:$J$59,C70))</f>
        <v>#N/A</v>
      </c>
      <c r="E35" s="67" t="e">
        <f>IF(D70=0,0,INDEX($C$59:$J$59,D70))</f>
        <v>#N/A</v>
      </c>
      <c r="F35" s="67" t="e">
        <f>E35</f>
        <v>#N/A</v>
      </c>
      <c r="G35" s="67"/>
      <c r="H35" s="67"/>
      <c r="I35" s="67" t="e">
        <f>IF(E70=0,0,INDEX($C$59:$J$59,E70))</f>
        <v>#N/A</v>
      </c>
      <c r="J35" s="67" t="e">
        <f>IF(F70=0,0,INDEX($C$59:$J$59,F70))</f>
        <v>#N/A</v>
      </c>
      <c r="K35" s="67" t="e">
        <f>J35</f>
        <v>#N/A</v>
      </c>
      <c r="L35" s="67"/>
      <c r="M35" s="67"/>
      <c r="N35" s="67" t="e">
        <f>IF(G70=0,0,INDEX($C$59:$J$59,G70))</f>
        <v>#N/A</v>
      </c>
      <c r="O35" s="67" t="e">
        <f>IF(H70=0,0,INDEX($C$59:$J$59,H70))</f>
        <v>#N/A</v>
      </c>
      <c r="P35" s="67" t="e">
        <f>O35</f>
        <v>#N/A</v>
      </c>
      <c r="Q35" s="67"/>
      <c r="R35" s="67"/>
      <c r="S35" s="67" t="e">
        <f>IF(I70=0,0,INDEX($C$59:$J$59,I70))</f>
        <v>#N/A</v>
      </c>
      <c r="T35" s="67" t="e">
        <f>IF(J70=0,0,INDEX($C$59:$J$59,J70))</f>
        <v>#N/A</v>
      </c>
      <c r="U35" s="67" t="e">
        <f>T35</f>
        <v>#N/A</v>
      </c>
      <c r="V35" s="67"/>
    </row>
    <row r="36" spans="1:31" x14ac:dyDescent="0.25">
      <c r="A36" s="59" t="s">
        <v>458</v>
      </c>
      <c r="B36" s="59">
        <v>1</v>
      </c>
      <c r="C36" s="59"/>
      <c r="D36" s="59" t="e">
        <f>IF(C70=0,0,INDEX($C$60:$J$60,C70))</f>
        <v>#N/A</v>
      </c>
      <c r="E36" s="59" t="e">
        <f>IF(D70=0,0,INDEX($C$60:$J$60,D70))</f>
        <v>#N/A</v>
      </c>
      <c r="F36" s="59" t="e">
        <f>E36</f>
        <v>#N/A</v>
      </c>
      <c r="G36" s="59"/>
      <c r="H36" s="59"/>
      <c r="I36" s="59" t="e">
        <f>IF(E70=0,0,INDEX($C$60:$J$60,E70))</f>
        <v>#N/A</v>
      </c>
      <c r="J36" s="59" t="e">
        <f>IF(F70=0,0,INDEX($C$60:$J$60,F70))</f>
        <v>#N/A</v>
      </c>
      <c r="K36" s="59" t="e">
        <f>J36</f>
        <v>#N/A</v>
      </c>
      <c r="L36" s="59"/>
      <c r="M36" s="59"/>
      <c r="N36" s="59" t="e">
        <f>IF(G70=0,0,INDEX($C$60:$J$60,G70))</f>
        <v>#N/A</v>
      </c>
      <c r="O36" s="59" t="e">
        <f>IF(H70=0,0,INDEX($C$60:$J$60,H70))</f>
        <v>#N/A</v>
      </c>
      <c r="P36" s="59" t="e">
        <f>O36</f>
        <v>#N/A</v>
      </c>
      <c r="Q36" s="59"/>
      <c r="R36" s="59"/>
      <c r="S36" s="59" t="e">
        <f>IF(I70=0,0,INDEX($C$60:$J$60,I70))</f>
        <v>#N/A</v>
      </c>
      <c r="T36" s="59" t="e">
        <f>IF(J70=0,0,INDEX($C$60:$J$60,J70))</f>
        <v>#N/A</v>
      </c>
      <c r="U36" s="59" t="e">
        <f>T36</f>
        <v>#N/A</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5">
        <f>'Input sheet'!I26</f>
        <v>0</v>
      </c>
      <c r="J38" s="155">
        <f>'Input sheet'!I2</f>
        <v>0</v>
      </c>
      <c r="O38" s="155">
        <f>'Input sheet'!A13</f>
        <v>0</v>
      </c>
      <c r="T38" s="155">
        <f>'Input sheet'!R13</f>
        <v>0</v>
      </c>
    </row>
    <row r="39" spans="1:31" s="156" customFormat="1" x14ac:dyDescent="0.25">
      <c r="A39" s="156" t="s">
        <v>354</v>
      </c>
      <c r="D39" s="156" t="e">
        <f>'Phase calculation'!I54</f>
        <v>#N/A</v>
      </c>
      <c r="E39" s="156" t="e">
        <f>'Phase calculation'!J54</f>
        <v>#N/A</v>
      </c>
      <c r="F39" s="156" t="e">
        <f>'Phase calculation'!K54</f>
        <v>#N/A</v>
      </c>
      <c r="I39" s="156" t="e">
        <f>'Phase calculation'!L54</f>
        <v>#N/A</v>
      </c>
      <c r="J39" s="156" t="e">
        <f>'Phase calculation'!M54</f>
        <v>#N/A</v>
      </c>
      <c r="K39" s="156" t="e">
        <f>'Phase calculation'!N54</f>
        <v>#N/A</v>
      </c>
      <c r="N39" s="156" t="e">
        <f>'Phase calculation'!C54</f>
        <v>#N/A</v>
      </c>
      <c r="O39" s="156" t="e">
        <f>'Phase calculation'!D54</f>
        <v>#N/A</v>
      </c>
      <c r="P39" s="156" t="e">
        <f>'Phase calculation'!E54</f>
        <v>#N/A</v>
      </c>
      <c r="S39" s="156" t="e">
        <f>'Phase calculation'!F54</f>
        <v>#N/A</v>
      </c>
      <c r="T39" s="156" t="e">
        <f>'Phase calculation'!G54</f>
        <v>#N/A</v>
      </c>
      <c r="U39" s="156"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t="e">
        <f>'Phase calculation'!C83</f>
        <v>#N/A</v>
      </c>
      <c r="C41" s="67" t="e">
        <f>'Phase calculation'!D83</f>
        <v>#N/A</v>
      </c>
      <c r="D41" s="67" t="e">
        <f>'Phase calculation'!E83</f>
        <v>#N/A</v>
      </c>
      <c r="E41" s="67" t="e">
        <f>'Phase calculation'!F83</f>
        <v>#N/A</v>
      </c>
      <c r="F41" s="67" t="e">
        <f>'Phase calculation'!C84</f>
        <v>#N/A</v>
      </c>
      <c r="G41" s="67" t="e">
        <f>'Phase calculation'!D84</f>
        <v>#N/A</v>
      </c>
      <c r="H41" s="67" t="e">
        <f>'Phase calculation'!E84</f>
        <v>#N/A</v>
      </c>
      <c r="I41" s="67" t="e">
        <f>'Phase calculation'!F84</f>
        <v>#N/A</v>
      </c>
      <c r="J41" s="67" t="e">
        <f>IF(SUM(B41:I41)=0,0,'Phase calculation'!C25)</f>
        <v>#N/A</v>
      </c>
      <c r="K41" s="62">
        <v>0</v>
      </c>
      <c r="L41" s="62">
        <v>1357</v>
      </c>
      <c r="M41" s="62">
        <v>0</v>
      </c>
    </row>
    <row r="42" spans="1:31" s="62" customFormat="1" x14ac:dyDescent="0.25">
      <c r="A42" s="200" t="s">
        <v>0</v>
      </c>
      <c r="B42" s="62" t="str">
        <f>Phasing!C29</f>
        <v>INTID</v>
      </c>
      <c r="C42" s="369" t="str">
        <f>Phasing!D29</f>
        <v>D1</v>
      </c>
      <c r="D42" s="369" t="str">
        <f>Phasing!E29</f>
        <v>D2</v>
      </c>
      <c r="E42" s="369" t="str">
        <f>Phasing!F29</f>
        <v>D3</v>
      </c>
      <c r="F42" s="369" t="str">
        <f>Phasing!G29</f>
        <v>D4</v>
      </c>
      <c r="G42" s="369" t="str">
        <f>Phasing!H29</f>
        <v>D5</v>
      </c>
      <c r="H42" s="369" t="str">
        <f>Phasing!I29</f>
        <v>D6</v>
      </c>
      <c r="I42" s="369" t="str">
        <f>Phasing!J29</f>
        <v>D7</v>
      </c>
      <c r="J42" s="369" t="str">
        <f>Phasing!K29</f>
        <v>D8</v>
      </c>
    </row>
    <row r="43" spans="1:31" x14ac:dyDescent="0.25">
      <c r="A43" s="200" t="s">
        <v>254</v>
      </c>
      <c r="B43" s="62" t="str">
        <f>Phasing!C30</f>
        <v>0 &amp; 0</v>
      </c>
      <c r="C43" s="369" t="e">
        <f>Phasing!D30</f>
        <v>#N/A</v>
      </c>
      <c r="D43" s="369" t="e">
        <f>Phasing!E30</f>
        <v>#N/A</v>
      </c>
      <c r="E43" s="369" t="e">
        <f>Phasing!F30</f>
        <v>#N/A</v>
      </c>
      <c r="F43" s="369" t="e">
        <f>Phasing!G30</f>
        <v>#N/A</v>
      </c>
      <c r="G43" s="369" t="e">
        <f>Phasing!H30</f>
        <v>#N/A</v>
      </c>
      <c r="H43" s="369" t="e">
        <f>Phasing!I30</f>
        <v>#N/A</v>
      </c>
      <c r="I43" s="369" t="e">
        <f>Phasing!J30</f>
        <v>#N/A</v>
      </c>
      <c r="J43" s="369" t="e">
        <f>Phasing!K30</f>
        <v>#N/A</v>
      </c>
      <c r="O43" s="515" t="s">
        <v>203</v>
      </c>
      <c r="P43" s="515"/>
      <c r="Q43" s="515"/>
      <c r="R43" s="515"/>
      <c r="S43" s="515"/>
      <c r="T43" s="515"/>
      <c r="U43" s="515"/>
      <c r="V43" s="515"/>
    </row>
    <row r="44" spans="1:31" x14ac:dyDescent="0.25">
      <c r="A44" s="200" t="s">
        <v>255</v>
      </c>
      <c r="B44" s="62" t="str">
        <f>Phasing!C31</f>
        <v>0 &amp; 0</v>
      </c>
      <c r="C44" s="369" t="e">
        <f>C45</f>
        <v>#N/A</v>
      </c>
      <c r="D44" s="369" t="e">
        <f t="shared" ref="D44:J44" si="0">D45</f>
        <v>#N/A</v>
      </c>
      <c r="E44" s="369" t="e">
        <f t="shared" si="0"/>
        <v>#N/A</v>
      </c>
      <c r="F44" s="369" t="e">
        <f t="shared" si="0"/>
        <v>#N/A</v>
      </c>
      <c r="G44" s="369" t="e">
        <f t="shared" si="0"/>
        <v>#N/A</v>
      </c>
      <c r="H44" s="369" t="e">
        <f t="shared" si="0"/>
        <v>#N/A</v>
      </c>
      <c r="I44" s="369" t="e">
        <f t="shared" si="0"/>
        <v>#N/A</v>
      </c>
      <c r="J44" s="369" t="e">
        <f t="shared" si="0"/>
        <v>#N/A</v>
      </c>
      <c r="O44" s="521" t="s">
        <v>201</v>
      </c>
      <c r="P44" s="521"/>
      <c r="Q44" s="521"/>
      <c r="R44" s="521"/>
      <c r="S44" s="521"/>
      <c r="T44" s="521"/>
      <c r="U44" s="521"/>
      <c r="V44" s="521"/>
      <c r="X44" s="522" t="s">
        <v>239</v>
      </c>
      <c r="Y44" s="522"/>
      <c r="Z44" s="522"/>
      <c r="AA44" s="522"/>
      <c r="AB44" s="522"/>
      <c r="AC44" s="522"/>
      <c r="AD44" s="522"/>
      <c r="AE44" s="522"/>
    </row>
    <row r="45" spans="1:31" ht="15" customHeight="1" x14ac:dyDescent="0.25">
      <c r="A45" s="200" t="s">
        <v>256</v>
      </c>
      <c r="B45" s="62" t="str">
        <f>Phasing!C32</f>
        <v>0 &amp; 0</v>
      </c>
      <c r="C45" s="369" t="e">
        <f>Phasing!D58</f>
        <v>#N/A</v>
      </c>
      <c r="D45" s="369" t="e">
        <f>Phasing!E58</f>
        <v>#N/A</v>
      </c>
      <c r="E45" s="369" t="e">
        <f>Phasing!F58</f>
        <v>#N/A</v>
      </c>
      <c r="F45" s="369" t="e">
        <f>Phasing!G58</f>
        <v>#N/A</v>
      </c>
      <c r="G45" s="369" t="e">
        <f>Phasing!H58</f>
        <v>#N/A</v>
      </c>
      <c r="H45" s="369" t="e">
        <f>Phasing!I58</f>
        <v>#N/A</v>
      </c>
      <c r="I45" s="369" t="e">
        <f>Phasing!J58</f>
        <v>#N/A</v>
      </c>
      <c r="J45" s="369" t="e">
        <f>Phasing!K58</f>
        <v>#N/A</v>
      </c>
      <c r="O45" s="98" t="s">
        <v>202</v>
      </c>
      <c r="P45" s="98"/>
      <c r="Q45" s="98"/>
      <c r="R45" s="98"/>
      <c r="S45" s="98"/>
      <c r="T45" s="98"/>
      <c r="U45" s="98"/>
      <c r="V45" s="99"/>
      <c r="X45" s="522"/>
      <c r="Y45" s="522"/>
      <c r="Z45" s="522"/>
      <c r="AA45" s="522"/>
      <c r="AB45" s="522"/>
      <c r="AC45" s="522"/>
      <c r="AD45" s="522"/>
      <c r="AE45" s="522"/>
    </row>
    <row r="46" spans="1:31" x14ac:dyDescent="0.25">
      <c r="A46" s="200" t="s">
        <v>257</v>
      </c>
      <c r="B46" s="62" t="str">
        <f>Phasing!C33</f>
        <v>0 &amp; 0</v>
      </c>
      <c r="C46" s="369">
        <f>Phasing!D33</f>
        <v>0</v>
      </c>
      <c r="D46" s="369">
        <f>Phasing!E33</f>
        <v>2.2999999999999998</v>
      </c>
      <c r="E46" s="369">
        <f>Phasing!F33</f>
        <v>0</v>
      </c>
      <c r="F46" s="369">
        <f>Phasing!G33</f>
        <v>2.2999999999999998</v>
      </c>
      <c r="G46" s="369">
        <f>Phasing!H33</f>
        <v>0</v>
      </c>
      <c r="H46" s="369">
        <f>Phasing!I33</f>
        <v>2.2999999999999998</v>
      </c>
      <c r="I46" s="369">
        <f>Phasing!J33</f>
        <v>0</v>
      </c>
      <c r="J46" s="369">
        <f>Phasing!K33</f>
        <v>2.2999999999999998</v>
      </c>
      <c r="P46" s="97"/>
      <c r="Q46" s="97"/>
      <c r="R46" s="97"/>
      <c r="S46" s="97"/>
      <c r="T46" s="97"/>
      <c r="U46" s="97"/>
      <c r="X46" s="522"/>
      <c r="Y46" s="522"/>
      <c r="Z46" s="522"/>
      <c r="AA46" s="522"/>
      <c r="AB46" s="522"/>
      <c r="AC46" s="522"/>
      <c r="AD46" s="522"/>
      <c r="AE46" s="522"/>
    </row>
    <row r="47" spans="1:31" ht="15" customHeight="1" x14ac:dyDescent="0.25">
      <c r="A47" s="200" t="s">
        <v>258</v>
      </c>
      <c r="B47" s="62" t="str">
        <f>Phasing!C34</f>
        <v>0 &amp; 0</v>
      </c>
      <c r="C47" s="369" t="e">
        <f>Phasing!D34</f>
        <v>#N/A</v>
      </c>
      <c r="D47" s="369" t="e">
        <f>Phasing!E34</f>
        <v>#N/A</v>
      </c>
      <c r="E47" s="369" t="e">
        <f>Phasing!F34</f>
        <v>#N/A</v>
      </c>
      <c r="F47" s="369" t="e">
        <f>Phasing!G34</f>
        <v>#N/A</v>
      </c>
      <c r="G47" s="369" t="e">
        <f>Phasing!H34</f>
        <v>#N/A</v>
      </c>
      <c r="H47" s="369" t="e">
        <f>Phasing!I34</f>
        <v>#N/A</v>
      </c>
      <c r="I47" s="369" t="e">
        <f>Phasing!J34</f>
        <v>#N/A</v>
      </c>
      <c r="J47" s="369" t="e">
        <f>Phasing!K34</f>
        <v>#N/A</v>
      </c>
      <c r="O47" s="523" t="s">
        <v>222</v>
      </c>
      <c r="P47" s="523"/>
      <c r="Q47" s="523"/>
      <c r="R47" s="523"/>
      <c r="S47" s="523"/>
      <c r="T47" s="523"/>
      <c r="U47" s="523"/>
      <c r="V47" s="523"/>
      <c r="X47" s="522"/>
      <c r="Y47" s="522"/>
      <c r="Z47" s="522"/>
      <c r="AA47" s="522"/>
      <c r="AB47" s="522"/>
      <c r="AC47" s="522"/>
      <c r="AD47" s="522"/>
      <c r="AE47" s="522"/>
    </row>
    <row r="48" spans="1:31" x14ac:dyDescent="0.25">
      <c r="A48" s="200" t="s">
        <v>259</v>
      </c>
      <c r="B48" s="62" t="str">
        <f>Phasing!C35</f>
        <v>0 &amp; 0</v>
      </c>
      <c r="C48" s="369" t="e">
        <f>Phasing!D35</f>
        <v>#N/A</v>
      </c>
      <c r="D48" s="369" t="e">
        <f>Phasing!E35</f>
        <v>#N/A</v>
      </c>
      <c r="E48" s="369" t="e">
        <f>Phasing!F35</f>
        <v>#N/A</v>
      </c>
      <c r="F48" s="369" t="e">
        <f>Phasing!G35</f>
        <v>#N/A</v>
      </c>
      <c r="G48" s="369" t="e">
        <f>Phasing!H35</f>
        <v>#N/A</v>
      </c>
      <c r="H48" s="369" t="e">
        <f>Phasing!I35</f>
        <v>#N/A</v>
      </c>
      <c r="I48" s="369" t="e">
        <f>Phasing!J35</f>
        <v>#N/A</v>
      </c>
      <c r="J48" s="369" t="e">
        <f>Phasing!K35</f>
        <v>#N/A</v>
      </c>
      <c r="O48" s="523"/>
      <c r="P48" s="523"/>
      <c r="Q48" s="523"/>
      <c r="R48" s="523"/>
      <c r="S48" s="523"/>
      <c r="T48" s="523"/>
      <c r="U48" s="523"/>
      <c r="V48" s="523"/>
      <c r="X48" s="522"/>
      <c r="Y48" s="522"/>
      <c r="Z48" s="522"/>
      <c r="AA48" s="522"/>
      <c r="AB48" s="522"/>
      <c r="AC48" s="522"/>
      <c r="AD48" s="522"/>
      <c r="AE48" s="522"/>
    </row>
    <row r="49" spans="1:22" x14ac:dyDescent="0.25">
      <c r="A49" s="200" t="s">
        <v>260</v>
      </c>
      <c r="B49" s="62" t="str">
        <f>Phasing!C36</f>
        <v>0 &amp; 0</v>
      </c>
      <c r="C49" s="369">
        <f>Phasing!D36</f>
        <v>0</v>
      </c>
      <c r="D49" s="369">
        <f>Phasing!E36</f>
        <v>0.3</v>
      </c>
      <c r="E49" s="369">
        <f>Phasing!F36</f>
        <v>0</v>
      </c>
      <c r="F49" s="369">
        <f>Phasing!G36</f>
        <v>0.3</v>
      </c>
      <c r="G49" s="369">
        <f>Phasing!H36</f>
        <v>0</v>
      </c>
      <c r="H49" s="369">
        <f>Phasing!I36</f>
        <v>0.3</v>
      </c>
      <c r="I49" s="369">
        <f>Phasing!J36</f>
        <v>0</v>
      </c>
      <c r="J49" s="369">
        <f>Phasing!K36</f>
        <v>0.3</v>
      </c>
      <c r="O49" s="523"/>
      <c r="P49" s="523"/>
      <c r="Q49" s="523"/>
      <c r="R49" s="523"/>
      <c r="S49" s="523"/>
      <c r="T49" s="523"/>
      <c r="U49" s="523"/>
      <c r="V49" s="523"/>
    </row>
    <row r="50" spans="1:22" x14ac:dyDescent="0.25">
      <c r="A50" s="200" t="s">
        <v>261</v>
      </c>
      <c r="B50" s="62" t="str">
        <f>Phasing!C37</f>
        <v>0 &amp; 0</v>
      </c>
      <c r="C50" s="369">
        <f>Phasing!D37</f>
        <v>0</v>
      </c>
      <c r="D50" s="369">
        <f>Phasing!E37</f>
        <v>0</v>
      </c>
      <c r="E50" s="369">
        <f>Phasing!F37</f>
        <v>0</v>
      </c>
      <c r="F50" s="369">
        <f>Phasing!G37</f>
        <v>0</v>
      </c>
      <c r="G50" s="369">
        <f>Phasing!H37</f>
        <v>0</v>
      </c>
      <c r="H50" s="369">
        <f>Phasing!I37</f>
        <v>0</v>
      </c>
      <c r="I50" s="369">
        <f>Phasing!J37</f>
        <v>0</v>
      </c>
      <c r="J50" s="369">
        <f>Phasing!K37</f>
        <v>0</v>
      </c>
      <c r="O50" s="523"/>
      <c r="P50" s="523"/>
      <c r="Q50" s="523"/>
      <c r="R50" s="523"/>
      <c r="S50" s="523"/>
      <c r="T50" s="523"/>
      <c r="U50" s="523"/>
      <c r="V50" s="523"/>
    </row>
    <row r="51" spans="1:22" x14ac:dyDescent="0.25">
      <c r="A51" s="200" t="s">
        <v>262</v>
      </c>
      <c r="B51" s="62" t="str">
        <f>Phasing!C38</f>
        <v>0 &amp; 0</v>
      </c>
      <c r="C51" s="369">
        <f>Phasing!D38</f>
        <v>0</v>
      </c>
      <c r="D51" s="369">
        <f>Phasing!E38</f>
        <v>0</v>
      </c>
      <c r="E51" s="369">
        <f>Phasing!F38</f>
        <v>0</v>
      </c>
      <c r="F51" s="369">
        <f>Phasing!G38</f>
        <v>0</v>
      </c>
      <c r="G51" s="369">
        <f>Phasing!H38</f>
        <v>0</v>
      </c>
      <c r="H51" s="369">
        <f>Phasing!I38</f>
        <v>0</v>
      </c>
      <c r="I51" s="369">
        <f>Phasing!J38</f>
        <v>0</v>
      </c>
      <c r="J51" s="369">
        <f>Phasing!K38</f>
        <v>0</v>
      </c>
      <c r="O51" s="523"/>
      <c r="P51" s="523"/>
      <c r="Q51" s="523"/>
      <c r="R51" s="523"/>
      <c r="S51" s="523"/>
      <c r="T51" s="523"/>
      <c r="U51" s="523"/>
      <c r="V51" s="523"/>
    </row>
    <row r="52" spans="1:22" x14ac:dyDescent="0.25">
      <c r="A52" s="200" t="s">
        <v>263</v>
      </c>
      <c r="B52" s="62" t="str">
        <f>Phasing!C39</f>
        <v>0 &amp; 0</v>
      </c>
      <c r="C52" s="369">
        <f>Phasing!D39</f>
        <v>0</v>
      </c>
      <c r="D52" s="369">
        <f>Phasing!E39</f>
        <v>1</v>
      </c>
      <c r="E52" s="369">
        <f>Phasing!F39</f>
        <v>0</v>
      </c>
      <c r="F52" s="369">
        <f>Phasing!G39</f>
        <v>1</v>
      </c>
      <c r="G52" s="369">
        <f>Phasing!H39</f>
        <v>0</v>
      </c>
      <c r="H52" s="369">
        <f>Phasing!I39</f>
        <v>1</v>
      </c>
      <c r="I52" s="369">
        <f>Phasing!J39</f>
        <v>0</v>
      </c>
      <c r="J52" s="369">
        <f>Phasing!K39</f>
        <v>1</v>
      </c>
      <c r="O52" s="523"/>
      <c r="P52" s="523"/>
      <c r="Q52" s="523"/>
      <c r="R52" s="523"/>
      <c r="S52" s="523"/>
      <c r="T52" s="523"/>
      <c r="U52" s="523"/>
      <c r="V52" s="523"/>
    </row>
    <row r="53" spans="1:22" x14ac:dyDescent="0.25">
      <c r="A53" s="200" t="s">
        <v>264</v>
      </c>
      <c r="B53" s="62" t="str">
        <f>Phasing!C40</f>
        <v>0 &amp; 0</v>
      </c>
      <c r="C53" s="369">
        <f>Phasing!D40</f>
        <v>0</v>
      </c>
      <c r="D53" s="369">
        <f>Phasing!E40</f>
        <v>5</v>
      </c>
      <c r="E53" s="369">
        <f>Phasing!F40</f>
        <v>0</v>
      </c>
      <c r="F53" s="369">
        <f>Phasing!G40</f>
        <v>5</v>
      </c>
      <c r="G53" s="369">
        <f>Phasing!H40</f>
        <v>0</v>
      </c>
      <c r="H53" s="369">
        <f>Phasing!I40</f>
        <v>5</v>
      </c>
      <c r="I53" s="369">
        <f>Phasing!J40</f>
        <v>0</v>
      </c>
      <c r="J53" s="369">
        <f>Phasing!K40</f>
        <v>5</v>
      </c>
      <c r="O53" s="523"/>
      <c r="P53" s="523"/>
      <c r="Q53" s="523"/>
      <c r="R53" s="523"/>
      <c r="S53" s="523"/>
      <c r="T53" s="523"/>
      <c r="U53" s="523"/>
      <c r="V53" s="523"/>
    </row>
    <row r="54" spans="1:22" x14ac:dyDescent="0.25">
      <c r="A54" s="200" t="s">
        <v>265</v>
      </c>
      <c r="B54" s="62" t="str">
        <f>Phasing!C41</f>
        <v>0 &amp; 0</v>
      </c>
      <c r="C54" s="369">
        <f>Phasing!D41</f>
        <v>0</v>
      </c>
      <c r="D54" s="369">
        <f>Phasing!E41</f>
        <v>0</v>
      </c>
      <c r="E54" s="369">
        <f>Phasing!F41</f>
        <v>0</v>
      </c>
      <c r="F54" s="369">
        <f>Phasing!G41</f>
        <v>0</v>
      </c>
      <c r="G54" s="369">
        <f>Phasing!H41</f>
        <v>0</v>
      </c>
      <c r="H54" s="369">
        <f>Phasing!I41</f>
        <v>0</v>
      </c>
      <c r="I54" s="369">
        <f>Phasing!J41</f>
        <v>0</v>
      </c>
      <c r="J54" s="369">
        <f>Phasing!K41</f>
        <v>0</v>
      </c>
      <c r="O54" s="523"/>
      <c r="P54" s="523"/>
      <c r="Q54" s="523"/>
      <c r="R54" s="523"/>
      <c r="S54" s="523"/>
      <c r="T54" s="523"/>
      <c r="U54" s="523"/>
      <c r="V54" s="523"/>
    </row>
    <row r="55" spans="1:22" x14ac:dyDescent="0.25">
      <c r="A55" s="200" t="s">
        <v>266</v>
      </c>
      <c r="B55" s="62" t="str">
        <f>Phasing!C42</f>
        <v>0 &amp; 0</v>
      </c>
      <c r="C55" s="369">
        <f>Phasing!D42</f>
        <v>0</v>
      </c>
      <c r="D55" s="369">
        <f>Phasing!E42</f>
        <v>1</v>
      </c>
      <c r="E55" s="369">
        <f>Phasing!F42</f>
        <v>0</v>
      </c>
      <c r="F55" s="369">
        <f>Phasing!G42</f>
        <v>1</v>
      </c>
      <c r="G55" s="369">
        <f>Phasing!H42</f>
        <v>0</v>
      </c>
      <c r="H55" s="369">
        <f>Phasing!I42</f>
        <v>1</v>
      </c>
      <c r="I55" s="369">
        <f>Phasing!J42</f>
        <v>0</v>
      </c>
      <c r="J55" s="369">
        <f>Phasing!K42</f>
        <v>1</v>
      </c>
      <c r="O55" s="523"/>
      <c r="P55" s="523"/>
      <c r="Q55" s="523"/>
      <c r="R55" s="523"/>
      <c r="S55" s="523"/>
      <c r="T55" s="523"/>
      <c r="U55" s="523"/>
      <c r="V55" s="523"/>
    </row>
    <row r="56" spans="1:22" x14ac:dyDescent="0.25">
      <c r="A56" s="200" t="s">
        <v>267</v>
      </c>
      <c r="B56" s="62" t="str">
        <f>Phasing!C43</f>
        <v>0 &amp; 0</v>
      </c>
      <c r="C56" s="369">
        <f>Phasing!D43</f>
        <v>0</v>
      </c>
      <c r="D56" s="369">
        <f>Phasing!E43</f>
        <v>5</v>
      </c>
      <c r="E56" s="369">
        <f>Phasing!F43</f>
        <v>0</v>
      </c>
      <c r="F56" s="369">
        <f>Phasing!G43</f>
        <v>5</v>
      </c>
      <c r="G56" s="369">
        <f>Phasing!H43</f>
        <v>0</v>
      </c>
      <c r="H56" s="369">
        <f>Phasing!I43</f>
        <v>5</v>
      </c>
      <c r="I56" s="369">
        <f>Phasing!J43</f>
        <v>0</v>
      </c>
      <c r="J56" s="369">
        <f>Phasing!K43</f>
        <v>5</v>
      </c>
    </row>
    <row r="57" spans="1:22" x14ac:dyDescent="0.25">
      <c r="A57" s="200" t="s">
        <v>268</v>
      </c>
      <c r="B57" s="62" t="str">
        <f>Phasing!C44</f>
        <v>0 &amp; 0</v>
      </c>
      <c r="C57" s="369">
        <f>Phasing!D44</f>
        <v>0</v>
      </c>
      <c r="D57" s="369" t="e">
        <f>Phasing!E44</f>
        <v>#N/A</v>
      </c>
      <c r="E57" s="369">
        <f>Phasing!F44</f>
        <v>0</v>
      </c>
      <c r="F57" s="369" t="e">
        <f>Phasing!G44</f>
        <v>#N/A</v>
      </c>
      <c r="G57" s="369">
        <f>Phasing!H44</f>
        <v>0</v>
      </c>
      <c r="H57" s="369" t="e">
        <f>Phasing!I44</f>
        <v>#N/A</v>
      </c>
      <c r="I57" s="369">
        <f>Phasing!J44</f>
        <v>0</v>
      </c>
      <c r="J57" s="369" t="e">
        <f>Phasing!K44</f>
        <v>#N/A</v>
      </c>
    </row>
    <row r="58" spans="1:22" x14ac:dyDescent="0.25">
      <c r="A58" s="200" t="s">
        <v>269</v>
      </c>
      <c r="B58" s="62" t="str">
        <f>Phasing!C45</f>
        <v>0 &amp; 0</v>
      </c>
      <c r="C58" s="369" t="e">
        <f>Phasing!D45</f>
        <v>#N/A</v>
      </c>
      <c r="D58" s="369" t="e">
        <f>Phasing!E45</f>
        <v>#N/A</v>
      </c>
      <c r="E58" s="369" t="e">
        <f>Phasing!F45</f>
        <v>#N/A</v>
      </c>
      <c r="F58" s="369" t="e">
        <f>Phasing!G45</f>
        <v>#N/A</v>
      </c>
      <c r="G58" s="369" t="e">
        <f>Phasing!H45</f>
        <v>#N/A</v>
      </c>
      <c r="H58" s="369" t="e">
        <f>Phasing!I45</f>
        <v>#N/A</v>
      </c>
      <c r="I58" s="369" t="e">
        <f>Phasing!J45</f>
        <v>#N/A</v>
      </c>
      <c r="J58" s="369" t="e">
        <f>Phasing!K45</f>
        <v>#N/A</v>
      </c>
    </row>
    <row r="59" spans="1:22" x14ac:dyDescent="0.25">
      <c r="A59" s="200" t="s">
        <v>270</v>
      </c>
      <c r="B59" s="62" t="str">
        <f>Phasing!C46</f>
        <v>0 &amp; 0</v>
      </c>
      <c r="C59" s="369">
        <f>Phasing!D46</f>
        <v>0</v>
      </c>
      <c r="D59" s="369" t="e">
        <f>Phasing!E46</f>
        <v>#N/A</v>
      </c>
      <c r="E59" s="369">
        <f>Phasing!F46</f>
        <v>0</v>
      </c>
      <c r="F59" s="369" t="e">
        <f>Phasing!G46</f>
        <v>#N/A</v>
      </c>
      <c r="G59" s="369">
        <f>Phasing!H46</f>
        <v>0</v>
      </c>
      <c r="H59" s="369" t="e">
        <f>Phasing!I46</f>
        <v>#N/A</v>
      </c>
      <c r="I59" s="369">
        <f>Phasing!J46</f>
        <v>0</v>
      </c>
      <c r="J59" s="369" t="e">
        <f>Phasing!K46</f>
        <v>#N/A</v>
      </c>
    </row>
    <row r="60" spans="1:22" x14ac:dyDescent="0.25">
      <c r="A60" s="200" t="s">
        <v>271</v>
      </c>
      <c r="B60" s="62" t="str">
        <f>Phasing!C47</f>
        <v>0 &amp; 0</v>
      </c>
      <c r="C60" s="369">
        <f>Phasing!D47</f>
        <v>0</v>
      </c>
      <c r="D60" s="369" t="e">
        <f>Phasing!E47</f>
        <v>#N/A</v>
      </c>
      <c r="E60" s="369">
        <f>Phasing!F47</f>
        <v>0</v>
      </c>
      <c r="F60" s="369" t="e">
        <f>Phasing!G47</f>
        <v>#N/A</v>
      </c>
      <c r="G60" s="369">
        <f>Phasing!H47</f>
        <v>0</v>
      </c>
      <c r="H60" s="369" t="e">
        <f>Phasing!I47</f>
        <v>#N/A</v>
      </c>
      <c r="I60" s="369">
        <f>Phasing!J47</f>
        <v>0</v>
      </c>
      <c r="J60" s="369" t="e">
        <f>Phasing!K47</f>
        <v>#N/A</v>
      </c>
    </row>
    <row r="61" spans="1:22" x14ac:dyDescent="0.25">
      <c r="A61" s="200" t="s">
        <v>272</v>
      </c>
      <c r="B61" s="62" t="str">
        <f>Phasing!C48</f>
        <v>0 &amp; 0</v>
      </c>
      <c r="C61" s="369">
        <f>Phasing!D48</f>
        <v>0</v>
      </c>
      <c r="D61" s="369" t="e">
        <f>Phasing!E48</f>
        <v>#N/A</v>
      </c>
      <c r="E61" s="369">
        <f>Phasing!F48</f>
        <v>0</v>
      </c>
      <c r="F61" s="369" t="e">
        <f>Phasing!G48</f>
        <v>#N/A</v>
      </c>
      <c r="G61" s="369">
        <f>Phasing!H48</f>
        <v>0</v>
      </c>
      <c r="H61" s="369" t="e">
        <f>Phasing!I48</f>
        <v>#N/A</v>
      </c>
      <c r="I61" s="369">
        <f>Phasing!J48</f>
        <v>0</v>
      </c>
      <c r="J61" s="369" t="e">
        <f>Phasing!K48</f>
        <v>#N/A</v>
      </c>
    </row>
    <row r="62" spans="1:22" x14ac:dyDescent="0.25">
      <c r="A62" s="200" t="s">
        <v>273</v>
      </c>
      <c r="B62" s="62" t="str">
        <f>Phasing!C49</f>
        <v>0 &amp; 0</v>
      </c>
      <c r="C62" s="369">
        <f>Phasing!D49</f>
        <v>0</v>
      </c>
      <c r="D62" s="369" t="e">
        <f>Phasing!E49</f>
        <v>#N/A</v>
      </c>
      <c r="E62" s="369">
        <f>Phasing!F49</f>
        <v>0</v>
      </c>
      <c r="F62" s="369" t="e">
        <f>Phasing!G49</f>
        <v>#N/A</v>
      </c>
      <c r="G62" s="369">
        <f>Phasing!H49</f>
        <v>0</v>
      </c>
      <c r="H62" s="369" t="e">
        <f>Phasing!I49</f>
        <v>#N/A</v>
      </c>
      <c r="I62" s="369">
        <f>Phasing!J49</f>
        <v>0</v>
      </c>
      <c r="J62" s="369" t="e">
        <f>Phasing!K49</f>
        <v>#N/A</v>
      </c>
    </row>
    <row r="63" spans="1:22" x14ac:dyDescent="0.25">
      <c r="A63" s="200" t="s">
        <v>274</v>
      </c>
      <c r="B63" s="62" t="str">
        <f>Phasing!C50</f>
        <v>0 &amp; 0</v>
      </c>
      <c r="C63" s="369">
        <f>Phasing!D50</f>
        <v>0</v>
      </c>
      <c r="D63" s="369" t="e">
        <f>Phasing!E50</f>
        <v>#N/A</v>
      </c>
      <c r="E63" s="369">
        <f>Phasing!F50</f>
        <v>0</v>
      </c>
      <c r="F63" s="369" t="e">
        <f>Phasing!G50</f>
        <v>#N/A</v>
      </c>
      <c r="G63" s="369">
        <f>Phasing!H50</f>
        <v>0</v>
      </c>
      <c r="H63" s="369" t="e">
        <f>Phasing!I50</f>
        <v>#N/A</v>
      </c>
      <c r="I63" s="369">
        <f>Phasing!J50</f>
        <v>0</v>
      </c>
      <c r="J63" s="369" t="e">
        <f>Phasing!K50</f>
        <v>#N/A</v>
      </c>
    </row>
    <row r="64" spans="1:22" x14ac:dyDescent="0.25">
      <c r="A64" s="200" t="s">
        <v>275</v>
      </c>
      <c r="B64" s="62" t="str">
        <f>Phasing!C51</f>
        <v>0 &amp; 0</v>
      </c>
      <c r="C64" s="369">
        <f>Phasing!D51</f>
        <v>0</v>
      </c>
      <c r="D64" s="369" t="e">
        <f>Phasing!E51</f>
        <v>#N/A</v>
      </c>
      <c r="E64" s="369">
        <f>Phasing!F51</f>
        <v>0</v>
      </c>
      <c r="F64" s="369" t="e">
        <f>Phasing!G51</f>
        <v>#N/A</v>
      </c>
      <c r="G64" s="369">
        <f>Phasing!H51</f>
        <v>0</v>
      </c>
      <c r="H64" s="369" t="e">
        <f>Phasing!I51</f>
        <v>#N/A</v>
      </c>
      <c r="I64" s="369">
        <f>Phasing!J51</f>
        <v>0</v>
      </c>
      <c r="J64" s="369" t="e">
        <f>Phasing!K51</f>
        <v>#N/A</v>
      </c>
    </row>
    <row r="65" spans="1:21" x14ac:dyDescent="0.25">
      <c r="A65" s="200" t="s">
        <v>276</v>
      </c>
      <c r="B65" s="62" t="str">
        <f>Phasing!C52</f>
        <v>0 &amp; 0</v>
      </c>
      <c r="C65" s="369">
        <f>Phasing!D52</f>
        <v>0</v>
      </c>
      <c r="D65" s="369" t="e">
        <f>Phasing!E52</f>
        <v>#N/A</v>
      </c>
      <c r="E65" s="369">
        <f>Phasing!F52</f>
        <v>0</v>
      </c>
      <c r="F65" s="369" t="e">
        <f>Phasing!G52</f>
        <v>#N/A</v>
      </c>
      <c r="G65" s="369">
        <f>Phasing!H52</f>
        <v>0</v>
      </c>
      <c r="H65" s="369" t="e">
        <f>Phasing!I52</f>
        <v>#N/A</v>
      </c>
      <c r="I65" s="369">
        <f>Phasing!J52</f>
        <v>0</v>
      </c>
      <c r="J65" s="369" t="e">
        <f>Phasing!K52</f>
        <v>#N/A</v>
      </c>
    </row>
    <row r="66" spans="1:21" s="156" customFormat="1" x14ac:dyDescent="0.25">
      <c r="A66" s="288" t="s">
        <v>355</v>
      </c>
      <c r="D66" s="156" t="e">
        <f>'Phase calculation'!I55</f>
        <v>#N/A</v>
      </c>
      <c r="E66" s="156" t="e">
        <f>'Phase calculation'!J55</f>
        <v>#N/A</v>
      </c>
      <c r="F66" s="156" t="e">
        <f>'Phase calculation'!K55</f>
        <v>#N/A</v>
      </c>
      <c r="I66" s="156" t="e">
        <f>'Phase calculation'!L55</f>
        <v>#N/A</v>
      </c>
      <c r="J66" s="156" t="e">
        <f>'Phase calculation'!M55</f>
        <v>#N/A</v>
      </c>
      <c r="K66" s="156" t="e">
        <f>'Phase calculation'!N55</f>
        <v>#N/A</v>
      </c>
      <c r="N66" s="156" t="e">
        <f>'Phase calculation'!C55</f>
        <v>#N/A</v>
      </c>
      <c r="O66" s="156" t="e">
        <f>'Phase calculation'!D55</f>
        <v>#N/A</v>
      </c>
      <c r="P66" s="156" t="e">
        <f>'Phase calculation'!E55</f>
        <v>#N/A</v>
      </c>
      <c r="S66" s="156" t="e">
        <f>'Phase calculation'!F55</f>
        <v>#N/A</v>
      </c>
      <c r="T66" s="156" t="e">
        <f>'Phase calculation'!G55</f>
        <v>#N/A</v>
      </c>
      <c r="U66" s="156" t="e">
        <f>'Phase calculation'!H55</f>
        <v>#N/A</v>
      </c>
    </row>
    <row r="67" spans="1:21" x14ac:dyDescent="0.25">
      <c r="A67" s="516" t="s">
        <v>73</v>
      </c>
      <c r="B67" s="516"/>
      <c r="C67" s="368" t="str">
        <f>'Summary sheet'!G92</f>
        <v>Not used</v>
      </c>
      <c r="D67" s="368" t="str">
        <f>'Summary sheet'!H92</f>
        <v>NBL</v>
      </c>
      <c r="E67" s="368" t="str">
        <f>'Summary sheet'!I92</f>
        <v>Not used</v>
      </c>
      <c r="F67" s="368" t="str">
        <f>'Summary sheet'!J92</f>
        <v>EBL</v>
      </c>
      <c r="G67" s="368" t="str">
        <f>'Summary sheet'!K92</f>
        <v>Not used</v>
      </c>
      <c r="H67" s="368" t="str">
        <f>'Summary sheet'!L92</f>
        <v>SBL</v>
      </c>
      <c r="I67" s="368" t="str">
        <f>'Summary sheet'!M92</f>
        <v>Not used</v>
      </c>
      <c r="J67" s="368" t="str">
        <f>'Summary sheet'!N92</f>
        <v>WBL</v>
      </c>
    </row>
    <row r="68" spans="1:21" x14ac:dyDescent="0.25">
      <c r="A68" s="516" t="s">
        <v>461</v>
      </c>
      <c r="B68" s="516"/>
      <c r="C68" s="368" t="str">
        <f>IF(AND(C70&gt;0,C70=H70),"X","")</f>
        <v>X</v>
      </c>
      <c r="D68" s="368"/>
      <c r="E68" s="368" t="str">
        <f>IF(AND(E70&gt;0,E70=J70),"X","")</f>
        <v>X</v>
      </c>
      <c r="F68" s="368"/>
      <c r="G68" s="368" t="str">
        <f>IF(AND(G70&gt;0,G70=D70),"X","")</f>
        <v>X</v>
      </c>
      <c r="H68" s="368"/>
      <c r="I68" s="368" t="str">
        <f>IF(AND(I70&gt;0,I70=F70),"X","")</f>
        <v>X</v>
      </c>
      <c r="J68" s="368"/>
    </row>
    <row r="69" spans="1:21" x14ac:dyDescent="0.25">
      <c r="A69" s="516" t="s">
        <v>459</v>
      </c>
      <c r="B69" s="516"/>
      <c r="C69" s="368" t="str">
        <f>IF(C67="Not used",H67,C67)</f>
        <v>SBL</v>
      </c>
      <c r="D69" s="368" t="str">
        <f>D67</f>
        <v>NBL</v>
      </c>
      <c r="E69" s="368" t="str">
        <f>IF(E67="Not used",J67,E67)</f>
        <v>WBL</v>
      </c>
      <c r="F69" s="368" t="str">
        <f>F67</f>
        <v>EBL</v>
      </c>
      <c r="G69" s="368" t="str">
        <f>IF(G67="Not used",D67,G67)</f>
        <v>NBL</v>
      </c>
      <c r="H69" s="368" t="str">
        <f>H67</f>
        <v>SBL</v>
      </c>
      <c r="I69" s="368" t="str">
        <f>IF(I67="Not used",F67,I67)</f>
        <v>EBL</v>
      </c>
      <c r="J69" s="368" t="str">
        <f>J67</f>
        <v>WBL</v>
      </c>
      <c r="O69" t="s">
        <v>4</v>
      </c>
      <c r="P69" t="s">
        <v>3</v>
      </c>
    </row>
    <row r="70" spans="1:21" x14ac:dyDescent="0.25">
      <c r="C70" s="368">
        <f t="shared" ref="C70:J70" si="1">IFERROR(MATCH(C69,$C$67:$J$67,0),0)</f>
        <v>6</v>
      </c>
      <c r="D70" s="368">
        <f t="shared" si="1"/>
        <v>2</v>
      </c>
      <c r="E70" s="368">
        <f t="shared" si="1"/>
        <v>8</v>
      </c>
      <c r="F70" s="368">
        <f t="shared" si="1"/>
        <v>4</v>
      </c>
      <c r="G70" s="368">
        <f t="shared" si="1"/>
        <v>2</v>
      </c>
      <c r="H70" s="368">
        <f t="shared" si="1"/>
        <v>6</v>
      </c>
      <c r="I70" s="368">
        <f t="shared" si="1"/>
        <v>4</v>
      </c>
      <c r="J70" s="368">
        <f t="shared" si="1"/>
        <v>8</v>
      </c>
      <c r="O70" t="s">
        <v>9</v>
      </c>
      <c r="P70" t="s">
        <v>8</v>
      </c>
    </row>
    <row r="71" spans="1:21" x14ac:dyDescent="0.25">
      <c r="A71" t="s">
        <v>462</v>
      </c>
      <c r="C71" s="368">
        <f t="shared" ref="C71:J71" si="2">IF(C67="Not used",0,MATCH(C77,$D$1:$U$1,0))</f>
        <v>0</v>
      </c>
      <c r="D71" s="368">
        <f t="shared" si="2"/>
        <v>1</v>
      </c>
      <c r="E71" s="368">
        <f t="shared" si="2"/>
        <v>0</v>
      </c>
      <c r="F71" s="368">
        <f t="shared" si="2"/>
        <v>11</v>
      </c>
      <c r="G71" s="368">
        <f t="shared" si="2"/>
        <v>0</v>
      </c>
      <c r="H71" s="368">
        <f t="shared" si="2"/>
        <v>6</v>
      </c>
      <c r="I71" s="368">
        <f t="shared" si="2"/>
        <v>0</v>
      </c>
      <c r="J71" s="368">
        <f t="shared" si="2"/>
        <v>16</v>
      </c>
      <c r="O71" t="s">
        <v>14</v>
      </c>
      <c r="P71" t="s">
        <v>13</v>
      </c>
    </row>
    <row r="72" spans="1:21" x14ac:dyDescent="0.25">
      <c r="A72" s="517" t="s">
        <v>463</v>
      </c>
      <c r="B72" s="517"/>
      <c r="C72" s="288">
        <f>IF(C71=0,0,INDEX($D$17:$U$17,1,C71))</f>
        <v>0</v>
      </c>
      <c r="D72" s="371" t="e">
        <f t="shared" ref="D72:J72" si="3">IF(D71=0,0,INDEX($D$17:$U$17,1,D71))</f>
        <v>#N/A</v>
      </c>
      <c r="E72" s="371">
        <f t="shared" si="3"/>
        <v>0</v>
      </c>
      <c r="F72" s="371" t="e">
        <f t="shared" si="3"/>
        <v>#N/A</v>
      </c>
      <c r="G72" s="371">
        <f t="shared" si="3"/>
        <v>0</v>
      </c>
      <c r="H72" s="371" t="e">
        <f t="shared" si="3"/>
        <v>#N/A</v>
      </c>
      <c r="I72" s="371">
        <f t="shared" si="3"/>
        <v>0</v>
      </c>
      <c r="J72" s="371" t="e">
        <f t="shared" si="3"/>
        <v>#N/A</v>
      </c>
      <c r="O72" t="s">
        <v>19</v>
      </c>
      <c r="P72" t="s">
        <v>18</v>
      </c>
    </row>
    <row r="73" spans="1:21" x14ac:dyDescent="0.25">
      <c r="A73" s="518" t="s">
        <v>464</v>
      </c>
      <c r="B73" s="518"/>
      <c r="C73" s="290">
        <f>C59</f>
        <v>0</v>
      </c>
      <c r="D73" s="290" t="e">
        <f t="shared" ref="D73:J73" si="4">D59</f>
        <v>#N/A</v>
      </c>
      <c r="E73" s="290">
        <f t="shared" si="4"/>
        <v>0</v>
      </c>
      <c r="F73" s="290" t="e">
        <f t="shared" si="4"/>
        <v>#N/A</v>
      </c>
      <c r="G73" s="290">
        <f t="shared" si="4"/>
        <v>0</v>
      </c>
      <c r="H73" s="290" t="e">
        <f t="shared" si="4"/>
        <v>#N/A</v>
      </c>
      <c r="I73" s="290">
        <f t="shared" si="4"/>
        <v>0</v>
      </c>
      <c r="J73" s="290" t="e">
        <f t="shared" si="4"/>
        <v>#N/A</v>
      </c>
      <c r="O73" t="s">
        <v>467</v>
      </c>
      <c r="P73">
        <v>0</v>
      </c>
    </row>
    <row r="74" spans="1:21" x14ac:dyDescent="0.25">
      <c r="A74" s="519" t="s">
        <v>465</v>
      </c>
      <c r="B74" s="519"/>
      <c r="C74" s="370">
        <f>C73+C72</f>
        <v>0</v>
      </c>
      <c r="D74" s="370" t="e">
        <f t="shared" ref="D74:J74" si="5">D73+D72</f>
        <v>#N/A</v>
      </c>
      <c r="E74" s="370">
        <f t="shared" si="5"/>
        <v>0</v>
      </c>
      <c r="F74" s="370" t="e">
        <f t="shared" si="5"/>
        <v>#N/A</v>
      </c>
      <c r="G74" s="370">
        <f t="shared" si="5"/>
        <v>0</v>
      </c>
      <c r="H74" s="370" t="e">
        <f t="shared" si="5"/>
        <v>#N/A</v>
      </c>
      <c r="I74" s="370">
        <f t="shared" si="5"/>
        <v>0</v>
      </c>
      <c r="J74" s="370" t="e">
        <f t="shared" si="5"/>
        <v>#N/A</v>
      </c>
      <c r="O74" t="s">
        <v>3</v>
      </c>
      <c r="P74" t="s">
        <v>3</v>
      </c>
    </row>
    <row r="75" spans="1:21" x14ac:dyDescent="0.25">
      <c r="C75" s="368">
        <v>1</v>
      </c>
      <c r="D75" s="368">
        <v>2</v>
      </c>
      <c r="E75" s="368">
        <v>3</v>
      </c>
      <c r="F75" s="368">
        <v>4</v>
      </c>
      <c r="G75" s="368">
        <v>5</v>
      </c>
      <c r="H75" s="368">
        <v>6</v>
      </c>
      <c r="I75" s="368">
        <v>7</v>
      </c>
      <c r="J75" s="368">
        <v>8</v>
      </c>
      <c r="O75" t="s">
        <v>8</v>
      </c>
      <c r="P75" t="s">
        <v>8</v>
      </c>
    </row>
    <row r="76" spans="1:21" x14ac:dyDescent="0.25">
      <c r="A76" s="520" t="s">
        <v>466</v>
      </c>
      <c r="B76" s="520"/>
      <c r="C76" s="368">
        <f>IF(C69=H69,MATCH(C69,$O$69:$O$77,0),0)</f>
        <v>7</v>
      </c>
      <c r="D76" s="368"/>
      <c r="E76" s="368">
        <f>IF(E69=J69,MATCH(E69,$O$69:$O$77,0),0)</f>
        <v>9</v>
      </c>
      <c r="F76" s="368"/>
      <c r="G76" s="368">
        <f>IF(G69=D69,MATCH(G69,$O$69:$O$77,0),0)</f>
        <v>6</v>
      </c>
      <c r="H76" s="368"/>
      <c r="I76" s="368">
        <f>IF(I69=F69,MATCH(I69,$O$69:$O$77,0),0)</f>
        <v>8</v>
      </c>
      <c r="J76" s="368"/>
      <c r="K76" s="368"/>
      <c r="L76" s="368"/>
      <c r="M76" s="368"/>
      <c r="N76" s="368"/>
      <c r="O76" t="s">
        <v>13</v>
      </c>
      <c r="P76" t="s">
        <v>13</v>
      </c>
    </row>
    <row r="77" spans="1:21" x14ac:dyDescent="0.25">
      <c r="A77" s="520"/>
      <c r="B77" s="520"/>
      <c r="C77" s="368" t="str">
        <f>IF(C69=H69,INDEX(P69:P77,C76),C69)</f>
        <v>SBL</v>
      </c>
      <c r="D77" s="368" t="str">
        <f>D69</f>
        <v>NBL</v>
      </c>
      <c r="E77" s="368" t="str">
        <f>IF(E69=J69,INDEX(P69:P77,E76),E69)</f>
        <v>WBL</v>
      </c>
      <c r="F77" s="368" t="str">
        <f>F69</f>
        <v>EBL</v>
      </c>
      <c r="G77" s="368" t="str">
        <f>IF(G69=D69,INDEX(P69:P77,G76),G69)</f>
        <v>NBL</v>
      </c>
      <c r="H77" s="368" t="str">
        <f>H69</f>
        <v>SBL</v>
      </c>
      <c r="I77" s="368" t="str">
        <f>IF(I69=F69,INDEX(P69:P77,I76),I69)</f>
        <v>EBL</v>
      </c>
      <c r="J77" s="368" t="str">
        <f>J69</f>
        <v>WBL</v>
      </c>
      <c r="K77" s="368"/>
      <c r="L77" s="368"/>
      <c r="M77" s="368"/>
      <c r="N77" s="36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heetViews>
  <sheetFormatPr defaultColWidth="9.140625" defaultRowHeight="12.75" x14ac:dyDescent="0.2"/>
  <cols>
    <col min="1" max="1" width="9.140625" style="379"/>
    <col min="2" max="2" width="9.140625" style="379" customWidth="1"/>
    <col min="3" max="3" width="4.7109375" style="379" customWidth="1"/>
    <col min="4" max="4" width="10.5703125" style="379" customWidth="1"/>
    <col min="5" max="5" width="9.140625" style="394"/>
    <col min="6" max="7" width="9.140625" style="379"/>
    <col min="8" max="8" width="11.5703125" style="379" bestFit="1" customWidth="1"/>
    <col min="9" max="9" width="10.5703125" style="379" bestFit="1" customWidth="1"/>
    <col min="10" max="12" width="9.140625" style="379"/>
    <col min="13" max="13" width="11.140625" style="379" customWidth="1"/>
    <col min="14" max="14" width="10.28515625" style="379" customWidth="1"/>
    <col min="15" max="15" width="11.5703125" style="379" customWidth="1"/>
    <col min="16" max="16" width="9.85546875" style="379" bestFit="1" customWidth="1"/>
    <col min="17" max="17" width="4.7109375" style="379" customWidth="1"/>
    <col min="18" max="18" width="9.140625" style="379"/>
    <col min="19" max="20" width="9.140625" style="379" customWidth="1"/>
    <col min="21" max="21" width="13.5703125" style="379" customWidth="1"/>
    <col min="22" max="23" width="9.140625" style="379" customWidth="1"/>
    <col min="24" max="26" width="9.140625" style="460" hidden="1" customWidth="1"/>
    <col min="27" max="16384" width="9.140625" style="379"/>
  </cols>
  <sheetData>
    <row r="1" spans="1:26" ht="15" customHeight="1" thickBot="1" x14ac:dyDescent="0.25">
      <c r="A1" s="438" t="s">
        <v>488</v>
      </c>
      <c r="B1" s="439"/>
      <c r="C1" s="434"/>
      <c r="D1" s="434"/>
      <c r="F1" s="394"/>
      <c r="G1" s="394"/>
      <c r="H1" s="394"/>
      <c r="I1" s="394"/>
      <c r="J1" s="394"/>
      <c r="K1" s="394"/>
      <c r="L1" s="394"/>
      <c r="M1" s="394"/>
      <c r="N1" s="394"/>
      <c r="O1" s="394"/>
      <c r="P1" s="394"/>
      <c r="Q1" s="394"/>
      <c r="R1" s="394"/>
      <c r="S1" s="394"/>
      <c r="T1" s="412"/>
      <c r="U1" s="412"/>
      <c r="V1" s="412"/>
      <c r="W1" s="412"/>
    </row>
    <row r="2" spans="1:26" ht="15" customHeight="1" thickBot="1" x14ac:dyDescent="0.25">
      <c r="A2" s="440" t="s">
        <v>489</v>
      </c>
      <c r="B2" s="441">
        <v>12.5</v>
      </c>
      <c r="C2" s="434"/>
      <c r="D2" s="434"/>
      <c r="E2" s="435"/>
      <c r="F2" s="380"/>
      <c r="G2" s="394"/>
      <c r="H2" s="394" t="s">
        <v>245</v>
      </c>
      <c r="I2" s="406">
        <f>IF(UTDF_input!D6="",UTDF_input!J6,UTDF_input!D6)</f>
        <v>0</v>
      </c>
      <c r="J2" s="407"/>
      <c r="K2" s="408"/>
      <c r="L2" s="394" t="s">
        <v>518</v>
      </c>
      <c r="M2" s="420">
        <v>0</v>
      </c>
      <c r="N2" s="394" t="s">
        <v>519</v>
      </c>
      <c r="O2" s="394"/>
      <c r="P2" s="394"/>
      <c r="Q2" s="394"/>
      <c r="R2" s="394"/>
      <c r="S2" s="394"/>
      <c r="T2" s="412">
        <f>IF(OR(Sheet1!O29&gt;0,D16="Yes"),1,0)</f>
        <v>1</v>
      </c>
      <c r="U2" s="412">
        <f>IF(OR(Sheet1!E29&gt;0,M22="Yes"),1,0)</f>
        <v>1</v>
      </c>
      <c r="V2" s="412">
        <f>IF(OR(Sheet1!T29&gt;0,P16="Yes"),1,0)</f>
        <v>1</v>
      </c>
      <c r="W2" s="412">
        <f>IF(OR(Sheet1!J29&gt;0,L5="Yes"),1,0)</f>
        <v>1</v>
      </c>
    </row>
    <row r="3" spans="1:26" ht="13.5" thickBot="1" x14ac:dyDescent="0.25">
      <c r="A3" s="440" t="s">
        <v>490</v>
      </c>
      <c r="B3" s="441">
        <v>31.5</v>
      </c>
      <c r="C3" s="434"/>
      <c r="D3" s="434"/>
      <c r="E3" s="435"/>
      <c r="F3" s="380"/>
      <c r="G3" s="394"/>
      <c r="H3" s="394"/>
      <c r="I3" s="394"/>
      <c r="J3" s="394"/>
      <c r="K3" s="394"/>
      <c r="L3" s="394"/>
      <c r="M3" s="394"/>
      <c r="N3" s="394"/>
      <c r="O3" s="394"/>
      <c r="P3" s="394"/>
      <c r="Q3" s="394"/>
      <c r="R3" s="394"/>
      <c r="S3" s="394"/>
      <c r="U3" s="381" t="s">
        <v>236</v>
      </c>
      <c r="V3" s="382">
        <f>IFERROR(AVERAGE(UTDF_input!D41:F41,UTDF_input!H41:P41),1900)</f>
        <v>1900</v>
      </c>
    </row>
    <row r="4" spans="1:26" ht="13.5" thickBot="1" x14ac:dyDescent="0.25">
      <c r="A4" s="442" t="s">
        <v>491</v>
      </c>
      <c r="B4" s="443">
        <f>IFERROR(AVERAGE(UTDF_input!D51:F51,UTDF_input!H51:J51,UTDF_input!K51:M51,UTDF_input!N51:P51),7)</f>
        <v>7</v>
      </c>
      <c r="C4" s="434"/>
      <c r="D4" s="434"/>
      <c r="E4" s="435"/>
      <c r="F4" s="380"/>
      <c r="G4" s="394"/>
      <c r="H4" s="394"/>
      <c r="I4" s="394" t="s">
        <v>231</v>
      </c>
      <c r="J4" s="385">
        <f>IFERROR(INDEX(UTDF_input!A36:AC36,1,MATCH("SBT",UTDF_input!A26:AC26,0)),20)+IFERROR(INDEX(UTDF_input!A36:AC36,1,MATCH("SWT",UTDF_input!A26:AC26,0)),20)</f>
        <v>40</v>
      </c>
      <c r="K4" s="394"/>
      <c r="L4" s="394" t="s">
        <v>513</v>
      </c>
      <c r="M4" s="394"/>
      <c r="N4" s="394"/>
      <c r="O4" s="394"/>
      <c r="P4" s="394"/>
      <c r="Q4" s="394"/>
      <c r="R4" s="394"/>
      <c r="S4" s="394"/>
      <c r="U4" s="383" t="s">
        <v>234</v>
      </c>
      <c r="V4" s="384">
        <f>IFERROR(AVERAGE(UTDF_input!D49:F49,UTDF_input!H49:P49),0.92)</f>
        <v>0.92</v>
      </c>
    </row>
    <row r="5" spans="1:26" ht="13.5" thickBot="1" x14ac:dyDescent="0.25">
      <c r="A5" s="434"/>
      <c r="B5" s="434"/>
      <c r="C5" s="434"/>
      <c r="D5" s="434"/>
      <c r="E5" s="435"/>
      <c r="F5" s="380"/>
      <c r="G5" s="394"/>
      <c r="H5" s="394"/>
      <c r="I5" s="394"/>
      <c r="J5" s="394"/>
      <c r="K5" s="394"/>
      <c r="L5" s="386" t="s">
        <v>473</v>
      </c>
      <c r="M5" s="419" t="s">
        <v>474</v>
      </c>
      <c r="N5" s="419" t="s">
        <v>475</v>
      </c>
      <c r="O5" s="394"/>
      <c r="P5" s="394"/>
      <c r="Q5" s="394"/>
      <c r="R5" s="384"/>
      <c r="S5" s="394"/>
      <c r="U5" s="381" t="s">
        <v>235</v>
      </c>
      <c r="V5" s="382">
        <f>B4</f>
        <v>7</v>
      </c>
      <c r="X5" s="461"/>
      <c r="Y5" s="461"/>
    </row>
    <row r="6" spans="1:26" ht="15" customHeight="1" x14ac:dyDescent="0.2">
      <c r="A6" s="434"/>
      <c r="B6" s="434"/>
      <c r="C6" s="434"/>
      <c r="D6" s="434"/>
      <c r="E6" s="435"/>
      <c r="F6" s="380"/>
      <c r="G6" s="394" t="s">
        <v>228</v>
      </c>
      <c r="H6" s="389" t="s">
        <v>357</v>
      </c>
      <c r="I6" s="390">
        <f>IFERROR(INDEX(UTDF_input!A29:AC29,1,MATCH("SBR",UTDF_input!A26:AC26,0)),0)+IFERROR(INDEX(UTDF_input!A29:AC29,1,MATCH("SWR",UTDF_input!A26:AC26,0)),0)</f>
        <v>0</v>
      </c>
      <c r="J6" s="390">
        <f>IFERROR(INDEX(UTDF_input!A29:AC29,1,MATCH("SBT",UTDF_input!A26:AC26,0)),0)+IFERROR(INDEX(UTDF_input!A29:AC29,1,MATCH("SWT",UTDF_input!A26:AC26,0)),0)</f>
        <v>0</v>
      </c>
      <c r="K6" s="390">
        <f>IFERROR(INDEX(UTDF_input!A29:AC29,1,MATCH("SBL",UTDF_input!A26:AC26,0)),0)+IFERROR(INDEX(UTDF_input!A29:AC29,1,MATCH("SWL",UTDF_input!A26:AC26,0)),0)</f>
        <v>0</v>
      </c>
      <c r="L6" s="394"/>
      <c r="M6" s="420">
        <f>IFERROR(INDEX(UTDF_input!A47:AC47,1,MATCH("SBT",UTDF_input!A26:AC26,0)),0)</f>
        <v>0</v>
      </c>
      <c r="N6" s="420">
        <f>IFERROR(INDEX(UTDF_input!A48:AC48,1,MATCH("SBT",UTDF_input!A26:AC26,0)),0)</f>
        <v>0</v>
      </c>
      <c r="O6" s="394"/>
      <c r="P6" s="394"/>
      <c r="Q6" s="394"/>
      <c r="R6" s="394"/>
      <c r="S6" s="394"/>
      <c r="U6" s="383" t="s">
        <v>404</v>
      </c>
      <c r="V6" s="387">
        <v>4</v>
      </c>
      <c r="W6" s="388"/>
    </row>
    <row r="7" spans="1:26" ht="13.5" customHeight="1" thickBot="1" x14ac:dyDescent="0.25">
      <c r="A7" s="434"/>
      <c r="B7" s="434"/>
      <c r="C7" s="434"/>
      <c r="D7" s="434"/>
      <c r="E7" s="435"/>
      <c r="F7" s="380"/>
      <c r="G7" s="394" t="s">
        <v>53</v>
      </c>
      <c r="H7" s="389">
        <f>IF(I6=0,10,50)</f>
        <v>10</v>
      </c>
      <c r="I7" s="393">
        <f>IFERROR(INDEX(UTDF_input!A46:AC46,1,MATCH("SBR",UTDF_input!A26:AC26,0)),0)+IFERROR(INDEX(UTDF_input!A46:AC46,1,MATCH("SWR",UTDF_input!A26:AC26,0)),0)</f>
        <v>0</v>
      </c>
      <c r="J7" s="393">
        <f>IFERROR(INDEX(UTDF_input!A46:AC46,1,MATCH("SBT",UTDF_input!A26:AC26,0)),0)+IFERROR(INDEX(UTDF_input!A46:AC46,1,MATCH("SWT",UTDF_input!A26:AC26,0)),0)</f>
        <v>0</v>
      </c>
      <c r="K7" s="393">
        <f>IFERROR(INDEX(UTDF_input!A46:AC46,1,MATCH("SBL",UTDF_input!A26:AC26,0)),0)+IFERROR(INDEX(UTDF_input!A46:AC46,1,MATCH("SWL",UTDF_input!A26:AC26,0)),0)</f>
        <v>0</v>
      </c>
      <c r="L7" s="527" t="str">
        <f>IF($B$21="Yes","SB LT Treatment","")</f>
        <v/>
      </c>
      <c r="M7" s="527"/>
      <c r="N7" s="394"/>
      <c r="O7" s="394"/>
      <c r="P7" s="394"/>
      <c r="Q7" s="394"/>
      <c r="R7" s="394"/>
      <c r="S7" s="394"/>
      <c r="U7" s="391" t="s">
        <v>468</v>
      </c>
      <c r="V7" s="392" t="str">
        <f>IF(UTDF_input!E82=1,"CBD","Other")</f>
        <v>Other</v>
      </c>
      <c r="W7" s="413">
        <f>IF(V7="CBD",0.9,1)</f>
        <v>1</v>
      </c>
      <c r="X7" s="462"/>
      <c r="Y7" s="462"/>
    </row>
    <row r="8" spans="1:26" ht="13.5" thickBot="1" x14ac:dyDescent="0.25">
      <c r="A8" s="434"/>
      <c r="B8" s="434"/>
      <c r="C8" s="434"/>
      <c r="D8" s="434"/>
      <c r="F8" s="527" t="str">
        <f>IF($B$21="Yes","EB LT Treatment","")</f>
        <v/>
      </c>
      <c r="G8" s="527"/>
      <c r="H8" s="394"/>
      <c r="I8" s="394"/>
      <c r="J8" s="394"/>
      <c r="K8" s="394"/>
      <c r="L8" s="528"/>
      <c r="M8" s="529"/>
      <c r="N8" s="394"/>
      <c r="O8" s="394"/>
      <c r="P8" s="394"/>
      <c r="Q8" s="394"/>
      <c r="R8" s="394"/>
      <c r="S8" s="394"/>
      <c r="U8" s="383" t="s">
        <v>407</v>
      </c>
      <c r="V8" s="395">
        <v>40</v>
      </c>
    </row>
    <row r="9" spans="1:26" ht="13.5" thickBot="1" x14ac:dyDescent="0.25">
      <c r="A9" s="434"/>
      <c r="B9" s="434"/>
      <c r="C9" s="434"/>
      <c r="D9" s="434"/>
      <c r="F9" s="528"/>
      <c r="G9" s="529"/>
      <c r="H9" s="394"/>
      <c r="I9" s="394"/>
      <c r="J9" s="394"/>
      <c r="K9" s="394"/>
      <c r="L9" s="412">
        <f>IF(L8="",0,VLOOKUP(L8,$Y$12:$Z$14,2,FALSE))</f>
        <v>0</v>
      </c>
      <c r="M9" s="398"/>
      <c r="N9" s="394"/>
      <c r="O9" s="399"/>
      <c r="P9" s="400"/>
      <c r="Q9" s="394"/>
      <c r="R9" s="394"/>
      <c r="S9" s="394"/>
      <c r="U9" s="396" t="s">
        <v>408</v>
      </c>
      <c r="V9" s="397">
        <v>150</v>
      </c>
    </row>
    <row r="10" spans="1:26" x14ac:dyDescent="0.2">
      <c r="A10" s="394"/>
      <c r="B10" s="394"/>
      <c r="C10" s="394"/>
      <c r="D10" s="394"/>
      <c r="F10" s="412">
        <f>IF(F9="",0,VLOOKUP(F9,$Y$12:$Z$14,2,FALSE))</f>
        <v>0</v>
      </c>
      <c r="G10" s="394"/>
      <c r="H10" s="394"/>
      <c r="I10" s="394"/>
      <c r="J10" s="394"/>
      <c r="K10" s="394"/>
      <c r="L10" s="394"/>
      <c r="M10" s="394" t="s">
        <v>53</v>
      </c>
      <c r="N10" s="394" t="s">
        <v>228</v>
      </c>
      <c r="O10" s="394"/>
      <c r="P10" s="394"/>
      <c r="Q10" s="394"/>
      <c r="R10" s="394"/>
      <c r="S10" s="394"/>
      <c r="U10" s="459" t="s">
        <v>525</v>
      </c>
      <c r="V10" s="379">
        <v>3.5</v>
      </c>
      <c r="X10" s="460" t="s">
        <v>473</v>
      </c>
      <c r="Y10" s="460" t="s">
        <v>295</v>
      </c>
    </row>
    <row r="11" spans="1:26" x14ac:dyDescent="0.2">
      <c r="A11" s="394"/>
      <c r="B11" s="394"/>
      <c r="C11" s="394"/>
      <c r="D11" s="394"/>
      <c r="F11" s="394" t="s">
        <v>228</v>
      </c>
      <c r="G11" s="394" t="s">
        <v>53</v>
      </c>
      <c r="H11" s="394"/>
      <c r="I11" s="394"/>
      <c r="J11" s="394"/>
      <c r="K11" s="394"/>
      <c r="L11" s="394"/>
      <c r="M11" s="389" t="s">
        <v>357</v>
      </c>
      <c r="N11" s="389">
        <f>IF(N12=0,10,50)</f>
        <v>10</v>
      </c>
      <c r="O11" s="394"/>
      <c r="P11" s="394"/>
      <c r="Q11" s="394"/>
      <c r="R11" s="394"/>
      <c r="S11" s="394"/>
    </row>
    <row r="12" spans="1:26" ht="13.5" thickBot="1" x14ac:dyDescent="0.25">
      <c r="A12" s="409" t="s">
        <v>245</v>
      </c>
      <c r="B12" s="409"/>
      <c r="C12" s="394"/>
      <c r="D12" s="394" t="s">
        <v>229</v>
      </c>
      <c r="F12" s="390">
        <f>IFERROR(INDEX(UTDF_input!A29:AC29,1,MATCH("EBL",UTDF_input!A26:AC26,0)),0)+IFERROR(INDEX(UTDF_input!A29:AC29,1,MATCH("SEL",UTDF_input!A26:AC26,0)),0)</f>
        <v>0</v>
      </c>
      <c r="G12" s="393">
        <f>IFERROR(INDEX(UTDF_input!A46:AC46,1,MATCH("EBL",UTDF_input!A26:AC26,0)),0)+IFERROR(INDEX(UTDF_input!A46:AC46,1,MATCH("SEL",UTDF_input!A26:AC26,0)),0)</f>
        <v>0</v>
      </c>
      <c r="H12" s="394"/>
      <c r="I12" s="394"/>
      <c r="J12" s="394"/>
      <c r="K12" s="394"/>
      <c r="L12" s="394"/>
      <c r="M12" s="393">
        <f>IFERROR(INDEX(UTDF_input!A46:AC46,1,MATCH("WBR",UTDF_input!A26:AC26,0)),0)+IFERROR(INDEX(UTDF_input!A46:AC46,1,MATCH("NWR",UTDF_input!A26:AC26,0)),0)</f>
        <v>0</v>
      </c>
      <c r="N12" s="390">
        <f>IFERROR(INDEX(UTDF_input!A29:AC29,1,MATCH("WBR",UTDF_input!A26:AC26,0)),0)+IFERROR(INDEX(UTDF_input!A29:AC29,1,MATCH("NWR",UTDF_input!A26:AC26,0)),0)</f>
        <v>0</v>
      </c>
      <c r="O12" s="394"/>
      <c r="P12" s="394" t="s">
        <v>230</v>
      </c>
      <c r="Q12" s="394"/>
      <c r="R12" s="409" t="s">
        <v>245</v>
      </c>
      <c r="S12" s="409"/>
      <c r="U12" s="513" t="s">
        <v>737</v>
      </c>
      <c r="V12" s="316"/>
      <c r="Y12" s="463" t="s">
        <v>82</v>
      </c>
      <c r="Z12" s="460">
        <v>1</v>
      </c>
    </row>
    <row r="13" spans="1:26" ht="13.5" thickBot="1" x14ac:dyDescent="0.25">
      <c r="A13" s="406">
        <f>IF(UTDF_input!E6="",UTDF_input!I6,UTDF_input!E6)</f>
        <v>0</v>
      </c>
      <c r="B13" s="408"/>
      <c r="C13" s="394"/>
      <c r="D13" s="385">
        <f>IFERROR(INDEX(UTDF_input!A36:AC36,1,MATCH("EBT",UTDF_input!A26:AC26,0)),20)+IFERROR(INDEX(UTDF_input!A36:AC36,1,MATCH("SET",UTDF_input!A26:AC26,0)),20)</f>
        <v>40</v>
      </c>
      <c r="F13" s="398"/>
      <c r="G13" s="398"/>
      <c r="H13" s="394"/>
      <c r="I13" s="394"/>
      <c r="J13" s="412">
        <f>IF(I2=0,I26,I2)</f>
        <v>0</v>
      </c>
      <c r="K13" s="394"/>
      <c r="L13" s="394"/>
      <c r="M13" s="398"/>
      <c r="N13" s="398"/>
      <c r="O13" s="394"/>
      <c r="P13" s="385">
        <f>IFERROR(INDEX(UTDF_input!A36:AC36,1,MATCH("WBT",UTDF_input!A26:AC26,0)),20)+IFERROR(INDEX(UTDF_input!A36:AC36,1,MATCH("NWT",UTDF_input!A26:AC26,0)),20)</f>
        <v>40</v>
      </c>
      <c r="Q13" s="394"/>
      <c r="R13" s="406">
        <f>IF(UTDF_input!F6="",UTDF_input!H6,UTDF_input!F6)</f>
        <v>0</v>
      </c>
      <c r="S13" s="408"/>
      <c r="U13" s="513" t="s">
        <v>733</v>
      </c>
      <c r="Y13" s="316" t="s">
        <v>83</v>
      </c>
      <c r="Z13" s="460">
        <v>2</v>
      </c>
    </row>
    <row r="14" spans="1:26" x14ac:dyDescent="0.2">
      <c r="A14" s="394" t="s">
        <v>518</v>
      </c>
      <c r="B14" s="394"/>
      <c r="C14" s="394"/>
      <c r="D14" s="394"/>
      <c r="F14" s="390">
        <f>IFERROR(INDEX(UTDF_input!A29:AC29,1,MATCH("EBT",UTDF_input!A26:AC26,0)),0)+IFERROR(INDEX(UTDF_input!A29:AC29,1,MATCH("SET",UTDF_input!A26:AC26,0)),0)</f>
        <v>0</v>
      </c>
      <c r="G14" s="393">
        <f>IFERROR(INDEX(UTDF_input!A46:AC46,1,MATCH("EBT",UTDF_input!A26:AC26,0)),0)+IFERROR(INDEX(UTDF_input!A46:AC46,1,MATCH("SET",UTDF_input!A26:AC26,0)),0)</f>
        <v>0</v>
      </c>
      <c r="H14" s="394"/>
      <c r="I14" s="394"/>
      <c r="J14" s="394" t="str">
        <f>J13&amp;"_"&amp;K14</f>
        <v>0_0</v>
      </c>
      <c r="K14" s="412">
        <f>IF(A13=0,R13,A13)</f>
        <v>0</v>
      </c>
      <c r="L14" s="394"/>
      <c r="M14" s="393">
        <f>IFERROR(INDEX(UTDF_input!A46:AC46,1,MATCH("WBT",UTDF_input!A26:AC26,0)),0)+IFERROR(INDEX(UTDF_input!A46:AC46,1,MATCH("NWT",UTDF_input!A26:AC26,0)),0)</f>
        <v>0</v>
      </c>
      <c r="N14" s="390">
        <f>IFERROR(INDEX(UTDF_input!A29:AC29,1,MATCH("WBT",UTDF_input!A26:AC26,0)),0)+IFERROR(INDEX(UTDF_input!A29:AC29,1,MATCH("NWT",UTDF_input!A26:AC26,0)),0)</f>
        <v>0</v>
      </c>
      <c r="O14" s="394"/>
      <c r="P14" s="394"/>
      <c r="Q14" s="394"/>
      <c r="R14" s="394" t="s">
        <v>518</v>
      </c>
      <c r="S14" s="394"/>
      <c r="U14" s="513" t="s">
        <v>734</v>
      </c>
      <c r="V14" s="316"/>
      <c r="Y14" s="316" t="s">
        <v>526</v>
      </c>
      <c r="Z14" s="460">
        <v>3</v>
      </c>
    </row>
    <row r="15" spans="1:26" ht="13.5" thickBot="1" x14ac:dyDescent="0.25">
      <c r="A15" s="420">
        <v>0</v>
      </c>
      <c r="B15" s="394" t="s">
        <v>519</v>
      </c>
      <c r="C15" s="394"/>
      <c r="D15" s="394" t="s">
        <v>514</v>
      </c>
      <c r="F15" s="398"/>
      <c r="G15" s="398"/>
      <c r="H15" s="394"/>
      <c r="I15" s="394"/>
      <c r="J15" s="394"/>
      <c r="K15" s="394"/>
      <c r="L15" s="394"/>
      <c r="M15" s="398"/>
      <c r="N15" s="398"/>
      <c r="O15" s="394"/>
      <c r="P15" s="394" t="s">
        <v>515</v>
      </c>
      <c r="Q15" s="394"/>
      <c r="R15" s="420">
        <v>0</v>
      </c>
      <c r="S15" s="394"/>
      <c r="U15" s="513" t="s">
        <v>735</v>
      </c>
    </row>
    <row r="16" spans="1:26" ht="13.5" thickBot="1" x14ac:dyDescent="0.25">
      <c r="A16" s="394"/>
      <c r="B16" s="394"/>
      <c r="C16" s="394"/>
      <c r="D16" s="386" t="s">
        <v>473</v>
      </c>
      <c r="F16" s="390">
        <f>IFERROR(INDEX(UTDF_input!A29:AC29,1,MATCH("EBR",UTDF_input!A26:AC26,0)),0)+IFERROR(INDEX(UTDF_input!A29:AC29,1,MATCH("SER",UTDF_input!A26:AC26,0)),0)</f>
        <v>0</v>
      </c>
      <c r="G16" s="393">
        <f>IFERROR(INDEX(UTDF_input!A46:AC46,1,MATCH("EBR",UTDF_input!A26:AC26,0)),0)+IFERROR(INDEX(UTDF_input!A46:AC46,1,MATCH("SER",UTDF_input!A26:AC26,0)),0)</f>
        <v>0</v>
      </c>
      <c r="H16" s="394"/>
      <c r="I16" s="394"/>
      <c r="J16" s="394"/>
      <c r="K16" s="394"/>
      <c r="L16" s="394"/>
      <c r="M16" s="393">
        <f>IFERROR(INDEX(UTDF_input!A46:AC46,1,MATCH("WBL",UTDF_input!A26:AC26,0)),0)+IFERROR(INDEX(UTDF_input!A46:AC46,1,MATCH("NWL",UTDF_input!A26:AC26,0)),0)</f>
        <v>0</v>
      </c>
      <c r="N16" s="390">
        <f>IFERROR(INDEX(UTDF_input!A29:AC29,1,MATCH("WBL",UTDF_input!A26:AC26,0)),0)+IFERROR(INDEX(UTDF_input!A29:AC29,1,MATCH("NWL",UTDF_input!A26:AC26,0)),0)</f>
        <v>0</v>
      </c>
      <c r="O16" s="394"/>
      <c r="P16" s="386" t="s">
        <v>473</v>
      </c>
      <c r="Q16" s="394"/>
      <c r="R16" s="394" t="s">
        <v>519</v>
      </c>
      <c r="S16" s="394"/>
      <c r="U16" s="513" t="s">
        <v>736</v>
      </c>
    </row>
    <row r="17" spans="1:24" x14ac:dyDescent="0.2">
      <c r="A17" s="394"/>
      <c r="B17" s="394"/>
      <c r="C17" s="394"/>
      <c r="D17" s="419" t="s">
        <v>474</v>
      </c>
      <c r="E17" s="420">
        <f>IFERROR(INDEX(UTDF_input!A47:AC47,1,MATCH("EBT",UTDF_input!A26:AC26,0)),0)</f>
        <v>0</v>
      </c>
      <c r="F17" s="389" t="s">
        <v>357</v>
      </c>
      <c r="G17" s="389">
        <f>IF(F16=0,10,50)</f>
        <v>10</v>
      </c>
      <c r="H17" s="394"/>
      <c r="I17" s="394"/>
      <c r="J17" s="394"/>
      <c r="K17" s="394"/>
      <c r="L17" s="394"/>
      <c r="M17" s="394"/>
      <c r="N17" s="394"/>
      <c r="O17" s="394"/>
      <c r="P17" s="419" t="s">
        <v>474</v>
      </c>
      <c r="Q17" s="420">
        <f>IFERROR(INDEX(UTDF_input!A47:AC47,1,MATCH("WBT",UTDF_input!A26:AC26,0)),0)</f>
        <v>0</v>
      </c>
      <c r="R17" s="394"/>
      <c r="S17" s="394"/>
      <c r="U17" s="412" t="s">
        <v>405</v>
      </c>
      <c r="X17" s="460" t="s">
        <v>405</v>
      </c>
    </row>
    <row r="18" spans="1:24" ht="13.5" thickBot="1" x14ac:dyDescent="0.25">
      <c r="A18" s="394"/>
      <c r="B18" s="394"/>
      <c r="C18" s="394"/>
      <c r="D18" s="419" t="s">
        <v>475</v>
      </c>
      <c r="E18" s="420">
        <f>IFERROR(INDEX(UTDF_input!A48:AC48,1,MATCH("EBT",UTDF_input!A26:AC26,0)),0)</f>
        <v>0</v>
      </c>
      <c r="F18" s="394"/>
      <c r="G18" s="394"/>
      <c r="H18" s="394"/>
      <c r="I18" s="394"/>
      <c r="J18" s="394"/>
      <c r="K18" s="394"/>
      <c r="L18" s="394"/>
      <c r="M18" s="527" t="str">
        <f>IF($B$21="Yes","WB LT Treatment","")</f>
        <v/>
      </c>
      <c r="N18" s="527"/>
      <c r="O18" s="394"/>
      <c r="P18" s="419" t="s">
        <v>475</v>
      </c>
      <c r="Q18" s="420">
        <f>IFERROR(INDEX(UTDF_input!A48:AC48,1,MATCH("WBT",UTDF_input!A26:AC26,0)),0)</f>
        <v>0</v>
      </c>
      <c r="R18" s="394"/>
      <c r="S18" s="394"/>
      <c r="U18" s="412" t="s">
        <v>406</v>
      </c>
      <c r="X18" s="460" t="s">
        <v>406</v>
      </c>
    </row>
    <row r="19" spans="1:24" ht="13.5" thickBot="1" x14ac:dyDescent="0.25">
      <c r="A19" s="394"/>
      <c r="B19" s="394"/>
      <c r="C19" s="394"/>
      <c r="D19" s="394"/>
      <c r="F19" s="394"/>
      <c r="G19" s="394"/>
      <c r="H19" s="394"/>
      <c r="I19" s="394"/>
      <c r="J19" s="394"/>
      <c r="K19" s="394"/>
      <c r="L19" s="394"/>
      <c r="M19" s="528"/>
      <c r="N19" s="529"/>
      <c r="O19" s="394"/>
      <c r="P19" s="394"/>
      <c r="Q19" s="394"/>
      <c r="R19" s="394"/>
      <c r="S19" s="394"/>
    </row>
    <row r="20" spans="1:24" ht="13.5" thickBot="1" x14ac:dyDescent="0.25">
      <c r="A20" s="394"/>
      <c r="B20" s="410" t="s">
        <v>516</v>
      </c>
      <c r="C20" s="411"/>
      <c r="D20" s="411"/>
      <c r="E20" s="436"/>
      <c r="F20" s="394"/>
      <c r="G20" s="394"/>
      <c r="H20" s="394"/>
      <c r="I20" s="394"/>
      <c r="J20" s="394"/>
      <c r="K20" s="394"/>
      <c r="L20" s="394"/>
      <c r="M20" s="412">
        <f>IF(M19="",0,VLOOKUP(M19,$Y$12:$Z$14,2,FALSE))</f>
        <v>0</v>
      </c>
      <c r="N20" s="394"/>
      <c r="O20" s="401"/>
      <c r="P20" s="401"/>
      <c r="Q20" s="394"/>
      <c r="R20" s="394"/>
      <c r="S20" s="394"/>
    </row>
    <row r="21" spans="1:24" ht="13.5" thickBot="1" x14ac:dyDescent="0.25">
      <c r="A21" s="394"/>
      <c r="B21" s="466" t="s">
        <v>295</v>
      </c>
      <c r="C21" s="464"/>
      <c r="D21" s="464"/>
      <c r="E21" s="465"/>
      <c r="F21" s="394"/>
      <c r="G21" s="394"/>
      <c r="H21" s="394" t="s">
        <v>53</v>
      </c>
      <c r="I21" s="393">
        <f>IFERROR(INDEX(UTDF_input!A46:AC46,1,MATCH("NBL",UTDF_input!A26:AC26,0)),0)+IFERROR(INDEX(UTDF_input!A46:AC46,1,MATCH("NEL",UTDF_input!A26:AC26,0)),0)</f>
        <v>0</v>
      </c>
      <c r="J21" s="393">
        <f>IFERROR(INDEX(UTDF_input!A46:AC46,1,MATCH("NBT",UTDF_input!A26:AC26,0)),0)+IFERROR(INDEX(UTDF_input!A46:AC46,1,MATCH("NET",UTDF_input!A26:AC26,0)),0)</f>
        <v>0</v>
      </c>
      <c r="K21" s="393">
        <f>IFERROR(INDEX(UTDF_input!A46:AC46,1,MATCH("NBR",UTDF_input!A26:AC26,0)),0)+IFERROR(INDEX(UTDF_input!A46:AC46,1,MATCH("NER",UTDF_input!A26:AC26,0)),0)</f>
        <v>0</v>
      </c>
      <c r="L21" s="389" t="s">
        <v>357</v>
      </c>
      <c r="M21" s="394" t="s">
        <v>517</v>
      </c>
      <c r="O21" s="420">
        <f>IFERROR(INDEX(UTDF_input!A47:AC47,1,MATCH("NBT",UTDF_input!A26:AC26,0)),0)</f>
        <v>0</v>
      </c>
      <c r="P21" s="421">
        <f>IFERROR(INDEX(UTDF_input!A48:AC48,1,MATCH("NBT",UTDF_input!A26:AC26,0)),0)</f>
        <v>0</v>
      </c>
      <c r="Q21" s="394"/>
      <c r="R21" s="394"/>
      <c r="S21" s="394"/>
    </row>
    <row r="22" spans="1:24" ht="13.5" thickBot="1" x14ac:dyDescent="0.25">
      <c r="A22" s="394"/>
      <c r="B22" s="394"/>
      <c r="C22" s="394"/>
      <c r="D22" s="394"/>
      <c r="F22" s="394"/>
      <c r="G22" s="394"/>
      <c r="H22" s="394" t="s">
        <v>228</v>
      </c>
      <c r="I22" s="390">
        <f>IFERROR(INDEX(UTDF_input!A29:AC29,1,MATCH("NBL",UTDF_input!A26:AC26,0)),0)+IFERROR(INDEX(UTDF_input!A29:AC29,1,MATCH("NEL",UTDF_input!A26:AC26,0)),0)</f>
        <v>0</v>
      </c>
      <c r="J22" s="390">
        <f>IFERROR(INDEX(UTDF_input!A29:AC29,1,MATCH("NBT",UTDF_input!A26:AC26,0)),0)+IFERROR(INDEX(UTDF_input!A29:AC29,1,MATCH("NET",UTDF_input!A26:AC26,0)),0)</f>
        <v>0</v>
      </c>
      <c r="K22" s="390">
        <f>IFERROR(INDEX(UTDF_input!A29:AC29,1,MATCH("NBR",UTDF_input!A26:AC26,0)),0)+IFERROR(INDEX(UTDF_input!A29:AC29,1,MATCH("NER",UTDF_input!A26:AC26,0)),0)</f>
        <v>0</v>
      </c>
      <c r="L22" s="389">
        <f>IF(K22=0,10,50)</f>
        <v>10</v>
      </c>
      <c r="M22" s="386" t="s">
        <v>473</v>
      </c>
      <c r="O22" s="419" t="s">
        <v>474</v>
      </c>
      <c r="P22" s="419" t="s">
        <v>475</v>
      </c>
      <c r="Q22" s="394"/>
      <c r="R22" s="394"/>
      <c r="S22" s="394"/>
    </row>
    <row r="23" spans="1:24" ht="13.5" thickBot="1" x14ac:dyDescent="0.25">
      <c r="A23" s="394"/>
      <c r="B23" s="410" t="s">
        <v>554</v>
      </c>
      <c r="C23" s="472"/>
      <c r="D23" s="473"/>
      <c r="F23" s="527" t="str">
        <f>IF($B$21="Yes","NB LT Treatment","")</f>
        <v/>
      </c>
      <c r="G23" s="527"/>
      <c r="H23" s="394"/>
      <c r="I23" s="394"/>
      <c r="J23" s="394"/>
      <c r="K23" s="394"/>
      <c r="L23" s="394"/>
      <c r="M23" s="394"/>
      <c r="N23" s="394"/>
      <c r="O23" s="402"/>
      <c r="P23" s="402"/>
      <c r="Q23" s="394"/>
      <c r="R23" s="394"/>
      <c r="S23" s="394"/>
    </row>
    <row r="24" spans="1:24" ht="13.5" thickBot="1" x14ac:dyDescent="0.25">
      <c r="A24" s="394"/>
      <c r="B24" s="466" t="s">
        <v>295</v>
      </c>
      <c r="C24" s="394"/>
      <c r="D24" s="394"/>
      <c r="F24" s="528"/>
      <c r="G24" s="529"/>
      <c r="H24" s="394"/>
      <c r="I24" s="394" t="s">
        <v>232</v>
      </c>
      <c r="J24" s="385">
        <f>IFERROR(INDEX(UTDF_input!A36:AC36,1,MATCH("NBT",UTDF_input!A26:AC26,0)),20)+IFERROR(INDEX(UTDF_input!A36:AC36,1,MATCH("NET",UTDF_input!A26:AC26,0)),20)</f>
        <v>40</v>
      </c>
      <c r="K24" s="394"/>
      <c r="L24" s="394"/>
      <c r="M24" s="394"/>
      <c r="N24" s="394"/>
      <c r="O24" s="402"/>
      <c r="P24" s="402"/>
      <c r="Q24" s="394"/>
      <c r="R24" s="394"/>
      <c r="S24" s="394"/>
    </row>
    <row r="25" spans="1:24" ht="13.5" thickBot="1" x14ac:dyDescent="0.25">
      <c r="A25" s="394"/>
      <c r="B25" s="394"/>
      <c r="C25" s="394"/>
      <c r="D25" s="394"/>
      <c r="F25" s="412">
        <f>IF(F24="",0,VLOOKUP(F24,$Y$12:$Z$14,2,FALSE))</f>
        <v>0</v>
      </c>
      <c r="G25" s="394"/>
      <c r="H25" s="394"/>
      <c r="I25" s="394"/>
      <c r="J25" s="394"/>
      <c r="K25" s="394"/>
      <c r="L25" s="394"/>
      <c r="M25" s="394"/>
      <c r="N25" s="394"/>
      <c r="O25" s="402"/>
      <c r="P25" s="402"/>
      <c r="Q25" s="394"/>
      <c r="R25" s="394"/>
      <c r="S25" s="394"/>
    </row>
    <row r="26" spans="1:24" ht="13.5" thickBot="1" x14ac:dyDescent="0.25">
      <c r="A26" s="394"/>
      <c r="B26" s="530" t="str">
        <f>IF($B$24="Yes","Cycle (s) =","")</f>
        <v/>
      </c>
      <c r="C26" s="530"/>
      <c r="D26" s="474">
        <v>0</v>
      </c>
      <c r="F26" s="394"/>
      <c r="G26" s="394"/>
      <c r="H26" s="394" t="s">
        <v>245</v>
      </c>
      <c r="I26" s="406">
        <f>IF(UTDF_input!C6="",UTDF_input!G6,UTDF_input!C6)</f>
        <v>0</v>
      </c>
      <c r="J26" s="407"/>
      <c r="K26" s="408"/>
      <c r="L26" s="394" t="s">
        <v>518</v>
      </c>
      <c r="M26" s="420">
        <v>0</v>
      </c>
      <c r="N26" s="394" t="s">
        <v>519</v>
      </c>
      <c r="O26" s="402"/>
      <c r="P26" s="402"/>
      <c r="Q26" s="394"/>
      <c r="R26" s="394"/>
      <c r="S26" s="394"/>
    </row>
    <row r="27" spans="1:24" x14ac:dyDescent="0.2">
      <c r="O27" s="401"/>
      <c r="P27" s="401"/>
    </row>
    <row r="28" spans="1:24" x14ac:dyDescent="0.2">
      <c r="J28" s="379" t="str">
        <f>IF(AND(I2="",A13=""),"",I2&amp;" &amp; "&amp;A13)</f>
        <v>0 &amp; 0</v>
      </c>
    </row>
    <row r="30" spans="1:24" ht="15" x14ac:dyDescent="0.25">
      <c r="A30" s="525" t="s">
        <v>203</v>
      </c>
      <c r="B30" s="525"/>
      <c r="C30" s="525"/>
      <c r="D30" s="525"/>
      <c r="E30" s="525"/>
      <c r="F30" s="525"/>
      <c r="G30" s="525"/>
      <c r="H30" s="525"/>
    </row>
    <row r="31" spans="1:24" ht="15" x14ac:dyDescent="0.25">
      <c r="A31" s="526" t="s">
        <v>527</v>
      </c>
      <c r="B31" s="526"/>
      <c r="C31" s="526"/>
      <c r="D31" s="526"/>
      <c r="E31" s="526"/>
      <c r="F31" s="526"/>
      <c r="G31" s="526"/>
      <c r="H31" s="526"/>
    </row>
    <row r="32" spans="1:24" ht="15" x14ac:dyDescent="0.25">
      <c r="A32" s="403" t="s">
        <v>738</v>
      </c>
      <c r="B32" s="403"/>
      <c r="C32" s="403"/>
      <c r="D32" s="403"/>
      <c r="E32" s="437"/>
      <c r="F32" s="403"/>
      <c r="G32" s="403"/>
      <c r="H32" s="404"/>
    </row>
    <row r="33" spans="1:8" ht="15" x14ac:dyDescent="0.25">
      <c r="A33" s="11"/>
      <c r="B33" s="405"/>
      <c r="C33" s="405"/>
      <c r="D33" s="405"/>
      <c r="E33" s="405"/>
      <c r="F33" s="405"/>
      <c r="G33" s="405"/>
      <c r="H33" s="11"/>
    </row>
    <row r="34" spans="1:8" ht="12.75" customHeight="1" x14ac:dyDescent="0.2">
      <c r="A34" s="524" t="s">
        <v>553</v>
      </c>
      <c r="B34" s="524"/>
      <c r="C34" s="524"/>
      <c r="D34" s="524"/>
      <c r="E34" s="524"/>
      <c r="F34" s="524"/>
      <c r="G34" s="524"/>
      <c r="H34" s="524"/>
    </row>
    <row r="35" spans="1:8" ht="12.75" customHeight="1" x14ac:dyDescent="0.2">
      <c r="A35" s="524"/>
      <c r="B35" s="524"/>
      <c r="C35" s="524"/>
      <c r="D35" s="524"/>
      <c r="E35" s="524"/>
      <c r="F35" s="524"/>
      <c r="G35" s="524"/>
      <c r="H35" s="524"/>
    </row>
    <row r="36" spans="1:8" ht="12.75" customHeight="1" x14ac:dyDescent="0.2">
      <c r="A36" s="524"/>
      <c r="B36" s="524"/>
      <c r="C36" s="524"/>
      <c r="D36" s="524"/>
      <c r="E36" s="524"/>
      <c r="F36" s="524"/>
      <c r="G36" s="524"/>
      <c r="H36" s="524"/>
    </row>
    <row r="37" spans="1:8" ht="12.75" customHeight="1" x14ac:dyDescent="0.2">
      <c r="A37" s="524"/>
      <c r="B37" s="524"/>
      <c r="C37" s="524"/>
      <c r="D37" s="524"/>
      <c r="E37" s="524"/>
      <c r="F37" s="524"/>
      <c r="G37" s="524"/>
      <c r="H37" s="524"/>
    </row>
    <row r="38" spans="1:8" ht="12.75" customHeight="1" x14ac:dyDescent="0.2">
      <c r="A38" s="524"/>
      <c r="B38" s="524"/>
      <c r="C38" s="524"/>
      <c r="D38" s="524"/>
      <c r="E38" s="524"/>
      <c r="F38" s="524"/>
      <c r="G38" s="524"/>
      <c r="H38" s="524"/>
    </row>
    <row r="39" spans="1:8" ht="12.75" customHeight="1" x14ac:dyDescent="0.2">
      <c r="A39" s="524"/>
      <c r="B39" s="524"/>
      <c r="C39" s="524"/>
      <c r="D39" s="524"/>
      <c r="E39" s="524"/>
      <c r="F39" s="524"/>
      <c r="G39" s="524"/>
      <c r="H39" s="524"/>
    </row>
    <row r="40" spans="1:8" ht="12.75" customHeight="1" x14ac:dyDescent="0.2">
      <c r="A40" s="524"/>
      <c r="B40" s="524"/>
      <c r="C40" s="524"/>
      <c r="D40" s="524"/>
      <c r="E40" s="524"/>
      <c r="F40" s="524"/>
      <c r="G40" s="524"/>
      <c r="H40" s="524"/>
    </row>
    <row r="41" spans="1:8" ht="12.75" customHeight="1" x14ac:dyDescent="0.2">
      <c r="A41" s="524"/>
      <c r="B41" s="524"/>
      <c r="C41" s="524"/>
      <c r="D41" s="524"/>
      <c r="E41" s="524"/>
      <c r="F41" s="524"/>
      <c r="G41" s="524"/>
      <c r="H41" s="524"/>
    </row>
    <row r="42" spans="1:8" ht="12.75" customHeight="1" x14ac:dyDescent="0.2">
      <c r="A42" s="524"/>
      <c r="B42" s="524"/>
      <c r="C42" s="524"/>
      <c r="D42" s="524"/>
      <c r="E42" s="524"/>
      <c r="F42" s="524"/>
      <c r="G42" s="524"/>
      <c r="H42" s="524"/>
    </row>
    <row r="43" spans="1:8" x14ac:dyDescent="0.2">
      <c r="A43" s="524"/>
      <c r="B43" s="524"/>
      <c r="C43" s="524"/>
      <c r="D43" s="524"/>
      <c r="E43" s="524"/>
      <c r="F43" s="524"/>
      <c r="G43" s="524"/>
      <c r="H43" s="524"/>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37" t="s">
        <v>204</v>
      </c>
      <c r="B1" s="537"/>
      <c r="C1" s="537"/>
      <c r="L1" s="540" t="s">
        <v>75</v>
      </c>
      <c r="M1" s="540"/>
      <c r="N1" s="516" t="s">
        <v>115</v>
      </c>
      <c r="O1" s="540"/>
      <c r="Q1" t="s">
        <v>91</v>
      </c>
      <c r="R1" t="s">
        <v>92</v>
      </c>
      <c r="W1" t="s">
        <v>91</v>
      </c>
      <c r="X1" t="s">
        <v>92</v>
      </c>
    </row>
    <row r="2" spans="1:27" x14ac:dyDescent="0.25">
      <c r="A2" s="268" t="s">
        <v>73</v>
      </c>
      <c r="B2" s="243" t="s">
        <v>13</v>
      </c>
      <c r="C2" s="243" t="s">
        <v>14</v>
      </c>
      <c r="D2" s="243" t="s">
        <v>18</v>
      </c>
      <c r="E2" s="243" t="s">
        <v>19</v>
      </c>
      <c r="F2" s="243" t="s">
        <v>3</v>
      </c>
      <c r="G2" s="243" t="s">
        <v>4</v>
      </c>
      <c r="H2" s="243" t="s">
        <v>8</v>
      </c>
      <c r="I2" s="243" t="s">
        <v>9</v>
      </c>
      <c r="J2" s="7" t="str">
        <f>IF(M17+M18&gt;=M15+M16,L1,N1)</f>
        <v>N-S Major</v>
      </c>
      <c r="K2" s="7"/>
      <c r="L2" s="5" t="s">
        <v>13</v>
      </c>
      <c r="M2" s="5">
        <v>7</v>
      </c>
      <c r="N2" s="5" t="s">
        <v>13</v>
      </c>
      <c r="O2" s="5">
        <v>5</v>
      </c>
      <c r="Q2" s="5">
        <v>1</v>
      </c>
      <c r="R2" s="5">
        <v>50000</v>
      </c>
      <c r="W2" s="5">
        <v>1</v>
      </c>
      <c r="X2" s="5">
        <v>150000</v>
      </c>
    </row>
    <row r="3" spans="1:27" x14ac:dyDescent="0.25">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25">
      <c r="A4" s="268" t="s">
        <v>80</v>
      </c>
      <c r="B4" s="243">
        <f>IF($J$2="N-S Major",M2,O2)</f>
        <v>7</v>
      </c>
      <c r="C4" s="243">
        <f>IF($J$2="N-S Major",M3,O3)</f>
        <v>4</v>
      </c>
      <c r="D4" s="243">
        <f>IF($J$2="N-S Major",M4,O4)</f>
        <v>3</v>
      </c>
      <c r="E4" s="243">
        <f>IF($J$2="N-S Major",M5,O5)</f>
        <v>8</v>
      </c>
      <c r="F4" s="243">
        <f>IF($J$2="N-S Major",M6,O6)</f>
        <v>5</v>
      </c>
      <c r="G4" s="243">
        <f>IF($J$2="N-S Major",M7,O7)</f>
        <v>2</v>
      </c>
      <c r="H4" s="243">
        <f>IF($J$2="N-S Major",M8,O8)</f>
        <v>1</v>
      </c>
      <c r="I4" s="243">
        <f>IF($J$2="N-S Major",M9,O9)</f>
        <v>6</v>
      </c>
      <c r="L4" s="5" t="s">
        <v>18</v>
      </c>
      <c r="M4" s="5">
        <v>3</v>
      </c>
      <c r="N4" s="5" t="s">
        <v>18</v>
      </c>
      <c r="O4" s="5">
        <v>1</v>
      </c>
      <c r="Q4" s="5">
        <v>3</v>
      </c>
      <c r="R4" s="5">
        <v>110000</v>
      </c>
      <c r="W4" s="5">
        <v>3</v>
      </c>
      <c r="X4" s="5">
        <v>300000</v>
      </c>
    </row>
    <row r="5" spans="1:27" x14ac:dyDescent="0.25">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25">
      <c r="A6" s="268" t="s">
        <v>79</v>
      </c>
      <c r="B6" s="243">
        <f>Sheet1!N5</f>
        <v>0</v>
      </c>
      <c r="C6" s="243">
        <f>Sheet1!O5</f>
        <v>0</v>
      </c>
      <c r="D6" s="243">
        <f>Sheet1!S5</f>
        <v>0</v>
      </c>
      <c r="E6" s="243">
        <f>Sheet1!T5</f>
        <v>0</v>
      </c>
      <c r="F6" s="243">
        <f>Sheet1!D5+Sheet1!W5+Sheet1!Z5</f>
        <v>0</v>
      </c>
      <c r="G6" s="243">
        <f>Sheet1!E5+Sheet1!X5+Sheet1!AA5</f>
        <v>0</v>
      </c>
      <c r="H6" s="243">
        <f>Sheet1!I5+Sheet1!AC5+Sheet1!AF5</f>
        <v>0</v>
      </c>
      <c r="I6" s="243">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25">
      <c r="A8" s="269" t="s">
        <v>291</v>
      </c>
      <c r="B8" s="268"/>
      <c r="C8" s="243">
        <f>Phasing!P6</f>
        <v>40</v>
      </c>
      <c r="D8" s="243"/>
      <c r="E8" s="243">
        <f>Phasing!R6</f>
        <v>40</v>
      </c>
      <c r="F8" s="243"/>
      <c r="G8" s="243">
        <f>Phasing!T6</f>
        <v>40</v>
      </c>
      <c r="H8" s="243"/>
      <c r="I8" s="243">
        <f>Phasing!V6</f>
        <v>40</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25">
      <c r="B9" s="81"/>
      <c r="C9" s="81"/>
      <c r="D9" s="81"/>
      <c r="E9" s="81"/>
      <c r="G9" s="536" t="s">
        <v>435</v>
      </c>
      <c r="H9" s="536"/>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25">
      <c r="A10" s="268" t="s">
        <v>86</v>
      </c>
      <c r="B10" s="243" t="s">
        <v>13</v>
      </c>
      <c r="C10" s="243"/>
      <c r="D10" s="243" t="s">
        <v>18</v>
      </c>
      <c r="E10" s="243"/>
      <c r="F10" s="243" t="s">
        <v>3</v>
      </c>
      <c r="G10" s="243"/>
      <c r="H10" s="24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25">
      <c r="A11" s="5" t="s">
        <v>87</v>
      </c>
      <c r="B11" s="87">
        <f>IF(B6&gt;=2,1,0)</f>
        <v>0</v>
      </c>
      <c r="C11" s="87"/>
      <c r="D11" s="87">
        <f>IF(D6&gt;=2,1,0)</f>
        <v>0</v>
      </c>
      <c r="E11" s="87"/>
      <c r="F11" s="87">
        <f>IF(F6&gt;=2,1,0)</f>
        <v>0</v>
      </c>
      <c r="G11" s="87"/>
      <c r="H11" s="87">
        <f>IF(H6&gt;=2,1,0)</f>
        <v>0</v>
      </c>
      <c r="I11" s="532"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25">
      <c r="A12" s="268" t="s">
        <v>88</v>
      </c>
      <c r="B12" s="243">
        <f>IF(E6&gt;=4,1,0)</f>
        <v>0</v>
      </c>
      <c r="C12" s="243"/>
      <c r="D12" s="243">
        <f>IF(C6&gt;=4,1,0)</f>
        <v>0</v>
      </c>
      <c r="E12" s="243"/>
      <c r="F12" s="243">
        <f>IF(I6&gt;=4,1,0)</f>
        <v>0</v>
      </c>
      <c r="G12" s="243"/>
      <c r="H12" s="243">
        <f>IF(G6&gt;=4,1,0)</f>
        <v>0</v>
      </c>
      <c r="I12" s="532"/>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25">
      <c r="A13" s="5" t="s">
        <v>81</v>
      </c>
      <c r="B13" s="87">
        <f>IF(E8&gt;45,1,0)</f>
        <v>0</v>
      </c>
      <c r="C13" s="87"/>
      <c r="D13" s="87">
        <f>IF(C8&gt;45,1,0)</f>
        <v>0</v>
      </c>
      <c r="E13" s="87"/>
      <c r="F13" s="87">
        <f>IF(I8&gt;45,1,0)</f>
        <v>0</v>
      </c>
      <c r="G13" s="87"/>
      <c r="H13" s="87">
        <f>IF(G8&gt;45,1,0)</f>
        <v>0</v>
      </c>
      <c r="I13" s="532"/>
      <c r="J13" s="12"/>
      <c r="K13" s="12"/>
      <c r="L13" s="11" t="s">
        <v>5</v>
      </c>
      <c r="M13" s="11">
        <f>Sheet1!F4+Sheet1!Y4+Sheet1!AB4</f>
        <v>0</v>
      </c>
      <c r="N13" s="11">
        <v>3</v>
      </c>
      <c r="O13" s="11" t="s">
        <v>84</v>
      </c>
      <c r="Q13" s="516" t="s">
        <v>94</v>
      </c>
      <c r="R13" s="516"/>
      <c r="S13" s="516"/>
      <c r="T13" s="516"/>
      <c r="U13" s="516"/>
    </row>
    <row r="14" spans="1:27" x14ac:dyDescent="0.25">
      <c r="A14" s="268" t="s">
        <v>98</v>
      </c>
      <c r="B14" s="243">
        <f>IF(B3&gt;=240,1,0)</f>
        <v>0</v>
      </c>
      <c r="C14" s="243"/>
      <c r="D14" s="243">
        <f>IF(D3&gt;=240,1,0)</f>
        <v>0</v>
      </c>
      <c r="E14" s="243"/>
      <c r="F14" s="243">
        <f>IF(F3&gt;=240,1,0)</f>
        <v>0</v>
      </c>
      <c r="G14" s="243"/>
      <c r="H14" s="243">
        <f>IF(H3&gt;=240,1,0)</f>
        <v>0</v>
      </c>
      <c r="I14" s="532"/>
      <c r="J14" s="93"/>
      <c r="K14" s="93"/>
      <c r="L14" s="11" t="s">
        <v>10</v>
      </c>
      <c r="M14" s="11">
        <f>Sheet1!K4+Sheet1!AE4+Sheet1!AH4</f>
        <v>0</v>
      </c>
      <c r="N14" s="56">
        <v>2</v>
      </c>
      <c r="O14" s="86" t="s">
        <v>85</v>
      </c>
      <c r="Q14" s="2"/>
      <c r="R14" s="2"/>
      <c r="S14" s="2"/>
      <c r="T14" s="2"/>
      <c r="U14" s="2"/>
    </row>
    <row r="15" spans="1:27" x14ac:dyDescent="0.25">
      <c r="A15" s="10" t="s">
        <v>99</v>
      </c>
      <c r="B15" s="87">
        <f>X12</f>
        <v>0</v>
      </c>
      <c r="C15" s="87"/>
      <c r="D15" s="87">
        <f>Y12</f>
        <v>0</v>
      </c>
      <c r="E15" s="87"/>
      <c r="F15" s="87">
        <f>Z12</f>
        <v>0</v>
      </c>
      <c r="G15" s="87"/>
      <c r="H15" s="87">
        <f>AA12</f>
        <v>0</v>
      </c>
      <c r="I15" s="532"/>
      <c r="J15" s="93"/>
      <c r="K15" s="541" t="s">
        <v>431</v>
      </c>
      <c r="L15" s="11" t="s">
        <v>397</v>
      </c>
      <c r="M15" s="11">
        <f>B3+C3+M11</f>
        <v>0</v>
      </c>
      <c r="N15" s="11"/>
      <c r="O15" s="11"/>
      <c r="Q15" s="2"/>
      <c r="R15" s="2"/>
      <c r="S15" s="2"/>
      <c r="T15" s="2"/>
      <c r="U15" s="2"/>
    </row>
    <row r="16" spans="1:27" x14ac:dyDescent="0.25">
      <c r="A16" s="269" t="s">
        <v>100</v>
      </c>
      <c r="B16" s="243">
        <f>IF(D3+E3=0,0,IF(AND(B14=1, SUM(B11:B13)=0),3,MAX(B11:B13)))</f>
        <v>0</v>
      </c>
      <c r="C16" s="243"/>
      <c r="D16" s="243">
        <f>IF(B3+C3=0,0,IF(AND(D14=1, SUM(D11:D13)=0),3,MAX(D11:D13)))</f>
        <v>0</v>
      </c>
      <c r="E16" s="243"/>
      <c r="F16" s="243">
        <f>IF(H3+I3=0,0,IF(AND(F14=1, SUM(F11:F13)=0),3,MAX(F11:F13)))</f>
        <v>0</v>
      </c>
      <c r="G16" s="243"/>
      <c r="H16" s="243">
        <f>IF(F3+G3=0,0,IF(AND(H14=1, SUM(H11:H13)=0),3,MAX(H11:H13)))</f>
        <v>0</v>
      </c>
      <c r="I16" s="265"/>
      <c r="J16" s="12"/>
      <c r="K16" s="541"/>
      <c r="L16" s="11" t="s">
        <v>398</v>
      </c>
      <c r="M16" s="11">
        <f>D3+E3+M12</f>
        <v>1</v>
      </c>
      <c r="N16" s="11"/>
      <c r="O16" s="11"/>
      <c r="P16" s="533" t="s">
        <v>108</v>
      </c>
      <c r="Q16" s="534"/>
      <c r="R16" s="534"/>
      <c r="S16" s="534"/>
      <c r="T16" s="534"/>
      <c r="U16" s="2"/>
    </row>
    <row r="17" spans="1:24" x14ac:dyDescent="0.25">
      <c r="A17" s="39" t="s">
        <v>92</v>
      </c>
      <c r="B17" s="266">
        <f>IF(OR(D16=3,R12=1),3,2)</f>
        <v>2</v>
      </c>
      <c r="C17" s="266"/>
      <c r="D17" s="266">
        <f>IF(OR(B16=3,S12=1),3,2)</f>
        <v>2</v>
      </c>
      <c r="E17" s="266"/>
      <c r="F17" s="266">
        <f>IF(OR(H16=3,T12=1),3,2)</f>
        <v>2</v>
      </c>
      <c r="G17" s="266"/>
      <c r="H17" s="266">
        <f>IF(OR(F16=3,U12=1),3,2)</f>
        <v>2</v>
      </c>
      <c r="I17" s="40" t="s">
        <v>96</v>
      </c>
      <c r="J17" s="16"/>
      <c r="K17" s="541"/>
      <c r="L17" s="15" t="s">
        <v>399</v>
      </c>
      <c r="M17" s="15">
        <f>F3+G3+M13</f>
        <v>0</v>
      </c>
      <c r="N17" s="17"/>
      <c r="O17" s="11"/>
      <c r="P17" s="15"/>
      <c r="Q17" s="531" t="s">
        <v>107</v>
      </c>
      <c r="R17" s="531"/>
      <c r="S17" s="531"/>
      <c r="T17" s="531"/>
      <c r="U17" s="15"/>
      <c r="V17" s="15"/>
    </row>
    <row r="18" spans="1:24" x14ac:dyDescent="0.25">
      <c r="A18" s="270" t="s">
        <v>89</v>
      </c>
      <c r="B18" s="271">
        <f>IF(OR(E7&gt;0,C7&gt;0),2,0)</f>
        <v>0</v>
      </c>
      <c r="C18" s="271"/>
      <c r="D18" s="271">
        <f>IF(OR(C7&gt;0,E7&gt;0),2,0)</f>
        <v>0</v>
      </c>
      <c r="E18" s="271"/>
      <c r="F18" s="271">
        <f>IF(OR(I7&gt;0,G7&gt;0),2,0)</f>
        <v>0</v>
      </c>
      <c r="G18" s="271"/>
      <c r="H18" s="271">
        <f>IF(OR(G7&gt;0,I7&gt;0),2,0)</f>
        <v>0</v>
      </c>
      <c r="I18" s="38" t="s">
        <v>95</v>
      </c>
      <c r="J18" s="14"/>
      <c r="K18" s="541"/>
      <c r="L18" s="15" t="s">
        <v>400</v>
      </c>
      <c r="M18" s="15">
        <f>H3+I3+M14</f>
        <v>1</v>
      </c>
      <c r="N18" s="20"/>
      <c r="O18" s="11"/>
      <c r="P18" t="s">
        <v>105</v>
      </c>
      <c r="Q18" s="49">
        <v>1</v>
      </c>
      <c r="R18" s="50">
        <v>2</v>
      </c>
      <c r="S18" s="6">
        <v>3</v>
      </c>
      <c r="T18" s="6">
        <v>4</v>
      </c>
      <c r="V18" s="15"/>
    </row>
    <row r="19" spans="1:24" s="41" customFormat="1" x14ac:dyDescent="0.25">
      <c r="A19" s="46" t="s">
        <v>97</v>
      </c>
      <c r="B19" s="267">
        <f>IF(E5=0,2,0)</f>
        <v>2</v>
      </c>
      <c r="C19" s="267"/>
      <c r="D19" s="267">
        <f>IF(C5=0,2,0)</f>
        <v>2</v>
      </c>
      <c r="E19" s="267"/>
      <c r="F19" s="267">
        <f>IF(I5=0,2,0)</f>
        <v>2</v>
      </c>
      <c r="G19" s="267"/>
      <c r="H19" s="267">
        <f>IF(G5=0,2,0)</f>
        <v>2</v>
      </c>
      <c r="I19" s="38"/>
      <c r="J19" s="14"/>
      <c r="K19" s="14"/>
      <c r="L19" s="21"/>
      <c r="M19" s="21"/>
      <c r="N19" s="29"/>
      <c r="O19" s="13"/>
      <c r="P19" s="47" t="s">
        <v>106</v>
      </c>
      <c r="Q19" s="45">
        <v>5</v>
      </c>
      <c r="R19" s="51">
        <v>6</v>
      </c>
      <c r="S19" s="45">
        <v>7</v>
      </c>
      <c r="T19" s="45">
        <v>8</v>
      </c>
      <c r="V19" s="21"/>
    </row>
    <row r="20" spans="1:24" x14ac:dyDescent="0.25">
      <c r="A20" s="42"/>
      <c r="B20" s="81"/>
      <c r="C20" s="81"/>
      <c r="D20" s="81"/>
      <c r="E20" s="81"/>
      <c r="F20" s="81"/>
      <c r="G20" s="81"/>
      <c r="H20" s="81"/>
      <c r="I20" s="21"/>
      <c r="J20" s="15"/>
      <c r="K20" s="15"/>
      <c r="L20" s="15"/>
      <c r="M20" s="15"/>
      <c r="N20" s="20"/>
      <c r="O20" s="11"/>
      <c r="V20" s="15"/>
    </row>
    <row r="21" spans="1:24" x14ac:dyDescent="0.25">
      <c r="A21" s="272" t="s">
        <v>104</v>
      </c>
      <c r="B21" s="243">
        <f>IF(AND(B16=1,B18=0),1,MAX(B16:B18))</f>
        <v>2</v>
      </c>
      <c r="C21" s="243"/>
      <c r="D21" s="243">
        <f>IF(AND(D16=1,D18=0),1,MAX(D16:D18))</f>
        <v>2</v>
      </c>
      <c r="E21" s="243"/>
      <c r="F21" s="243">
        <f>IF(AND(F16=1,F18=0),1,MAX(F16:F18))</f>
        <v>2</v>
      </c>
      <c r="G21" s="243"/>
      <c r="H21" s="243">
        <f>IF(AND(H16=1,H18=0),1,MAX(H16:H18))</f>
        <v>2</v>
      </c>
      <c r="I21" s="16"/>
      <c r="J21" s="15"/>
      <c r="K21" s="20" t="s">
        <v>13</v>
      </c>
      <c r="L21" s="20" t="s">
        <v>18</v>
      </c>
      <c r="M21" s="20" t="s">
        <v>3</v>
      </c>
      <c r="N21" s="20" t="s">
        <v>8</v>
      </c>
      <c r="O21" s="11"/>
      <c r="Q21" s="516" t="s">
        <v>109</v>
      </c>
      <c r="R21" s="516"/>
      <c r="S21" s="48"/>
      <c r="T21" s="48"/>
      <c r="V21" s="15"/>
    </row>
    <row r="22" spans="1:24" x14ac:dyDescent="0.25">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302</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25">
      <c r="A23" s="273"/>
      <c r="B23" s="273" t="str">
        <f>LOOKUP(B22,$N$11:$N$14,$O$11:$O$14)</f>
        <v>Permitted</v>
      </c>
      <c r="C23" s="273"/>
      <c r="D23" s="273" t="str">
        <f>LOOKUP(D22,$N$11:$N$14,$O$11:$O$14)</f>
        <v>Permitted</v>
      </c>
      <c r="E23" s="273"/>
      <c r="F23" s="273" t="str">
        <f>LOOKUP(F22,$N$11:$N$14,$O$11:$O$14)</f>
        <v>Permitted</v>
      </c>
      <c r="G23" s="273"/>
      <c r="H23" s="273" t="str">
        <f>LOOKUP(H22,$N$11:$N$14,$O$11:$O$14)</f>
        <v>Permitted</v>
      </c>
      <c r="I23" s="21"/>
      <c r="J23" s="22" t="s">
        <v>303</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25">
      <c r="B24" s="41"/>
      <c r="C24" s="21"/>
      <c r="D24" s="21"/>
      <c r="E24" s="105"/>
      <c r="F24" s="21"/>
      <c r="G24" s="21"/>
      <c r="H24" s="21"/>
      <c r="I24" s="21"/>
      <c r="J24" s="22"/>
      <c r="K24" s="22"/>
      <c r="L24" s="18"/>
      <c r="M24" s="68"/>
      <c r="N24" s="19"/>
      <c r="O24" s="13"/>
      <c r="V24" s="15"/>
    </row>
    <row r="25" spans="1:24" x14ac:dyDescent="0.25">
      <c r="B25" s="81"/>
      <c r="C25" s="81"/>
      <c r="D25" s="81"/>
      <c r="E25" s="81"/>
      <c r="F25" s="81"/>
      <c r="G25" s="81"/>
      <c r="H25" s="81"/>
      <c r="I25" s="81"/>
      <c r="L25" s="18"/>
      <c r="M25" s="68"/>
      <c r="N25" s="20"/>
      <c r="O25" s="14"/>
      <c r="Q25" s="516" t="s">
        <v>111</v>
      </c>
      <c r="R25" s="516"/>
      <c r="S25" s="516"/>
      <c r="V25" s="22"/>
    </row>
    <row r="26" spans="1:24" x14ac:dyDescent="0.25">
      <c r="A26" s="274" t="s">
        <v>73</v>
      </c>
      <c r="B26" s="248" t="s">
        <v>13</v>
      </c>
      <c r="C26" s="248" t="s">
        <v>14</v>
      </c>
      <c r="D26" s="248" t="s">
        <v>18</v>
      </c>
      <c r="E26" s="248" t="s">
        <v>19</v>
      </c>
      <c r="F26" s="248" t="s">
        <v>3</v>
      </c>
      <c r="G26" s="248" t="s">
        <v>4</v>
      </c>
      <c r="H26" s="248" t="s">
        <v>8</v>
      </c>
      <c r="I26" s="248" t="s">
        <v>9</v>
      </c>
      <c r="L26" s="18"/>
      <c r="M26" s="68"/>
      <c r="N26" s="20"/>
      <c r="O26" s="13"/>
      <c r="P26" t="s">
        <v>105</v>
      </c>
      <c r="Q26" s="50">
        <v>2</v>
      </c>
      <c r="R26" s="52">
        <v>4</v>
      </c>
      <c r="U26" t="s">
        <v>105</v>
      </c>
      <c r="V26" s="54" t="str">
        <f>IF(AND(D22&lt;&gt;4,F22=4),Q26,"")</f>
        <v/>
      </c>
      <c r="W26" s="52" t="str">
        <f>IF(AND(D22&lt;&gt;4,F22=4),R26,"")</f>
        <v/>
      </c>
      <c r="X26" s="6"/>
    </row>
    <row r="27" spans="1:24" x14ac:dyDescent="0.25">
      <c r="A27" s="43" t="s">
        <v>102</v>
      </c>
      <c r="B27" s="506">
        <f>IF(OR(B22=1,B22=3),B5,0)</f>
        <v>0</v>
      </c>
      <c r="C27" s="506">
        <f>IF(AND(C5=0,$I$9=1),C4,C5)</f>
        <v>4</v>
      </c>
      <c r="D27" s="506">
        <f>IF(OR(D22=1,D22=3),D5,0)</f>
        <v>0</v>
      </c>
      <c r="E27" s="506">
        <f>IF(AND(E5=0,$I$9=1),E4,E5)</f>
        <v>8</v>
      </c>
      <c r="F27" s="506">
        <f>IF(OR(F22=1,F22=3),F5,0)</f>
        <v>0</v>
      </c>
      <c r="G27" s="506">
        <f>IF(AND(G5=0,$I$9=1),G4,G5)</f>
        <v>2</v>
      </c>
      <c r="H27" s="506">
        <f>IF(OR(H22=1,H22=3),H5,0)</f>
        <v>0</v>
      </c>
      <c r="I27" s="50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25">
      <c r="A28" s="274" t="s">
        <v>103</v>
      </c>
      <c r="B28" s="457">
        <f>IF(OR(B22=2,B22=3,B22=4),C27,0)</f>
        <v>4</v>
      </c>
      <c r="C28" s="457"/>
      <c r="D28" s="457">
        <f>IF(OR(D22=2,D22=3,D22=4),E27,0)</f>
        <v>8</v>
      </c>
      <c r="E28" s="457"/>
      <c r="F28" s="457">
        <f>IF(OR(F22=2,F22=3,F22=4),G27,0)</f>
        <v>2</v>
      </c>
      <c r="G28" s="457"/>
      <c r="H28" s="457">
        <f>IF(OR(H22=2,H22=3,H22=4),I27,0)</f>
        <v>6</v>
      </c>
      <c r="I28" s="457"/>
      <c r="L28" s="22"/>
      <c r="M28" s="22"/>
      <c r="N28" s="20"/>
      <c r="O28" s="23"/>
      <c r="V28" s="10"/>
    </row>
    <row r="29" spans="1:24" x14ac:dyDescent="0.25">
      <c r="L29" s="19"/>
      <c r="M29" s="19"/>
      <c r="N29" s="20"/>
      <c r="O29" s="14"/>
      <c r="P29" t="s">
        <v>105</v>
      </c>
      <c r="Q29" s="50">
        <v>2</v>
      </c>
      <c r="R29" s="52"/>
      <c r="S29" s="6">
        <v>4</v>
      </c>
      <c r="U29" t="s">
        <v>105</v>
      </c>
      <c r="V29" s="50" t="str">
        <f>IF(AND(D22=4,F22&lt;&gt;4),Q29,"")</f>
        <v/>
      </c>
      <c r="W29" s="52"/>
      <c r="X29" s="6" t="str">
        <f>IF(AND(D22=4,F22&lt;&gt;4),S29,"")</f>
        <v/>
      </c>
    </row>
    <row r="30" spans="1:24" x14ac:dyDescent="0.25">
      <c r="D30" s="8">
        <f>I27</f>
        <v>6</v>
      </c>
      <c r="E30" s="8" t="str">
        <f>H27&amp;"  "&amp;H28</f>
        <v>0  6</v>
      </c>
      <c r="L30" s="16"/>
      <c r="M30" s="16"/>
      <c r="N30" s="25"/>
      <c r="O30" s="11"/>
      <c r="P30" s="47" t="s">
        <v>106</v>
      </c>
      <c r="Q30" s="51"/>
      <c r="R30" s="53">
        <v>6</v>
      </c>
      <c r="S30" s="6">
        <v>8</v>
      </c>
      <c r="U30" s="47" t="s">
        <v>106</v>
      </c>
      <c r="V30" s="51"/>
      <c r="W30" s="53" t="str">
        <f>IF(AND(D22=4,F22&lt;&gt;4),R30,"")</f>
        <v/>
      </c>
      <c r="X30" s="6" t="str">
        <f>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IF(AND(D22=4,F22=4),Q32,"")</f>
        <v/>
      </c>
      <c r="W32" s="52"/>
      <c r="X32" s="52" t="str">
        <f>IF(AND(D22=4,F22=4),S32,"")</f>
        <v/>
      </c>
    </row>
    <row r="33" spans="2:33" x14ac:dyDescent="0.25">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25">
      <c r="J34" s="55"/>
      <c r="K34" s="535" t="s">
        <v>113</v>
      </c>
      <c r="L34" s="535"/>
      <c r="M34" s="535"/>
      <c r="N34" s="535"/>
      <c r="O34" s="82"/>
    </row>
    <row r="35" spans="2:33" x14ac:dyDescent="0.25">
      <c r="B35" s="44" t="str">
        <f>B27&amp;"  "&amp;B28</f>
        <v>0  4</v>
      </c>
      <c r="G35" s="9">
        <f>E27</f>
        <v>8</v>
      </c>
      <c r="J35" s="56"/>
      <c r="K35" s="57" t="str">
        <f>IF($U$41=0,"b","")</f>
        <v/>
      </c>
      <c r="L35" s="57" t="str">
        <f>IF(OR($U$41=0,$U$41=1),"b","")</f>
        <v>b</v>
      </c>
      <c r="M35" s="57" t="str">
        <f>IF($U$41=0,"b","")</f>
        <v/>
      </c>
      <c r="N35" s="58"/>
      <c r="O35" s="77"/>
      <c r="P35" s="42"/>
      <c r="Q35" s="42"/>
    </row>
    <row r="36" spans="2:33" x14ac:dyDescent="0.25">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25">
      <c r="B37" s="7">
        <f>C27</f>
        <v>4</v>
      </c>
      <c r="C37" s="26"/>
      <c r="D37" s="11"/>
      <c r="E37" s="11"/>
      <c r="F37" s="11"/>
      <c r="G37" s="27" t="str">
        <f>D27&amp;"  "&amp;D28</f>
        <v>0  8</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25">
      <c r="C38" s="30"/>
      <c r="D38" s="15"/>
      <c r="E38" s="15"/>
      <c r="F38" s="15"/>
      <c r="G38" s="26"/>
      <c r="H38" s="14"/>
      <c r="P38" s="42"/>
      <c r="Q38" s="42"/>
    </row>
    <row r="39" spans="2:33" x14ac:dyDescent="0.25">
      <c r="C39" s="31"/>
      <c r="D39" s="32"/>
      <c r="E39" s="32"/>
      <c r="F39" s="33"/>
      <c r="G39" s="15"/>
      <c r="H39" s="16"/>
      <c r="J39" s="55"/>
      <c r="K39" s="535" t="s">
        <v>114</v>
      </c>
      <c r="L39" s="535"/>
      <c r="M39" s="535"/>
      <c r="N39" s="535"/>
    </row>
    <row r="40" spans="2:33" x14ac:dyDescent="0.25">
      <c r="C40" s="34"/>
      <c r="D40" s="15"/>
      <c r="E40" s="15"/>
      <c r="F40" s="15"/>
      <c r="G40" s="18"/>
      <c r="H40" s="18"/>
      <c r="J40" s="56"/>
      <c r="K40" s="57" t="str">
        <f>K35</f>
        <v/>
      </c>
      <c r="L40" s="57" t="str">
        <f>L35</f>
        <v>b</v>
      </c>
      <c r="M40" s="57" t="str">
        <f>M35</f>
        <v/>
      </c>
      <c r="N40" s="57"/>
      <c r="P40" s="15"/>
      <c r="Q40" s="531" t="s">
        <v>110</v>
      </c>
      <c r="R40" s="531"/>
      <c r="S40" s="531"/>
      <c r="T40" s="531"/>
      <c r="W40" s="15"/>
      <c r="X40" s="531" t="s">
        <v>115</v>
      </c>
      <c r="Y40" s="531"/>
      <c r="Z40" s="531"/>
      <c r="AA40" s="531"/>
      <c r="AC40" s="15"/>
      <c r="AD40" s="531" t="s">
        <v>75</v>
      </c>
      <c r="AE40" s="531"/>
      <c r="AF40" s="531"/>
      <c r="AG40" s="531"/>
    </row>
    <row r="41" spans="2:33" x14ac:dyDescent="0.25">
      <c r="C41" s="35"/>
      <c r="D41" s="15"/>
      <c r="E41" s="15" t="s">
        <v>77</v>
      </c>
      <c r="F41" s="15"/>
      <c r="G41" s="15"/>
      <c r="H41" s="15"/>
      <c r="J41" s="59" t="s">
        <v>105</v>
      </c>
      <c r="K41" s="60" t="str">
        <f t="shared" ref="K41:N42" si="3">IF(K36&lt;&gt;0,Q55,"")</f>
        <v/>
      </c>
      <c r="L41" s="60" t="str">
        <f t="shared" si="3"/>
        <v>NBT</v>
      </c>
      <c r="M41" s="60" t="str">
        <f t="shared" si="3"/>
        <v/>
      </c>
      <c r="N41" s="60" t="str">
        <f t="shared" si="3"/>
        <v>EBT</v>
      </c>
      <c r="P41" t="s">
        <v>105</v>
      </c>
      <c r="Q41" s="49">
        <f>MAX(X41,AD41)</f>
        <v>0</v>
      </c>
      <c r="R41" s="49">
        <f t="shared" ref="R41:T42" si="4">MAX(Y41,AE41)</f>
        <v>2</v>
      </c>
      <c r="S41" s="49">
        <f t="shared" si="4"/>
        <v>0</v>
      </c>
      <c r="T41" s="49">
        <f t="shared" si="4"/>
        <v>4</v>
      </c>
      <c r="U41" s="538">
        <f>IF(V36=0,1,0)</f>
        <v>1</v>
      </c>
      <c r="W41" t="s">
        <v>105</v>
      </c>
      <c r="X41" s="49">
        <f>IF(AND($X$40=$J$2,D27=1),1,0)</f>
        <v>0</v>
      </c>
      <c r="Y41" s="50">
        <f>IF(AND($X$40=$J$2,C27=2),2,0)</f>
        <v>0</v>
      </c>
      <c r="Z41" s="6">
        <f>IF(AND($X$40=$J$2,F27=3),3,0)</f>
        <v>0</v>
      </c>
      <c r="AA41" s="50">
        <f>IF(AND($X$40=$J$2,I27=4),4,0)</f>
        <v>0</v>
      </c>
      <c r="AC41" t="s">
        <v>105</v>
      </c>
      <c r="AD41" s="49">
        <f>IF(AND($AD$40=$J$2,H27=1),1,0)</f>
        <v>0</v>
      </c>
      <c r="AE41" s="50">
        <f>IF(AND($AD$40=$J$2,G27=2),2,0)</f>
        <v>2</v>
      </c>
      <c r="AF41" s="6">
        <f>IF(AND($AD$40=$J$2,D27=3),3,0)</f>
        <v>0</v>
      </c>
      <c r="AG41" s="50">
        <f>IF(AND($AD$40=$J$2,C27=4),4,0)</f>
        <v>4</v>
      </c>
    </row>
    <row r="42" spans="2:33" x14ac:dyDescent="0.25">
      <c r="C42" s="23"/>
      <c r="D42" s="36" t="str">
        <f>F27&amp;"  "&amp;F28</f>
        <v>0  2</v>
      </c>
      <c r="E42" s="37">
        <f>G27</f>
        <v>2</v>
      </c>
      <c r="F42" s="15"/>
      <c r="G42" s="15"/>
      <c r="H42" s="15"/>
      <c r="J42" s="61" t="s">
        <v>106</v>
      </c>
      <c r="K42" s="60" t="str">
        <f t="shared" si="3"/>
        <v/>
      </c>
      <c r="L42" s="60" t="str">
        <f t="shared" si="3"/>
        <v>SBT</v>
      </c>
      <c r="M42" s="60" t="str">
        <f t="shared" si="3"/>
        <v/>
      </c>
      <c r="N42" s="60" t="str">
        <f t="shared" si="3"/>
        <v>WBT</v>
      </c>
      <c r="P42" s="47" t="s">
        <v>106</v>
      </c>
      <c r="Q42" s="49">
        <f>MAX(X42,AD42)</f>
        <v>0</v>
      </c>
      <c r="R42" s="49">
        <f t="shared" si="4"/>
        <v>6</v>
      </c>
      <c r="S42" s="49">
        <f t="shared" si="4"/>
        <v>0</v>
      </c>
      <c r="T42" s="49">
        <f t="shared" si="4"/>
        <v>8</v>
      </c>
      <c r="U42" s="538"/>
      <c r="W42" s="47" t="s">
        <v>106</v>
      </c>
      <c r="X42" s="45">
        <f>IF(AND($X$40=$J$2,B27=5),5,0)</f>
        <v>0</v>
      </c>
      <c r="Y42" s="51">
        <f>IF(AND($X$40=$J$2,E27=6),6,0)</f>
        <v>0</v>
      </c>
      <c r="Z42" s="45">
        <f>IF(AND($X$40=$J$2,H27=7),7,0)</f>
        <v>0</v>
      </c>
      <c r="AA42" s="51">
        <f>IF(AND($X$40=$J$2,G27=8),8,0)</f>
        <v>0</v>
      </c>
      <c r="AC42" s="47" t="s">
        <v>106</v>
      </c>
      <c r="AD42" s="45">
        <f>IF(AND($AD$40=$J$2,F27=5),5,0)</f>
        <v>0</v>
      </c>
      <c r="AE42" s="51">
        <f>IF(AND($AD$40=$J$2,I27=6),6,0)</f>
        <v>6</v>
      </c>
      <c r="AF42" s="45">
        <f>IF(AND($AD$40=$J$2,B27=7),7,0)</f>
        <v>0</v>
      </c>
      <c r="AG42" s="51">
        <f>IF(AND($AD$40=$J$2,E27=8),8,0)</f>
        <v>8</v>
      </c>
    </row>
    <row r="43" spans="2:33" x14ac:dyDescent="0.25">
      <c r="P43"/>
      <c r="Q43" s="42"/>
      <c r="R43" s="42"/>
      <c r="S43" s="42"/>
      <c r="T43" s="42"/>
      <c r="U43" s="6"/>
    </row>
    <row r="44" spans="2:33" ht="15" hidden="1" customHeight="1" x14ac:dyDescent="0.25">
      <c r="P44" s="47"/>
      <c r="Q44" s="531" t="s">
        <v>112</v>
      </c>
      <c r="R44" s="531"/>
      <c r="S44" s="531"/>
      <c r="T44" s="531"/>
      <c r="U44" s="6"/>
    </row>
    <row r="45" spans="2:33" ht="15" hidden="1" customHeight="1" x14ac:dyDescent="0.25">
      <c r="P45" t="s">
        <v>105</v>
      </c>
      <c r="Q45" s="50">
        <f t="shared" ref="Q45:T46" si="5">IF(V36&lt;&gt;0,V36,0)</f>
        <v>0</v>
      </c>
      <c r="R45" s="50">
        <f t="shared" si="5"/>
        <v>0</v>
      </c>
      <c r="S45" s="50">
        <f t="shared" si="5"/>
        <v>0</v>
      </c>
      <c r="T45" s="50">
        <f t="shared" si="5"/>
        <v>0</v>
      </c>
      <c r="U45" s="539">
        <f>IF(V36=0,0,1)</f>
        <v>0</v>
      </c>
    </row>
    <row r="46" spans="2:33" ht="15" hidden="1" customHeight="1" x14ac:dyDescent="0.25">
      <c r="P46" s="47" t="s">
        <v>106</v>
      </c>
      <c r="Q46" s="50">
        <f t="shared" si="5"/>
        <v>0</v>
      </c>
      <c r="R46" s="50">
        <f t="shared" si="5"/>
        <v>0</v>
      </c>
      <c r="S46" s="50">
        <f t="shared" si="5"/>
        <v>0</v>
      </c>
      <c r="T46" s="50">
        <f t="shared" si="5"/>
        <v>0</v>
      </c>
      <c r="U46" s="539"/>
    </row>
    <row r="47" spans="2:33" x14ac:dyDescent="0.25">
      <c r="B47" s="55"/>
      <c r="C47" s="535" t="s">
        <v>113</v>
      </c>
      <c r="D47" s="535"/>
      <c r="E47" s="535"/>
      <c r="F47" s="535"/>
      <c r="J47" s="55"/>
      <c r="K47" s="535" t="s">
        <v>436</v>
      </c>
      <c r="L47" s="535"/>
      <c r="M47" s="535"/>
      <c r="N47" s="535"/>
    </row>
    <row r="48" spans="2:33" x14ac:dyDescent="0.25">
      <c r="B48" s="56"/>
      <c r="C48" s="57" t="str">
        <f t="shared" ref="C48:F49"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25">
      <c r="B49" s="95" t="s">
        <v>105</v>
      </c>
      <c r="C49" s="57">
        <f>K36</f>
        <v>0</v>
      </c>
      <c r="D49" s="57">
        <f t="shared" si="6"/>
        <v>2</v>
      </c>
      <c r="E49" s="57">
        <f t="shared" si="6"/>
        <v>0</v>
      </c>
      <c r="F49" s="57">
        <f t="shared" si="6"/>
        <v>4</v>
      </c>
      <c r="J49" s="59" t="s">
        <v>105</v>
      </c>
      <c r="K49" s="60">
        <f>Phasing!D46</f>
        <v>0</v>
      </c>
      <c r="L49" s="60" t="e">
        <f>Phasing!E46</f>
        <v>#N/A</v>
      </c>
      <c r="M49" s="60">
        <f>Phasing!F46</f>
        <v>0</v>
      </c>
      <c r="N49" s="60" t="e">
        <f>Phasing!G46</f>
        <v>#N/A</v>
      </c>
      <c r="P49" s="6">
        <f>B27</f>
        <v>0</v>
      </c>
      <c r="Q49" s="6">
        <f t="shared" ref="Q49:W49" si="7">C27</f>
        <v>4</v>
      </c>
      <c r="R49" s="6">
        <f t="shared" si="7"/>
        <v>0</v>
      </c>
      <c r="S49" s="6">
        <f t="shared" si="7"/>
        <v>8</v>
      </c>
      <c r="T49" s="6">
        <f t="shared" si="7"/>
        <v>0</v>
      </c>
      <c r="U49" s="6">
        <f t="shared" si="7"/>
        <v>2</v>
      </c>
      <c r="V49" s="6">
        <f t="shared" si="7"/>
        <v>0</v>
      </c>
      <c r="W49" s="6">
        <f t="shared" si="7"/>
        <v>6</v>
      </c>
    </row>
    <row r="50" spans="2:23" x14ac:dyDescent="0.25">
      <c r="B50" s="184" t="s">
        <v>106</v>
      </c>
      <c r="C50" s="57">
        <f>K37</f>
        <v>0</v>
      </c>
      <c r="D50" s="57">
        <f t="shared" ref="D50" si="8">L37</f>
        <v>6</v>
      </c>
      <c r="E50" s="57">
        <f t="shared" ref="E50" si="9">M37</f>
        <v>0</v>
      </c>
      <c r="F50" s="57">
        <f t="shared" ref="F50" si="10">N37</f>
        <v>8</v>
      </c>
      <c r="J50" s="61" t="s">
        <v>106</v>
      </c>
      <c r="K50" s="60">
        <f>Phasing!H46</f>
        <v>0</v>
      </c>
      <c r="L50" s="60" t="e">
        <f>Phasing!I46</f>
        <v>#N/A</v>
      </c>
      <c r="M50" s="60">
        <f>Phasing!J46</f>
        <v>0</v>
      </c>
      <c r="N50" s="60" t="e">
        <f>Phasing!K46</f>
        <v>#N/A</v>
      </c>
      <c r="P50" s="6">
        <f t="shared" ref="P50:W50" si="11">IF(P49&gt;0,B26,0)</f>
        <v>0</v>
      </c>
      <c r="Q50" s="6" t="str">
        <f t="shared" si="11"/>
        <v>EBT</v>
      </c>
      <c r="R50" s="6">
        <f t="shared" si="11"/>
        <v>0</v>
      </c>
      <c r="S50" s="6" t="str">
        <f t="shared" si="11"/>
        <v>WBT</v>
      </c>
      <c r="T50" s="6">
        <f t="shared" si="11"/>
        <v>0</v>
      </c>
      <c r="U50" s="6" t="str">
        <f t="shared" si="11"/>
        <v>NBT</v>
      </c>
      <c r="V50" s="6">
        <f t="shared" si="11"/>
        <v>0</v>
      </c>
      <c r="W50" s="6" t="str">
        <f t="shared" si="11"/>
        <v>SBT</v>
      </c>
    </row>
    <row r="51" spans="2:23" x14ac:dyDescent="0.25">
      <c r="Q51" s="45"/>
      <c r="R51" s="45"/>
      <c r="S51" s="45"/>
      <c r="T51" s="45"/>
    </row>
    <row r="52" spans="2:23" x14ac:dyDescent="0.25">
      <c r="J52" s="55"/>
      <c r="K52" s="535" t="s">
        <v>437</v>
      </c>
      <c r="L52" s="535"/>
      <c r="M52" s="535"/>
      <c r="N52" s="535"/>
      <c r="P52" s="62" t="s">
        <v>105</v>
      </c>
      <c r="Q52" s="70">
        <f t="shared" ref="Q52:T53" si="12">MATCH(K36,$P$49:$W$49,0)</f>
        <v>1</v>
      </c>
      <c r="R52" s="70">
        <f t="shared" si="12"/>
        <v>6</v>
      </c>
      <c r="S52" s="70">
        <f t="shared" si="12"/>
        <v>1</v>
      </c>
      <c r="T52" s="70">
        <f t="shared" si="12"/>
        <v>2</v>
      </c>
    </row>
    <row r="53" spans="2:23" x14ac:dyDescent="0.25">
      <c r="J53" s="56"/>
      <c r="K53" s="57" t="str">
        <f>IF($U$41=0,"b","")</f>
        <v/>
      </c>
      <c r="L53" s="57" t="str">
        <f>IF(OR($U$41=0,$U$41=1),"b","")</f>
        <v>b</v>
      </c>
      <c r="M53" s="57" t="str">
        <f>IF($U$41=0,"b","")</f>
        <v/>
      </c>
      <c r="N53" s="58"/>
      <c r="P53" s="47" t="s">
        <v>106</v>
      </c>
      <c r="Q53" s="70">
        <f t="shared" si="12"/>
        <v>1</v>
      </c>
      <c r="R53" s="70">
        <f t="shared" si="12"/>
        <v>8</v>
      </c>
      <c r="S53" s="70">
        <f t="shared" si="12"/>
        <v>1</v>
      </c>
      <c r="T53" s="70">
        <f t="shared" si="12"/>
        <v>4</v>
      </c>
    </row>
    <row r="54" spans="2:23" x14ac:dyDescent="0.25">
      <c r="J54" s="59" t="s">
        <v>105</v>
      </c>
      <c r="K54" s="60">
        <f>Phasing!D47</f>
        <v>0</v>
      </c>
      <c r="L54" s="60" t="e">
        <f>Phasing!E47</f>
        <v>#N/A</v>
      </c>
      <c r="M54" s="60">
        <f>Phasing!F47</f>
        <v>0</v>
      </c>
      <c r="N54" s="60" t="e">
        <f>Phasing!G47</f>
        <v>#N/A</v>
      </c>
      <c r="Q54" s="70"/>
      <c r="R54" s="70"/>
      <c r="S54" s="70"/>
      <c r="T54" s="70"/>
    </row>
    <row r="55" spans="2:23" x14ac:dyDescent="0.25">
      <c r="J55" s="61" t="s">
        <v>106</v>
      </c>
      <c r="K55" s="60">
        <f>Phasing!H47</f>
        <v>0</v>
      </c>
      <c r="L55" s="60" t="e">
        <f>Phasing!I47</f>
        <v>#N/A</v>
      </c>
      <c r="M55" s="60">
        <f>Phasing!J47</f>
        <v>0</v>
      </c>
      <c r="N55" s="60" t="e">
        <f>Phasing!K47</f>
        <v>#N/A</v>
      </c>
      <c r="P55" s="62" t="s">
        <v>105</v>
      </c>
      <c r="Q55" s="70">
        <f>IF(Q52&gt;0,INDEX($P$49:$W$50,2,Q52),0)</f>
        <v>0</v>
      </c>
      <c r="R55" s="70" t="str">
        <f>IF(R52&gt;0,INDEX($P$49:$W$50,2,R52),0)</f>
        <v>NBT</v>
      </c>
      <c r="S55" s="70">
        <f>IF(S52&gt;0,INDEX($P$49:$W$50,2,S52),0)</f>
        <v>0</v>
      </c>
      <c r="T55" s="70" t="str">
        <f t="shared" ref="R55:T56" si="13">INDEX($P$49:$W$50,2,T52)</f>
        <v>EBT</v>
      </c>
    </row>
    <row r="56" spans="2:23" x14ac:dyDescent="0.25">
      <c r="P56" s="47" t="s">
        <v>106</v>
      </c>
      <c r="Q56" s="70">
        <f>INDEX($P$49:$W$50,2,Q53)</f>
        <v>0</v>
      </c>
      <c r="R56" s="70" t="str">
        <f t="shared" si="13"/>
        <v>SBT</v>
      </c>
      <c r="S56" s="70">
        <f t="shared" si="13"/>
        <v>0</v>
      </c>
      <c r="T56" s="70" t="str">
        <f t="shared" si="13"/>
        <v>WBT</v>
      </c>
    </row>
    <row r="59" spans="2:23" x14ac:dyDescent="0.25">
      <c r="J59" s="516" t="s">
        <v>438</v>
      </c>
      <c r="K59" s="540"/>
      <c r="L59" s="516" t="s">
        <v>439</v>
      </c>
      <c r="M59" s="540"/>
      <c r="N59" s="516" t="s">
        <v>440</v>
      </c>
      <c r="O59" s="540"/>
      <c r="P59" s="516" t="s">
        <v>441</v>
      </c>
      <c r="Q59" s="540"/>
      <c r="R59" s="84"/>
      <c r="S59" s="84"/>
      <c r="T59" s="84"/>
      <c r="U59" s="84"/>
      <c r="V59" s="84"/>
      <c r="W59" s="84"/>
    </row>
    <row r="60" spans="2:23" x14ac:dyDescent="0.25">
      <c r="I60" t="s">
        <v>105</v>
      </c>
      <c r="J60" s="359">
        <f>K49</f>
        <v>0</v>
      </c>
      <c r="K60" s="359">
        <f>K54</f>
        <v>0</v>
      </c>
      <c r="L60" s="359" t="e">
        <f>L49</f>
        <v>#N/A</v>
      </c>
      <c r="M60" s="359" t="e">
        <f>L54</f>
        <v>#N/A</v>
      </c>
      <c r="N60" s="359">
        <f>M49</f>
        <v>0</v>
      </c>
      <c r="O60" s="359">
        <f>M54</f>
        <v>0</v>
      </c>
      <c r="P60" s="87" t="e">
        <f>N49</f>
        <v>#N/A</v>
      </c>
      <c r="Q60" s="87" t="e">
        <f>N54</f>
        <v>#N/A</v>
      </c>
      <c r="R60" s="82"/>
      <c r="S60" s="82"/>
      <c r="T60" s="82"/>
      <c r="U60" s="82"/>
      <c r="V60" s="82"/>
      <c r="W60" s="83"/>
    </row>
    <row r="61" spans="2:23" x14ac:dyDescent="0.25">
      <c r="I61" t="s">
        <v>106</v>
      </c>
      <c r="J61" s="359">
        <f>K50</f>
        <v>0</v>
      </c>
      <c r="K61" s="359">
        <f>K55</f>
        <v>0</v>
      </c>
      <c r="L61" s="359" t="e">
        <f>L50</f>
        <v>#N/A</v>
      </c>
      <c r="M61" s="359" t="e">
        <f>L55</f>
        <v>#N/A</v>
      </c>
      <c r="N61" s="359">
        <f>M50</f>
        <v>0</v>
      </c>
      <c r="O61" s="359">
        <f>M55</f>
        <v>0</v>
      </c>
      <c r="P61" s="87" t="e">
        <f>N50</f>
        <v>#N/A</v>
      </c>
      <c r="Q61" s="87" t="e">
        <f>N55</f>
        <v>#N/A</v>
      </c>
      <c r="R61" s="45"/>
      <c r="S61" s="45"/>
      <c r="T61" s="45"/>
      <c r="U61" s="45"/>
      <c r="V61" s="45"/>
      <c r="W61" s="45"/>
    </row>
    <row r="62" spans="2:23" x14ac:dyDescent="0.25">
      <c r="J62" s="516" t="s">
        <v>442</v>
      </c>
      <c r="K62" s="540"/>
      <c r="L62" s="516" t="s">
        <v>443</v>
      </c>
      <c r="M62" s="540"/>
      <c r="N62" s="516" t="s">
        <v>444</v>
      </c>
      <c r="O62" s="540"/>
      <c r="P62" s="516" t="s">
        <v>445</v>
      </c>
      <c r="Q62" s="540"/>
      <c r="R62" s="45"/>
      <c r="S62" s="45"/>
      <c r="T62" s="45"/>
      <c r="U62" s="45"/>
      <c r="V62" s="45"/>
      <c r="W62" s="45"/>
    </row>
    <row r="63" spans="2:23" x14ac:dyDescent="0.25">
      <c r="P63" s="81"/>
      <c r="Q63" s="81"/>
      <c r="R63" s="81"/>
      <c r="S63" s="81"/>
      <c r="T63" s="81"/>
      <c r="U63" s="81"/>
      <c r="V63" s="81"/>
      <c r="W63" s="81"/>
    </row>
    <row r="64" spans="2:23" x14ac:dyDescent="0.25">
      <c r="J64" t="s">
        <v>105</v>
      </c>
      <c r="K64" s="359">
        <v>0</v>
      </c>
      <c r="L64" s="359" t="e">
        <f>L60</f>
        <v>#N/A</v>
      </c>
      <c r="M64" s="359">
        <f>N60</f>
        <v>0</v>
      </c>
      <c r="N64" s="359" t="e">
        <f>P60</f>
        <v>#N/A</v>
      </c>
      <c r="O64" s="359" t="e">
        <f>Q60</f>
        <v>#N/A</v>
      </c>
      <c r="P64" s="81"/>
      <c r="Q64" s="81"/>
      <c r="R64" s="81"/>
      <c r="S64" s="81"/>
      <c r="T64" s="81"/>
      <c r="U64" s="81"/>
      <c r="V64" s="81"/>
      <c r="W64" s="81"/>
    </row>
    <row r="65" spans="9:23" x14ac:dyDescent="0.25">
      <c r="J65" t="s">
        <v>106</v>
      </c>
      <c r="K65" s="359">
        <v>0</v>
      </c>
      <c r="L65" s="359" t="e">
        <f>L61</f>
        <v>#N/A</v>
      </c>
      <c r="M65" s="359">
        <f>N61</f>
        <v>0</v>
      </c>
      <c r="N65" s="359" t="e">
        <f>P61</f>
        <v>#N/A</v>
      </c>
      <c r="O65" s="359" t="e">
        <f>Q61</f>
        <v>#N/A</v>
      </c>
      <c r="P65" s="16"/>
      <c r="Q65" s="16"/>
      <c r="R65" s="84"/>
      <c r="S65" s="84"/>
      <c r="T65" s="84"/>
      <c r="U65" s="84"/>
      <c r="V65" s="84"/>
      <c r="W65" s="84"/>
    </row>
    <row r="66" spans="9:23" x14ac:dyDescent="0.25">
      <c r="P66" s="81"/>
      <c r="Q66" s="81"/>
      <c r="R66" s="82"/>
      <c r="S66" s="82"/>
      <c r="T66" s="82"/>
      <c r="U66" s="82"/>
      <c r="V66" s="82"/>
      <c r="W66" s="83"/>
    </row>
    <row r="67" spans="9:23" x14ac:dyDescent="0.25">
      <c r="I67" s="497" t="s">
        <v>638</v>
      </c>
      <c r="J67" s="498" t="str">
        <f>Phasing!D29</f>
        <v>D1</v>
      </c>
      <c r="K67" s="498" t="str">
        <f>Phasing!E29</f>
        <v>D2</v>
      </c>
      <c r="L67" s="498" t="str">
        <f>Phasing!F29</f>
        <v>D3</v>
      </c>
      <c r="M67" s="498" t="str">
        <f>Phasing!G29</f>
        <v>D4</v>
      </c>
      <c r="N67" s="498" t="str">
        <f>Phasing!H29</f>
        <v>D5</v>
      </c>
      <c r="O67" s="498" t="str">
        <f>Phasing!I29</f>
        <v>D6</v>
      </c>
      <c r="P67" s="498" t="str">
        <f>Phasing!J29</f>
        <v>D7</v>
      </c>
      <c r="Q67" s="498" t="str">
        <f>Phasing!K29</f>
        <v>D8</v>
      </c>
      <c r="R67" s="77"/>
      <c r="S67" s="77"/>
      <c r="T67" s="77"/>
      <c r="U67" s="77"/>
      <c r="V67" s="77"/>
      <c r="W67" s="77"/>
    </row>
    <row r="68" spans="9:23" x14ac:dyDescent="0.25">
      <c r="I68" s="497" t="s">
        <v>639</v>
      </c>
      <c r="J68" s="498" t="e">
        <f>Phasing!D30</f>
        <v>#N/A</v>
      </c>
      <c r="K68" s="498" t="e">
        <f>Phasing!E30</f>
        <v>#N/A</v>
      </c>
      <c r="L68" s="498" t="e">
        <f>Phasing!F30</f>
        <v>#N/A</v>
      </c>
      <c r="M68" s="498" t="e">
        <f>Phasing!G30</f>
        <v>#N/A</v>
      </c>
      <c r="N68" s="498" t="e">
        <f>Phasing!H30</f>
        <v>#N/A</v>
      </c>
      <c r="O68" s="498" t="e">
        <f>Phasing!I30</f>
        <v>#N/A</v>
      </c>
      <c r="P68" s="498" t="e">
        <f>Phasing!J30</f>
        <v>#N/A</v>
      </c>
      <c r="Q68" s="498" t="e">
        <f>Phasing!K30</f>
        <v>#N/A</v>
      </c>
      <c r="R68" s="77"/>
      <c r="S68" s="77"/>
      <c r="T68" s="77"/>
      <c r="U68" s="77"/>
      <c r="V68" s="77"/>
      <c r="W68" s="77"/>
    </row>
    <row r="69" spans="9:23" x14ac:dyDescent="0.25">
      <c r="I69" s="497" t="s">
        <v>124</v>
      </c>
      <c r="J69" s="498">
        <v>1</v>
      </c>
      <c r="K69" s="498">
        <v>2</v>
      </c>
      <c r="L69" s="498">
        <v>3</v>
      </c>
      <c r="M69" s="498">
        <v>4</v>
      </c>
      <c r="N69" s="498">
        <v>5</v>
      </c>
      <c r="O69" s="498">
        <v>6</v>
      </c>
      <c r="P69" s="498">
        <v>7</v>
      </c>
      <c r="Q69" s="498">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100" t="s">
        <v>204</v>
      </c>
      <c r="T1" s="96"/>
      <c r="AK1" s="96"/>
      <c r="BB1" s="96"/>
    </row>
    <row r="2" spans="2:57" s="62" customFormat="1" x14ac:dyDescent="0.25">
      <c r="B2" s="542" t="s">
        <v>151</v>
      </c>
      <c r="C2" s="542"/>
      <c r="D2" s="542"/>
      <c r="E2" s="542"/>
      <c r="T2" s="542" t="s">
        <v>198</v>
      </c>
      <c r="U2" s="542"/>
      <c r="V2" s="542"/>
      <c r="W2" s="542"/>
      <c r="AK2" s="542" t="s">
        <v>199</v>
      </c>
      <c r="AL2" s="542"/>
      <c r="AM2" s="542"/>
      <c r="AN2" s="542"/>
      <c r="BB2" s="542" t="s">
        <v>200</v>
      </c>
      <c r="BC2" s="542"/>
      <c r="BD2" s="542"/>
      <c r="BE2" s="542"/>
    </row>
    <row r="3" spans="2:57" s="62" customFormat="1" x14ac:dyDescent="0.25"/>
    <row r="4" spans="2:57" s="269" customFormat="1" x14ac:dyDescent="0.25">
      <c r="B4" s="274" t="s">
        <v>152</v>
      </c>
      <c r="C4" s="269" t="s">
        <v>153</v>
      </c>
      <c r="D4" s="269" t="s">
        <v>154</v>
      </c>
      <c r="T4" s="274" t="s">
        <v>152</v>
      </c>
      <c r="U4" s="269" t="s">
        <v>153</v>
      </c>
      <c r="V4" s="269" t="s">
        <v>154</v>
      </c>
      <c r="AK4" s="274" t="s">
        <v>152</v>
      </c>
      <c r="AL4" s="269" t="s">
        <v>153</v>
      </c>
      <c r="AM4" s="269" t="s">
        <v>154</v>
      </c>
      <c r="BB4" s="274" t="s">
        <v>152</v>
      </c>
      <c r="BC4" s="269" t="s">
        <v>153</v>
      </c>
      <c r="BD4" s="269" t="s">
        <v>154</v>
      </c>
    </row>
    <row r="5" spans="2:57" s="62" customFormat="1" x14ac:dyDescent="0.25">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69" customFormat="1" x14ac:dyDescent="0.25">
      <c r="B6" s="269" t="s">
        <v>167</v>
      </c>
      <c r="C6" s="246">
        <f>Sheet1!P5</f>
        <v>0</v>
      </c>
      <c r="D6" s="246">
        <v>1</v>
      </c>
      <c r="T6" s="269" t="s">
        <v>167</v>
      </c>
      <c r="U6" s="246">
        <f>Sheet1!U5</f>
        <v>0</v>
      </c>
      <c r="V6" s="246">
        <v>1</v>
      </c>
      <c r="AK6" s="269" t="s">
        <v>167</v>
      </c>
      <c r="AL6" s="246">
        <f>Sheet1!F5+Sheet1!Y5+Sheet1!AB5</f>
        <v>0</v>
      </c>
      <c r="AM6" s="246">
        <v>1</v>
      </c>
      <c r="BB6" s="269" t="s">
        <v>167</v>
      </c>
      <c r="BC6" s="246">
        <f>Sheet1!K5+Sheet1!AE5+Sheet1!AH5</f>
        <v>0</v>
      </c>
      <c r="BD6" s="246">
        <v>1</v>
      </c>
    </row>
    <row r="7" spans="2:57" s="62" customFormat="1" x14ac:dyDescent="0.25">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69" customFormat="1" x14ac:dyDescent="0.25">
      <c r="B8" s="269" t="s">
        <v>168</v>
      </c>
      <c r="C8" s="246">
        <f>ROUND(IF(C6=0,0,C5/(C6*C7)),0)</f>
        <v>0</v>
      </c>
      <c r="D8" s="246">
        <f>ROUND(IF(C6=0,D5/(D6*D7),0),0)</f>
        <v>0</v>
      </c>
      <c r="T8" s="269" t="s">
        <v>168</v>
      </c>
      <c r="U8" s="246">
        <f>ROUND(IF(U6=0,0,U5/(U6*U7)),0)</f>
        <v>0</v>
      </c>
      <c r="V8" s="246">
        <f>ROUND(IF(U6=0,V5/(V6*V7),0),0)</f>
        <v>0</v>
      </c>
      <c r="AK8" s="269" t="s">
        <v>168</v>
      </c>
      <c r="AL8" s="246">
        <f>ROUND(IF(AL6=0,0,AL5/(AL6*AL7)),0)</f>
        <v>0</v>
      </c>
      <c r="AM8" s="246">
        <f>ROUND(IF(AL6=0,AM5/(AM6*AM7),0),0)</f>
        <v>0</v>
      </c>
      <c r="BB8" s="269" t="s">
        <v>168</v>
      </c>
      <c r="BC8" s="246">
        <f>ROUND(IF(BC6=0,0,BC5/(BC6*BC7)),0)</f>
        <v>0</v>
      </c>
      <c r="BD8" s="246">
        <f>ROUND(IF(BC6=0,BD5/(BD6*BD7),0),0)</f>
        <v>0</v>
      </c>
    </row>
    <row r="9" spans="2:57" s="62" customFormat="1" x14ac:dyDescent="0.25"/>
    <row r="10" spans="2:57" s="269" customFormat="1" x14ac:dyDescent="0.25">
      <c r="B10" s="274" t="s">
        <v>155</v>
      </c>
      <c r="T10" s="274" t="s">
        <v>155</v>
      </c>
      <c r="AK10" s="274" t="s">
        <v>155</v>
      </c>
      <c r="BB10" s="274" t="s">
        <v>155</v>
      </c>
    </row>
    <row r="11" spans="2:57" s="62" customFormat="1" x14ac:dyDescent="0.25">
      <c r="B11" s="62" t="s">
        <v>165</v>
      </c>
      <c r="C11" s="77">
        <f>Sheet1!N4</f>
        <v>0</v>
      </c>
      <c r="T11" s="62" t="s">
        <v>165</v>
      </c>
      <c r="U11" s="77">
        <f>Sheet1!S4</f>
        <v>0</v>
      </c>
      <c r="AK11" s="62" t="s">
        <v>165</v>
      </c>
      <c r="AL11" s="77">
        <f>Sheet1!D4+Sheet1!W4+Sheet1!Z4</f>
        <v>0</v>
      </c>
      <c r="BB11" s="62" t="s">
        <v>165</v>
      </c>
      <c r="BC11" s="77">
        <f>Sheet1!I4+Sheet1!AC4+Sheet1!AF4</f>
        <v>0</v>
      </c>
    </row>
    <row r="12" spans="2:57" s="269" customFormat="1" x14ac:dyDescent="0.25">
      <c r="B12" s="269" t="s">
        <v>169</v>
      </c>
      <c r="C12" s="246">
        <f>SUM(Sheet1!S4:U4)-Sheet1!S4</f>
        <v>0</v>
      </c>
      <c r="T12" s="269" t="s">
        <v>169</v>
      </c>
      <c r="U12" s="246">
        <f>SUM(Sheet1!N4:P4)-Sheet1!N4</f>
        <v>0</v>
      </c>
      <c r="AK12" s="269" t="s">
        <v>169</v>
      </c>
      <c r="AL12" s="246">
        <f>SUM(Sheet1!I4:K4,Sheet1!AC4:AH4)-Sheet1!AF4-Sheet1!AC4-Sheet1!I4</f>
        <v>0</v>
      </c>
      <c r="BB12" s="269" t="s">
        <v>169</v>
      </c>
      <c r="BC12" s="246">
        <f>SUM(Sheet1!D4:F4,Sheet1!W4:AB4)-Sheet1!Z4-Sheet1!W4-Sheet1!D4</f>
        <v>0</v>
      </c>
    </row>
    <row r="13" spans="2:57" s="62" customFormat="1" x14ac:dyDescent="0.25">
      <c r="B13" s="62" t="s">
        <v>170</v>
      </c>
      <c r="C13" s="77">
        <f>Sheet1!N5</f>
        <v>0</v>
      </c>
      <c r="T13" s="62" t="s">
        <v>170</v>
      </c>
      <c r="U13" s="77">
        <f>Sheet1!S5</f>
        <v>0</v>
      </c>
      <c r="AK13" s="62" t="s">
        <v>170</v>
      </c>
      <c r="AL13" s="77">
        <f>Sheet1!D5+Sheet1!W5+Sheet1!Z5</f>
        <v>0</v>
      </c>
      <c r="BB13" s="62" t="s">
        <v>170</v>
      </c>
      <c r="BC13" s="77">
        <f>Sheet1!I5+Sheet1!AC4+Sheet1!AF4</f>
        <v>0</v>
      </c>
    </row>
    <row r="14" spans="2:57" s="269" customFormat="1" x14ac:dyDescent="0.25">
      <c r="B14" s="269" t="s">
        <v>171</v>
      </c>
      <c r="C14" s="246">
        <f>MAX(C18:C21)</f>
        <v>0</v>
      </c>
      <c r="D14" s="325">
        <f>IF(OR('Phase designation'!B22=1,'Phase designation'!B22=3),1,0)</f>
        <v>0</v>
      </c>
      <c r="T14" s="269" t="s">
        <v>171</v>
      </c>
      <c r="U14" s="246">
        <f>MAX(U18:U21)</f>
        <v>0</v>
      </c>
      <c r="V14" s="325">
        <f>IF(OR('Phase designation'!D22=1,'Phase designation'!D22=3),1,0)</f>
        <v>0</v>
      </c>
      <c r="AK14" s="269" t="s">
        <v>171</v>
      </c>
      <c r="AL14" s="246">
        <f>MAX(AL18:AL21)</f>
        <v>0</v>
      </c>
      <c r="AM14" s="325">
        <f>IF(OR('Phase designation'!F22=1,'Phase designation'!F22=3),1,0)</f>
        <v>0</v>
      </c>
      <c r="BB14" s="269" t="s">
        <v>171</v>
      </c>
      <c r="BC14" s="246">
        <f>MAX(BC18:BC21)</f>
        <v>0</v>
      </c>
      <c r="BD14" s="325">
        <f>IF(OR('Phase designation'!H22=1,'Phase designation'!H22=3),1,0)</f>
        <v>0</v>
      </c>
    </row>
    <row r="15" spans="2:57" s="62" customFormat="1" x14ac:dyDescent="0.25">
      <c r="B15" s="543" t="s">
        <v>156</v>
      </c>
      <c r="C15" s="77" t="s">
        <v>173</v>
      </c>
      <c r="D15" s="77" t="s">
        <v>174</v>
      </c>
      <c r="E15" s="77" t="s">
        <v>175</v>
      </c>
      <c r="T15" s="543" t="s">
        <v>156</v>
      </c>
      <c r="U15" s="77" t="s">
        <v>173</v>
      </c>
      <c r="V15" s="77" t="s">
        <v>174</v>
      </c>
      <c r="W15" s="77" t="s">
        <v>175</v>
      </c>
      <c r="AK15" s="543" t="s">
        <v>156</v>
      </c>
      <c r="AL15" s="77" t="s">
        <v>173</v>
      </c>
      <c r="AM15" s="77" t="s">
        <v>174</v>
      </c>
      <c r="AN15" s="77" t="s">
        <v>175</v>
      </c>
      <c r="BB15" s="543" t="s">
        <v>156</v>
      </c>
      <c r="BC15" s="77" t="s">
        <v>173</v>
      </c>
      <c r="BD15" s="77" t="s">
        <v>174</v>
      </c>
      <c r="BE15" s="77" t="s">
        <v>175</v>
      </c>
    </row>
    <row r="16" spans="2:57" s="269" customFormat="1" x14ac:dyDescent="0.25">
      <c r="B16" s="543"/>
      <c r="C16" s="280">
        <v>0</v>
      </c>
      <c r="D16" s="280">
        <f>IF(D14=1,D17,0)</f>
        <v>0</v>
      </c>
      <c r="E16" s="280">
        <f>ROUND(IF(OR(C20&gt;0,C21&gt;0),C11/(C13*C14),0),0)</f>
        <v>0</v>
      </c>
      <c r="T16" s="543"/>
      <c r="U16" s="280">
        <v>0</v>
      </c>
      <c r="V16" s="280">
        <f>IF(V14=1,V17,0)</f>
        <v>0</v>
      </c>
      <c r="W16" s="280">
        <f>ROUND(IF(OR(U20&gt;0,U21&gt;0),U11/(U13*U14),0),0)</f>
        <v>0</v>
      </c>
      <c r="AK16" s="543"/>
      <c r="AL16" s="280">
        <v>0</v>
      </c>
      <c r="AM16" s="280">
        <f>IF(AM14=1,AM17,0)</f>
        <v>0</v>
      </c>
      <c r="AN16" s="280">
        <f>ROUND(IF(OR(AL20&gt;0,AL21&gt;0),AL11/(AL13*AL14),0),0)</f>
        <v>0</v>
      </c>
      <c r="BB16" s="543"/>
      <c r="BC16" s="280">
        <v>0</v>
      </c>
      <c r="BD16" s="280">
        <f>IF(BD14=1,BD17,0)</f>
        <v>0</v>
      </c>
      <c r="BE16" s="280">
        <f>ROUND(IF(OR(BC20&gt;0,BC21&gt;0),BC11/(BC13*BC14),0),0)</f>
        <v>0</v>
      </c>
    </row>
    <row r="17" spans="2:57" s="62" customFormat="1" x14ac:dyDescent="0.25">
      <c r="D17" s="279">
        <f>ROUND(IF(OR(C18&gt;0,C19&gt;0),C11/(C13*C14),0),0)</f>
        <v>0</v>
      </c>
      <c r="V17" s="279">
        <f>ROUND(IF(OR(U18&gt;0,U19&gt;0),U11/(U13*U14),0),0)</f>
        <v>0</v>
      </c>
      <c r="AM17" s="279">
        <f>ROUND(IF(OR(AL18&gt;0,AL19&gt;0),AL11/(AL13*AL14),0),0)</f>
        <v>0</v>
      </c>
      <c r="BD17" s="279">
        <f>ROUND(IF(OR(BC18&gt;0,BC19&gt;0),BC11/(BC13*BC14),0),0)</f>
        <v>0</v>
      </c>
    </row>
    <row r="18" spans="2:57" s="62" customFormat="1" x14ac:dyDescent="0.25">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25">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25">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25">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25"/>
    <row r="23" spans="2:57" s="269" customFormat="1" x14ac:dyDescent="0.25">
      <c r="B23" s="274" t="s">
        <v>172</v>
      </c>
      <c r="C23" s="246" t="s">
        <v>173</v>
      </c>
      <c r="D23" s="246" t="s">
        <v>174</v>
      </c>
      <c r="E23" s="246" t="s">
        <v>175</v>
      </c>
      <c r="T23" s="274" t="s">
        <v>172</v>
      </c>
      <c r="U23" s="246" t="s">
        <v>173</v>
      </c>
      <c r="V23" s="246" t="s">
        <v>174</v>
      </c>
      <c r="W23" s="246" t="s">
        <v>175</v>
      </c>
      <c r="AK23" s="274" t="s">
        <v>172</v>
      </c>
      <c r="AL23" s="246" t="s">
        <v>173</v>
      </c>
      <c r="AM23" s="246" t="s">
        <v>174</v>
      </c>
      <c r="AN23" s="246" t="s">
        <v>175</v>
      </c>
      <c r="BB23" s="274" t="s">
        <v>172</v>
      </c>
      <c r="BC23" s="246" t="s">
        <v>173</v>
      </c>
      <c r="BD23" s="246" t="s">
        <v>174</v>
      </c>
      <c r="BE23" s="246" t="s">
        <v>175</v>
      </c>
    </row>
    <row r="24" spans="2:57" s="62" customFormat="1" x14ac:dyDescent="0.25">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69" customFormat="1" x14ac:dyDescent="0.25">
      <c r="B25" s="269" t="s">
        <v>161</v>
      </c>
      <c r="C25" s="246">
        <v>1</v>
      </c>
      <c r="D25" s="246">
        <v>1</v>
      </c>
      <c r="E25" s="246">
        <v>1</v>
      </c>
      <c r="T25" s="269" t="s">
        <v>161</v>
      </c>
      <c r="U25" s="246">
        <v>1</v>
      </c>
      <c r="V25" s="246">
        <v>1</v>
      </c>
      <c r="W25" s="246">
        <v>1</v>
      </c>
      <c r="AK25" s="269" t="s">
        <v>161</v>
      </c>
      <c r="AL25" s="246">
        <v>1</v>
      </c>
      <c r="AM25" s="246">
        <v>1</v>
      </c>
      <c r="AN25" s="246">
        <v>1</v>
      </c>
      <c r="BB25" s="269" t="s">
        <v>161</v>
      </c>
      <c r="BC25" s="246">
        <v>1</v>
      </c>
      <c r="BD25" s="246">
        <v>1</v>
      </c>
      <c r="BE25" s="246">
        <v>1</v>
      </c>
    </row>
    <row r="26" spans="2:57" s="62" customFormat="1" x14ac:dyDescent="0.25">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69" customFormat="1" x14ac:dyDescent="0.25">
      <c r="B27" s="269" t="s">
        <v>162</v>
      </c>
      <c r="C27" s="246">
        <f>IF(C24=0,0,(D8+C24)/C25)</f>
        <v>0</v>
      </c>
      <c r="D27" s="246">
        <f>IF(D24=0,0,(D8+D24)/D25)</f>
        <v>0</v>
      </c>
      <c r="E27" s="246">
        <f>IF(E24=0,0,(D8+E24+E16)/E25)</f>
        <v>0</v>
      </c>
      <c r="T27" s="269" t="s">
        <v>162</v>
      </c>
      <c r="U27" s="246">
        <f>IF(U24=0,0,(V8+U24)/U25)</f>
        <v>0</v>
      </c>
      <c r="V27" s="246">
        <f>IF(V24=0,0,(V8+V24)/V25)</f>
        <v>0</v>
      </c>
      <c r="W27" s="246">
        <f>IF(W24=0,0,(V8+W24+W16)/W25)</f>
        <v>0</v>
      </c>
      <c r="AK27" s="269" t="s">
        <v>162</v>
      </c>
      <c r="AL27" s="246">
        <f>IF(AL24=0,0,(AM8+AL24)/AL25)</f>
        <v>0</v>
      </c>
      <c r="AM27" s="246">
        <f>IF(AM24=0,0,(AM8+AM24)/AM25)</f>
        <v>0</v>
      </c>
      <c r="AN27" s="246">
        <f>IF(AN24=0,0,(AM8+AN24+AN16)/AN25)</f>
        <v>0</v>
      </c>
      <c r="BB27" s="269" t="s">
        <v>162</v>
      </c>
      <c r="BC27" s="246">
        <f>IF(BC24=0,0,(BD8+BC24)/BC25)</f>
        <v>0</v>
      </c>
      <c r="BD27" s="246">
        <f>IF(BD24=0,0,(BD8+BD24)/BD25)</f>
        <v>0</v>
      </c>
      <c r="BE27" s="246">
        <f>IF(BE24=0,0,(BD8+BE24+BE16)/BE25)</f>
        <v>0</v>
      </c>
    </row>
    <row r="28" spans="2:57" s="62" customFormat="1" x14ac:dyDescent="0.25"/>
    <row r="29" spans="2:57" s="269" customFormat="1" ht="30" customHeight="1" x14ac:dyDescent="0.25">
      <c r="B29" s="281" t="s">
        <v>176</v>
      </c>
      <c r="C29" s="280" t="s">
        <v>173</v>
      </c>
      <c r="D29" s="280" t="s">
        <v>174</v>
      </c>
      <c r="E29" s="280" t="s">
        <v>175</v>
      </c>
      <c r="T29" s="281" t="s">
        <v>176</v>
      </c>
      <c r="U29" s="280" t="s">
        <v>173</v>
      </c>
      <c r="V29" s="280" t="s">
        <v>174</v>
      </c>
      <c r="W29" s="280" t="s">
        <v>175</v>
      </c>
      <c r="AK29" s="281" t="s">
        <v>176</v>
      </c>
      <c r="AL29" s="280" t="s">
        <v>173</v>
      </c>
      <c r="AM29" s="280" t="s">
        <v>174</v>
      </c>
      <c r="AN29" s="280" t="s">
        <v>175</v>
      </c>
      <c r="BB29" s="281" t="s">
        <v>176</v>
      </c>
      <c r="BC29" s="280" t="s">
        <v>173</v>
      </c>
      <c r="BD29" s="280" t="s">
        <v>174</v>
      </c>
      <c r="BE29" s="280" t="s">
        <v>175</v>
      </c>
    </row>
    <row r="30" spans="2:57" s="62" customFormat="1" x14ac:dyDescent="0.25">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69" customFormat="1" ht="30" customHeight="1" x14ac:dyDescent="0.25">
      <c r="B31" s="282" t="s">
        <v>177</v>
      </c>
      <c r="C31" s="280">
        <f>IF(C30=0,0,MAX(C30,C8,E16))</f>
        <v>0</v>
      </c>
      <c r="D31" s="280">
        <f>IF(D30=0,0,MAX(D30,C8,E16))</f>
        <v>0</v>
      </c>
      <c r="E31" s="280">
        <f>IF(E30=0,0,MAX(E30,C8,E16))</f>
        <v>0</v>
      </c>
      <c r="T31" s="282" t="s">
        <v>177</v>
      </c>
      <c r="U31" s="280">
        <f>IF(U30=0,0,MAX(U30,U8,W16))</f>
        <v>0</v>
      </c>
      <c r="V31" s="280">
        <f>IF(V30=0,0,MAX(V30,U8,W16))</f>
        <v>0</v>
      </c>
      <c r="W31" s="280">
        <f>IF(W30=0,0,MAX(W30,U8,W16))</f>
        <v>0</v>
      </c>
      <c r="AK31" s="282" t="s">
        <v>177</v>
      </c>
      <c r="AL31" s="280">
        <f>IF(AL30=0,0,MAX(AL30,AL8,AN16))</f>
        <v>0</v>
      </c>
      <c r="AM31" s="280">
        <f>IF(AM30=0,0,MAX(AM30,AL8,AN16))</f>
        <v>0</v>
      </c>
      <c r="AN31" s="280">
        <f>IF(AN30=0,0,MAX(AN30,AL8,AN16))</f>
        <v>0</v>
      </c>
      <c r="BB31" s="282" t="s">
        <v>177</v>
      </c>
      <c r="BC31" s="280">
        <f>IF(BC30=0,0,MAX(BC30,BC8,BE16))</f>
        <v>0</v>
      </c>
      <c r="BD31" s="280">
        <f>IF(BD30=0,0,MAX(BD30,BC8,BE16))</f>
        <v>0</v>
      </c>
      <c r="BE31" s="280">
        <f>IF(BE30=0,0,MAX(BE30,BC8,BE16))</f>
        <v>0</v>
      </c>
    </row>
    <row r="32" spans="2:57" s="62" customFormat="1" x14ac:dyDescent="0.25"/>
    <row r="33" spans="2:69" s="269" customFormat="1" ht="30" customHeight="1" x14ac:dyDescent="0.25">
      <c r="B33" s="281" t="s">
        <v>197</v>
      </c>
      <c r="C33" s="280" t="s">
        <v>173</v>
      </c>
      <c r="D33" s="280" t="s">
        <v>174</v>
      </c>
      <c r="E33" s="280" t="s">
        <v>175</v>
      </c>
      <c r="T33" s="281" t="s">
        <v>197</v>
      </c>
      <c r="U33" s="280" t="s">
        <v>173</v>
      </c>
      <c r="V33" s="280" t="s">
        <v>174</v>
      </c>
      <c r="W33" s="280" t="s">
        <v>175</v>
      </c>
      <c r="AK33" s="281" t="s">
        <v>197</v>
      </c>
      <c r="AL33" s="280" t="s">
        <v>173</v>
      </c>
      <c r="AM33" s="280" t="s">
        <v>174</v>
      </c>
      <c r="AN33" s="280" t="s">
        <v>175</v>
      </c>
      <c r="BB33" s="281" t="s">
        <v>197</v>
      </c>
      <c r="BC33" s="280" t="s">
        <v>173</v>
      </c>
      <c r="BD33" s="280" t="s">
        <v>174</v>
      </c>
      <c r="BE33" s="280" t="s">
        <v>175</v>
      </c>
    </row>
    <row r="34" spans="2:69" s="62" customFormat="1" x14ac:dyDescent="0.25">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69" customFormat="1" x14ac:dyDescent="0.25">
      <c r="B35" s="269" t="s">
        <v>181</v>
      </c>
      <c r="C35" s="246">
        <f>IF(Sheet1!O6=0,INDEX(C42:Q43,2,C44+1),INDEX(C42:Q43,1,C44+1))</f>
        <v>1.3</v>
      </c>
      <c r="D35" s="246">
        <v>0</v>
      </c>
      <c r="E35" s="246">
        <v>0</v>
      </c>
      <c r="T35" s="269" t="s">
        <v>181</v>
      </c>
      <c r="U35" s="246">
        <f>IF(Sheet1!T6=0,INDEX(U42:AI43,2,U44+1),INDEX(U42:AI43,1,U44+1))</f>
        <v>1.3</v>
      </c>
      <c r="V35" s="246">
        <v>0</v>
      </c>
      <c r="W35" s="246">
        <v>0</v>
      </c>
      <c r="AK35" s="269" t="s">
        <v>181</v>
      </c>
      <c r="AL35" s="246">
        <f>IF(Sheet1!E6=0,INDEX(AL42:AZ43,2,AL44+1),INDEX(AL42:AZ43,1,AL44+1))</f>
        <v>1.3</v>
      </c>
      <c r="AM35" s="246">
        <v>0</v>
      </c>
      <c r="AN35" s="246">
        <v>0</v>
      </c>
      <c r="BB35" s="269" t="s">
        <v>181</v>
      </c>
      <c r="BC35" s="246">
        <f>IF(Sheet1!J6=0,INDEX(BC42:BQ43,2,BC44+1),INDEX(BC42:BQ43,1,BC44+1))</f>
        <v>1.3</v>
      </c>
      <c r="BD35" s="246">
        <v>0</v>
      </c>
      <c r="BE35" s="246">
        <v>0</v>
      </c>
    </row>
    <row r="36" spans="2:69" s="62" customFormat="1" x14ac:dyDescent="0.25">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69" customFormat="1" x14ac:dyDescent="0.25">
      <c r="B37" s="269" t="s">
        <v>178</v>
      </c>
      <c r="C37" s="246">
        <f>IF(C36=1,0,C27/(C26*C36))</f>
        <v>0</v>
      </c>
      <c r="D37" s="246">
        <f>IF(D36=1,0,D27/(D26*D36))</f>
        <v>0</v>
      </c>
      <c r="E37" s="246">
        <f>IF(E36=1,0,E27/(E26*E36))</f>
        <v>0</v>
      </c>
      <c r="T37" s="269" t="s">
        <v>178</v>
      </c>
      <c r="U37" s="246">
        <f>IF(U36=1,0,U27/(U26*U36))</f>
        <v>0</v>
      </c>
      <c r="V37" s="246">
        <f>IF(V36=1,0,V27/(V26*V36))</f>
        <v>0</v>
      </c>
      <c r="W37" s="246">
        <f>IF(W36=1,0,W27/(W26*W36))</f>
        <v>0</v>
      </c>
      <c r="AK37" s="269" t="s">
        <v>178</v>
      </c>
      <c r="AL37" s="246">
        <f>IF(AL36=1,0,AL27/(AL26*AL36))</f>
        <v>0</v>
      </c>
      <c r="AM37" s="246">
        <f>IF(AM36=1,0,AM27/(AM26*AM36))</f>
        <v>0</v>
      </c>
      <c r="AN37" s="246">
        <f>IF(AN36=1,0,AN27/(AN26*AN36))</f>
        <v>0</v>
      </c>
      <c r="BB37" s="269" t="s">
        <v>178</v>
      </c>
      <c r="BC37" s="246">
        <f>IF(BC36=1,0,BC27/(BC26*BC36))</f>
        <v>0</v>
      </c>
      <c r="BD37" s="246">
        <f>IF(BD36=1,0,BD27/(BD26*BD36))</f>
        <v>0</v>
      </c>
      <c r="BE37" s="246">
        <f>IF(BE36=1,0,BE27/(BE26*BE36))</f>
        <v>0</v>
      </c>
    </row>
    <row r="38" spans="2:69" s="62" customFormat="1" ht="30" customHeight="1" x14ac:dyDescent="0.25">
      <c r="B38" s="277" t="s">
        <v>179</v>
      </c>
      <c r="C38" s="276">
        <f>IF(C37=0,0,MAX($C$8,C37))</f>
        <v>0</v>
      </c>
      <c r="D38" s="276">
        <f>IF(D37=0,0,MAX($C$8,D37))</f>
        <v>0</v>
      </c>
      <c r="E38" s="276">
        <f>IF(E37=0,0,MAX($C$8,E37))</f>
        <v>0</v>
      </c>
      <c r="T38" s="277" t="s">
        <v>179</v>
      </c>
      <c r="U38" s="276">
        <f>IF(U37=0,0,MAX($C$8,U37))</f>
        <v>0</v>
      </c>
      <c r="V38" s="276">
        <f>IF(V37=0,0,MAX($C$8,V37))</f>
        <v>0</v>
      </c>
      <c r="W38" s="276">
        <f>IF(W37=0,0,MAX($C$8,W37))</f>
        <v>0</v>
      </c>
      <c r="AK38" s="277" t="s">
        <v>179</v>
      </c>
      <c r="AL38" s="276">
        <f>IF(AL37=0,0,MAX($C$8,AL37))</f>
        <v>0</v>
      </c>
      <c r="AM38" s="276">
        <f>IF(AM37=0,0,MAX($C$8,AM37))</f>
        <v>0</v>
      </c>
      <c r="AN38" s="276">
        <f>IF(AN37=0,0,MAX($C$8,AN37))</f>
        <v>0</v>
      </c>
      <c r="BB38" s="277" t="s">
        <v>179</v>
      </c>
      <c r="BC38" s="276">
        <f>IF(BC37=0,0,MAX($C$8,BC37))</f>
        <v>0</v>
      </c>
      <c r="BD38" s="276">
        <f>IF(BD37=0,0,MAX($C$8,BD37))</f>
        <v>0</v>
      </c>
      <c r="BE38" s="276">
        <f>IF(BE37=0,0,MAX($C$8,BE37))</f>
        <v>0</v>
      </c>
    </row>
    <row r="39" spans="2:69" s="269" customFormat="1" x14ac:dyDescent="0.25"/>
    <row r="40" spans="2:69" s="62" customFormat="1" hidden="1" x14ac:dyDescent="0.25">
      <c r="C40" s="544" t="s">
        <v>184</v>
      </c>
      <c r="D40" s="544"/>
      <c r="E40" s="544"/>
      <c r="F40" s="544"/>
      <c r="G40" s="544"/>
      <c r="H40" s="544"/>
      <c r="I40" s="544"/>
      <c r="U40" s="544" t="s">
        <v>184</v>
      </c>
      <c r="V40" s="544"/>
      <c r="W40" s="544"/>
      <c r="X40" s="544"/>
      <c r="Y40" s="544"/>
      <c r="Z40" s="544"/>
      <c r="AA40" s="544"/>
      <c r="AL40" s="544" t="s">
        <v>184</v>
      </c>
      <c r="AM40" s="544"/>
      <c r="AN40" s="544"/>
      <c r="AO40" s="544"/>
      <c r="AP40" s="544"/>
      <c r="AQ40" s="544"/>
      <c r="AR40" s="544"/>
      <c r="BC40" s="544" t="s">
        <v>184</v>
      </c>
      <c r="BD40" s="544"/>
      <c r="BE40" s="544"/>
      <c r="BF40" s="544"/>
      <c r="BG40" s="544"/>
      <c r="BH40" s="544"/>
      <c r="BI40" s="544"/>
    </row>
    <row r="41" spans="2:69" s="62" customFormat="1" hidden="1" x14ac:dyDescent="0.25">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25">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25">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25">
      <c r="C44" s="279">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79">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79">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79">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25">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25">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25"/>
    <row r="48" spans="2:69" s="62" customFormat="1" hidden="1" x14ac:dyDescent="0.25">
      <c r="B48" s="543" t="s">
        <v>192</v>
      </c>
      <c r="C48" s="62" t="s">
        <v>189</v>
      </c>
      <c r="D48" s="62">
        <f>IF(C13&gt;=2,((C26-1)+EXP(-1*C26*C11*C35/600))/C26,0)</f>
        <v>0</v>
      </c>
      <c r="T48" s="543" t="s">
        <v>192</v>
      </c>
      <c r="U48" s="62" t="s">
        <v>189</v>
      </c>
      <c r="V48" s="62">
        <f>IF(U13&gt;=2,((U26-1)+EXP(-1*U26*U11*U35/600))/U26,0)</f>
        <v>0</v>
      </c>
      <c r="AK48" s="543" t="s">
        <v>192</v>
      </c>
      <c r="AL48" s="62" t="s">
        <v>189</v>
      </c>
      <c r="AM48" s="62">
        <f>IF(AL13&gt;=2,((AL26-1)+EXP(-1*AL26*AL11*AL35/600))/AL26,0)</f>
        <v>0</v>
      </c>
      <c r="BB48" s="543" t="s">
        <v>192</v>
      </c>
      <c r="BC48" s="62" t="s">
        <v>189</v>
      </c>
      <c r="BD48" s="62">
        <f>IF(BC13&gt;=2,((BC26-1)+EXP(-1*BC26*BC11*BC35/600))/BC26,0)</f>
        <v>0</v>
      </c>
    </row>
    <row r="49" spans="2:57" s="62" customFormat="1" hidden="1" x14ac:dyDescent="0.25">
      <c r="B49" s="543"/>
      <c r="C49" s="62" t="s">
        <v>190</v>
      </c>
      <c r="D49" s="62">
        <f>IF(SUM(Sheet1!N5:P5)=1,EXP(-0.02*(C35+10*C34)*C11*0.0444),0)</f>
        <v>0</v>
      </c>
      <c r="E49" s="62" t="e">
        <f>IF('Phase designation'!B22=2,MAX('Lane volumes'!D48:D50),1)</f>
        <v>#DIV/0!</v>
      </c>
      <c r="T49" s="543"/>
      <c r="U49" s="62" t="s">
        <v>190</v>
      </c>
      <c r="V49" s="62">
        <f>IF(SUM(Sheet1!S5:U5)=1,EXP(-0.02*(U35+10*U34)*U11*0.0444),0)</f>
        <v>0</v>
      </c>
      <c r="W49" s="62">
        <f>IF('Phase designation'!T22=2,MAX('Lane volumes'!V48:V50),1)</f>
        <v>1</v>
      </c>
      <c r="AK49" s="543"/>
      <c r="AL49" s="62" t="s">
        <v>190</v>
      </c>
      <c r="AM49" s="62">
        <f>IF(SUM(Sheet1!D5:F5)=1,EXP(-0.02*(AL35+10*AL34)*AL11*0.0444),0)</f>
        <v>0</v>
      </c>
      <c r="AN49" s="62" t="e">
        <f>IF('Phase designation'!F22=2,MAX('Lane volumes'!AM48:AM50),1)</f>
        <v>#DIV/0!</v>
      </c>
      <c r="BB49" s="543"/>
      <c r="BC49" s="62" t="s">
        <v>190</v>
      </c>
      <c r="BD49" s="62">
        <f>IF(SUM(Sheet1!I5:K5)=1,EXP(-0.02*(BC35+10*BC34)*BC11*0.0444),0)</f>
        <v>0</v>
      </c>
      <c r="BE49" s="62" t="e">
        <f>IF('Phase designation'!H22=2,MAX('Lane volumes'!BD48:BD50),1)</f>
        <v>#DIV/0!</v>
      </c>
    </row>
    <row r="50" spans="2:57" s="62" customFormat="1" hidden="1" x14ac:dyDescent="0.25">
      <c r="B50" s="543"/>
      <c r="C50" s="62" t="s">
        <v>191</v>
      </c>
      <c r="D50" s="62" t="e">
        <f>((C26-1)+EXP(-1*C11*0.0444))/C26</f>
        <v>#DIV/0!</v>
      </c>
      <c r="T50" s="543"/>
      <c r="U50" s="62" t="s">
        <v>191</v>
      </c>
      <c r="V50" s="62" t="e">
        <f>((U26-1)+EXP(-1*U11*0.0444))/U26</f>
        <v>#DIV/0!</v>
      </c>
      <c r="AK50" s="543"/>
      <c r="AL50" s="62" t="s">
        <v>191</v>
      </c>
      <c r="AM50" s="62" t="e">
        <f>((AL26-1)+EXP(-1*AL11*0.0444))/AL26</f>
        <v>#DIV/0!</v>
      </c>
      <c r="BB50" s="543"/>
      <c r="BC50" s="62" t="s">
        <v>191</v>
      </c>
      <c r="BD50" s="62" t="e">
        <f>((BC26-1)+EXP(-1*BC11*0.0444))/BC26</f>
        <v>#DIV/0!</v>
      </c>
    </row>
    <row r="51" spans="2:57" s="62" customFormat="1" hidden="1" x14ac:dyDescent="0.25"/>
    <row r="52" spans="2:57" s="62" customFormat="1" hidden="1" x14ac:dyDescent="0.25">
      <c r="B52" s="543" t="s">
        <v>194</v>
      </c>
      <c r="C52" s="62" t="s">
        <v>195</v>
      </c>
      <c r="D52" s="62">
        <f>IF(C12&lt;1220,1/(1+(C34*(235+0.435*C12)/(1400-C12))),0)</f>
        <v>1</v>
      </c>
      <c r="E52" s="62">
        <f>IF('Phase designation'!B22=3,MAX('Lane volumes'!D52:D53),1)</f>
        <v>1</v>
      </c>
      <c r="T52" s="543" t="s">
        <v>194</v>
      </c>
      <c r="U52" s="62" t="s">
        <v>195</v>
      </c>
      <c r="V52" s="62">
        <f>IF(U12&lt;1220,1/(1+(U34*(235+0.435*U12)/(1400-U12))),0)</f>
        <v>1</v>
      </c>
      <c r="W52" s="62">
        <f>IF('Phase designation'!T22=3,MAX('Lane volumes'!V52:V53),1)</f>
        <v>1</v>
      </c>
      <c r="AK52" s="543" t="s">
        <v>194</v>
      </c>
      <c r="AL52" s="62" t="s">
        <v>195</v>
      </c>
      <c r="AM52" s="62">
        <f>IF(AL12&lt;1220,1/(1+(AL34*(235+0.435*AL12)/(1400-AL12))),0)</f>
        <v>1</v>
      </c>
      <c r="AN52" s="62">
        <f>IF('Phase designation'!F22=3,MAX('Lane volumes'!AM52:AM53),1)</f>
        <v>1</v>
      </c>
      <c r="BB52" s="543" t="s">
        <v>194</v>
      </c>
      <c r="BC52" s="62" t="s">
        <v>195</v>
      </c>
      <c r="BD52" s="62">
        <f>IF(BC12&lt;1220,1/(1+(BC34*(235+0.435*BC12)/(1400-BC12))),0)</f>
        <v>1</v>
      </c>
      <c r="BE52" s="62">
        <f>IF('Phase designation'!H22=3,MAX('Lane volumes'!BD52:BD53),1)</f>
        <v>1</v>
      </c>
    </row>
    <row r="53" spans="2:57" s="62" customFormat="1" hidden="1" x14ac:dyDescent="0.25">
      <c r="B53" s="543"/>
      <c r="C53" s="62" t="s">
        <v>196</v>
      </c>
      <c r="D53" s="62">
        <f>IF(C12&gt;=1220,1/(1+4.525*C34),0)</f>
        <v>0</v>
      </c>
      <c r="T53" s="543"/>
      <c r="U53" s="62" t="s">
        <v>196</v>
      </c>
      <c r="V53" s="62">
        <f>IF(U12&gt;=1220,1/(1+4.525*U34),0)</f>
        <v>0</v>
      </c>
      <c r="AK53" s="543"/>
      <c r="AL53" s="62" t="s">
        <v>196</v>
      </c>
      <c r="AM53" s="62">
        <f>IF(AL12&gt;=1220,1/(1+4.525*AL34),0)</f>
        <v>0</v>
      </c>
      <c r="BB53" s="543"/>
      <c r="BC53" s="62" t="s">
        <v>196</v>
      </c>
      <c r="BD53" s="62">
        <f>IF(BC12&gt;=1220,1/(1+4.525*BC34),0)</f>
        <v>0</v>
      </c>
    </row>
    <row r="54" spans="2:57" s="62" customFormat="1" hidden="1" x14ac:dyDescent="0.25"/>
    <row r="55" spans="2:57" s="62" customFormat="1" hidden="1" x14ac:dyDescent="0.25"/>
    <row r="56" spans="2:57" s="62" customFormat="1" hidden="1" x14ac:dyDescent="0.25">
      <c r="B56" s="317" t="s">
        <v>358</v>
      </c>
      <c r="C56" s="309">
        <f>IF(Sheet1!N4&gt;0,ROUND(Sheet1!N4/SUM(Sheet1!N4:P4),2),0)</f>
        <v>0</v>
      </c>
      <c r="D56" s="62">
        <f>IF(C13=0,0,1)</f>
        <v>0</v>
      </c>
      <c r="T56" s="317" t="s">
        <v>358</v>
      </c>
      <c r="U56" s="309">
        <f>IF(Sheet1!S4&gt;0,ROUND(Sheet1!S4/SUM(Sheet1!S4:U4),2),0)</f>
        <v>0</v>
      </c>
      <c r="V56" s="62">
        <f>IF(U13=0,U560,1)</f>
        <v>0</v>
      </c>
      <c r="AK56" s="317" t="s">
        <v>358</v>
      </c>
      <c r="AL56" s="309">
        <f>IF((Sheet1!D4+Sheet1!W4+Sheet1!Z4)&gt;0,ROUND((Sheet1!D4+Sheet1!W4+Sheet1!Z4)/SUM(Sheet1!D4:F4,Sheet1!W4:AB4),2),0)</f>
        <v>0</v>
      </c>
      <c r="AM56" s="62">
        <f>IF(AL13=0,AL560,1)</f>
        <v>0</v>
      </c>
      <c r="BB56" s="317" t="s">
        <v>358</v>
      </c>
      <c r="BC56" s="309">
        <f>IF((Sheet1!I4+Sheet1!AC4+Sheet1!AF4)&gt;0,ROUND((Sheet1!I4+Sheet1!AC4+Sheet1!AF4)/SUM(Sheet1!I4:K4,Sheet1!AC4:AE4,Sheet1!AF4:AH4),2),0)</f>
        <v>0</v>
      </c>
      <c r="BD56" s="62">
        <f>IF(BC13=0,BC560,1)</f>
        <v>0</v>
      </c>
    </row>
    <row r="57" spans="2:57" s="62" customFormat="1" hidden="1" x14ac:dyDescent="0.25">
      <c r="B57" s="317" t="s">
        <v>359</v>
      </c>
      <c r="C57" s="309">
        <f>IF(Sheet1!N4&gt;0,ROUND(Sheet1!N4/SUM(Sheet1!N4:P4),2),0)</f>
        <v>0</v>
      </c>
      <c r="D57" s="62">
        <f>IF(C13=0,C57,0)</f>
        <v>0</v>
      </c>
      <c r="T57" s="317" t="s">
        <v>359</v>
      </c>
      <c r="U57" s="309">
        <f>IF(Sheet1!S4&gt;0,ROUND(Sheet1!S4/SUM(Sheet1!S4:U4),2),0)</f>
        <v>0</v>
      </c>
      <c r="V57" s="62">
        <f>IF(U13=0,U57,0)</f>
        <v>0</v>
      </c>
      <c r="AK57" s="317" t="s">
        <v>359</v>
      </c>
      <c r="AL57" s="309">
        <f>IF((Sheet1!D4+Sheet1!W4+Sheet1!Z4)&gt;0,ROUND((Sheet1!D4+Sheet1!W4+Sheet1!Z4)/SUM(Sheet1!D4:F4,Sheet1!W4:AB4),2),0)</f>
        <v>0</v>
      </c>
      <c r="AM57" s="62">
        <f>IF(AL13=0,AL57,0)</f>
        <v>0</v>
      </c>
      <c r="BB57" s="317" t="s">
        <v>359</v>
      </c>
      <c r="BC57" s="309">
        <f>IF((Sheet1!I4+Sheet1!AC4+Sheet1!AF4)&gt;0,ROUND((Sheet1!I4+Sheet1!AC4+Sheet1!AF4)/SUM(Sheet1!I4:K4,Sheet1!AC4:AE4,Sheet1!AF4:AH4),2),0)</f>
        <v>0</v>
      </c>
      <c r="BD57" s="62">
        <f>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78"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60" width="9.140625" style="3" hidden="1" customWidth="1"/>
    <col min="61" max="61" width="7.7109375" style="3" customWidth="1"/>
    <col min="62" max="62" width="8.28515625" style="3" customWidth="1"/>
    <col min="63" max="63" width="20.5703125" style="414" bestFit="1" customWidth="1"/>
    <col min="64" max="16384" width="9.140625" style="3"/>
  </cols>
  <sheetData>
    <row r="1" spans="2:76" x14ac:dyDescent="0.25">
      <c r="B1" s="537" t="s">
        <v>204</v>
      </c>
      <c r="C1" s="537"/>
      <c r="D1" s="537"/>
      <c r="E1" s="234"/>
      <c r="Q1" s="101"/>
      <c r="R1" s="101"/>
      <c r="S1" s="101"/>
      <c r="T1" s="101"/>
      <c r="U1" s="101"/>
      <c r="V1" s="101"/>
      <c r="Y1" s="516" t="s">
        <v>373</v>
      </c>
      <c r="Z1" s="516"/>
      <c r="AA1" s="516"/>
      <c r="AB1" s="516"/>
      <c r="AC1" s="516"/>
      <c r="BI1" s="467"/>
      <c r="BJ1" s="467"/>
      <c r="BK1" s="467"/>
      <c r="BL1" s="467"/>
      <c r="BM1" s="467"/>
      <c r="BN1" s="467"/>
      <c r="BO1" s="467"/>
      <c r="BP1" s="467"/>
      <c r="BQ1" s="467"/>
      <c r="BR1" s="467"/>
      <c r="BS1" s="467"/>
      <c r="BT1" s="467"/>
      <c r="BU1" s="467"/>
      <c r="BV1" s="467"/>
      <c r="BW1" s="467"/>
      <c r="BX1" s="467"/>
    </row>
    <row r="2" spans="2:76" x14ac:dyDescent="0.25">
      <c r="B2" s="243" t="s">
        <v>73</v>
      </c>
      <c r="C2" s="244" t="s">
        <v>13</v>
      </c>
      <c r="D2" s="245" t="s">
        <v>14</v>
      </c>
      <c r="E2" s="501" t="s">
        <v>15</v>
      </c>
      <c r="F2" s="244" t="s">
        <v>18</v>
      </c>
      <c r="G2" s="245" t="s">
        <v>19</v>
      </c>
      <c r="H2" s="501" t="s">
        <v>20</v>
      </c>
      <c r="I2" s="244" t="s">
        <v>3</v>
      </c>
      <c r="J2" s="245" t="s">
        <v>4</v>
      </c>
      <c r="K2" s="501" t="s">
        <v>5</v>
      </c>
      <c r="L2" s="245" t="s">
        <v>8</v>
      </c>
      <c r="M2" s="245" t="s">
        <v>9</v>
      </c>
      <c r="N2" s="311" t="s">
        <v>10</v>
      </c>
      <c r="O2" s="499"/>
      <c r="Q2" s="10"/>
      <c r="R2" s="112" t="s">
        <v>205</v>
      </c>
      <c r="S2" s="113">
        <f>'Input sheet'!V3</f>
        <v>1900</v>
      </c>
      <c r="T2" s="101"/>
      <c r="U2" s="10"/>
      <c r="V2" s="10"/>
      <c r="W2" s="5"/>
      <c r="X2" s="304"/>
      <c r="Y2" s="376" t="s">
        <v>372</v>
      </c>
      <c r="Z2" s="318" t="s">
        <v>360</v>
      </c>
      <c r="AA2" s="318" t="s">
        <v>361</v>
      </c>
      <c r="AB2" s="318" t="s">
        <v>362</v>
      </c>
      <c r="AC2" s="318" t="s">
        <v>363</v>
      </c>
      <c r="AD2" s="376" t="s">
        <v>372</v>
      </c>
      <c r="AE2" s="374" t="s">
        <v>381</v>
      </c>
      <c r="AF2" s="322" t="s">
        <v>382</v>
      </c>
      <c r="AH2" s="241" t="s">
        <v>381</v>
      </c>
      <c r="AI2" s="78" t="s">
        <v>385</v>
      </c>
      <c r="AJ2" s="78" t="s">
        <v>124</v>
      </c>
      <c r="AN2" s="77" t="s">
        <v>386</v>
      </c>
      <c r="AO2" s="77" t="s">
        <v>124</v>
      </c>
      <c r="AS2" s="77" t="s">
        <v>387</v>
      </c>
      <c r="AT2" s="77" t="s">
        <v>124</v>
      </c>
      <c r="BI2" s="467" t="s">
        <v>297</v>
      </c>
      <c r="BJ2" s="467" t="s">
        <v>469</v>
      </c>
      <c r="BK2" s="467"/>
      <c r="BL2" s="467" t="s">
        <v>528</v>
      </c>
      <c r="BM2" s="467" t="s">
        <v>529</v>
      </c>
      <c r="BN2" s="467" t="s">
        <v>530</v>
      </c>
      <c r="BO2" s="467" t="s">
        <v>531</v>
      </c>
      <c r="BP2" s="467" t="s">
        <v>532</v>
      </c>
      <c r="BQ2" s="467" t="s">
        <v>533</v>
      </c>
      <c r="BR2" s="467" t="s">
        <v>534</v>
      </c>
      <c r="BS2" s="467" t="s">
        <v>535</v>
      </c>
      <c r="BT2" s="467" t="s">
        <v>536</v>
      </c>
      <c r="BU2" s="467" t="s">
        <v>537</v>
      </c>
      <c r="BV2" s="467" t="s">
        <v>538</v>
      </c>
      <c r="BW2" s="467" t="s">
        <v>539</v>
      </c>
      <c r="BX2" s="467"/>
    </row>
    <row r="3" spans="2:76" x14ac:dyDescent="0.25">
      <c r="B3" s="87" t="s">
        <v>74</v>
      </c>
      <c r="C3" s="454">
        <f>IF(SUM(C6:E6=0),0,'Phase designation'!B3)</f>
        <v>0</v>
      </c>
      <c r="D3" s="454">
        <f>'Phase designation'!C3</f>
        <v>0</v>
      </c>
      <c r="E3" s="455">
        <f>IF(SUM('Phase designation'!B19:H19)&gt;2,0,Sheet1!P4)</f>
        <v>0</v>
      </c>
      <c r="F3" s="454">
        <f>IF(SUM(F6:H6=0),0,'Phase designation'!D3)</f>
        <v>0</v>
      </c>
      <c r="G3" s="454">
        <f>'Phase designation'!E3</f>
        <v>0</v>
      </c>
      <c r="H3" s="455">
        <f>IF(SUM('Phase designation'!B19:H19)&gt;2,0,Sheet1!U4)</f>
        <v>0</v>
      </c>
      <c r="I3" s="454">
        <f>IF(SUM(I6:K6)=0,0,'Phase designation'!F3)</f>
        <v>0</v>
      </c>
      <c r="J3" s="454">
        <f>'Phase designation'!G3</f>
        <v>0</v>
      </c>
      <c r="K3" s="455">
        <f>IF(SUM('Phase designation'!B19:H19)&gt;2,0,Sheet1!F4+Sheet1!Y4+Sheet1!AB4)</f>
        <v>0</v>
      </c>
      <c r="L3" s="454">
        <f>IF(SUM(L6:N6)=0,0,'Phase designation'!H3)</f>
        <v>0</v>
      </c>
      <c r="M3" s="454">
        <f>'Phase designation'!I3</f>
        <v>0</v>
      </c>
      <c r="N3" s="455">
        <f>IF(SUM('Phase designation'!B19:H19)&gt;2,0,Sheet1!K4+Sheet1!AE4+Sheet1!AH4)</f>
        <v>0</v>
      </c>
      <c r="O3" s="499">
        <f>SUM(C3:N3)</f>
        <v>0</v>
      </c>
      <c r="Q3" s="10"/>
      <c r="R3" s="112" t="s">
        <v>206</v>
      </c>
      <c r="S3" s="113">
        <f>'Input sheet'!V5</f>
        <v>7</v>
      </c>
      <c r="T3" s="10"/>
      <c r="U3" s="10"/>
      <c r="V3" s="10"/>
      <c r="W3" s="5"/>
      <c r="Y3" s="377" t="s">
        <v>364</v>
      </c>
      <c r="Z3" s="168" t="s">
        <v>83</v>
      </c>
      <c r="AA3" s="168" t="s">
        <v>83</v>
      </c>
      <c r="AB3" s="168" t="s">
        <v>83</v>
      </c>
      <c r="AC3" s="168" t="s">
        <v>83</v>
      </c>
      <c r="AD3" s="377" t="s">
        <v>364</v>
      </c>
      <c r="AE3" s="372" t="str">
        <f>Z3&amp;" "&amp;AA3</f>
        <v>Permitted Permitted</v>
      </c>
      <c r="AF3" s="373" t="str">
        <f>AB3&amp;" "&amp;AC3</f>
        <v>Permitted Permitted</v>
      </c>
      <c r="AI3" s="78" t="s">
        <v>372</v>
      </c>
      <c r="AJ3" s="78">
        <v>1</v>
      </c>
      <c r="AK3" s="77">
        <v>2</v>
      </c>
      <c r="AL3" s="77">
        <v>3</v>
      </c>
      <c r="AN3" s="77" t="s">
        <v>372</v>
      </c>
      <c r="AO3" s="77">
        <v>1</v>
      </c>
      <c r="AP3" s="77">
        <v>2</v>
      </c>
      <c r="AQ3" s="77">
        <v>3</v>
      </c>
      <c r="AS3" s="77" t="s">
        <v>372</v>
      </c>
      <c r="AT3" s="77">
        <v>1</v>
      </c>
      <c r="AU3" s="77">
        <v>2</v>
      </c>
      <c r="AV3" s="77">
        <v>3</v>
      </c>
      <c r="BI3" s="467">
        <f>MAX(F24,'Input sheet'!V8)</f>
        <v>40</v>
      </c>
      <c r="BJ3" s="467">
        <f>'Input sheet'!V9</f>
        <v>150</v>
      </c>
      <c r="BK3" s="467"/>
      <c r="BL3" s="468">
        <f>BI3</f>
        <v>40</v>
      </c>
      <c r="BM3" s="468">
        <f>IF(BI3+10&lt;=$BJ$3,BI3+10,0)</f>
        <v>50</v>
      </c>
      <c r="BN3" s="468">
        <f>IF(BM3=0,0,IF(BM3+10&lt;=$BJ$3,BM3+10,0))</f>
        <v>60</v>
      </c>
      <c r="BO3" s="468">
        <f t="shared" ref="BO3:BW3" si="0">IF(BN3=0,0,IF(BN3+10&lt;=$BJ$3,BN3+10,0))</f>
        <v>70</v>
      </c>
      <c r="BP3" s="468">
        <f t="shared" si="0"/>
        <v>80</v>
      </c>
      <c r="BQ3" s="468">
        <f t="shared" si="0"/>
        <v>90</v>
      </c>
      <c r="BR3" s="468">
        <f t="shared" si="0"/>
        <v>100</v>
      </c>
      <c r="BS3" s="468">
        <f t="shared" si="0"/>
        <v>110</v>
      </c>
      <c r="BT3" s="468">
        <f t="shared" si="0"/>
        <v>120</v>
      </c>
      <c r="BU3" s="468">
        <f t="shared" si="0"/>
        <v>130</v>
      </c>
      <c r="BV3" s="468">
        <f t="shared" si="0"/>
        <v>140</v>
      </c>
      <c r="BW3" s="468">
        <f t="shared" si="0"/>
        <v>150</v>
      </c>
      <c r="BX3" s="467"/>
    </row>
    <row r="4" spans="2:76" x14ac:dyDescent="0.25">
      <c r="B4" s="246" t="s">
        <v>122</v>
      </c>
      <c r="C4" s="310">
        <f>Sheet1!N31</f>
        <v>0.92</v>
      </c>
      <c r="D4" s="311">
        <f>Sheet1!O31</f>
        <v>0.92</v>
      </c>
      <c r="E4" s="311">
        <f>D4</f>
        <v>0.92</v>
      </c>
      <c r="F4" s="310">
        <f>Sheet1!S31</f>
        <v>0.92</v>
      </c>
      <c r="G4" s="311">
        <f>Sheet1!T31</f>
        <v>0.92</v>
      </c>
      <c r="H4" s="311">
        <f>G4</f>
        <v>0.92</v>
      </c>
      <c r="I4" s="310">
        <f>Sheet1!D31</f>
        <v>0.92</v>
      </c>
      <c r="J4" s="311">
        <f>Sheet1!E31</f>
        <v>0.92</v>
      </c>
      <c r="K4" s="311">
        <f>J4</f>
        <v>0.92</v>
      </c>
      <c r="L4" s="310">
        <f>Sheet1!I31</f>
        <v>0.92</v>
      </c>
      <c r="M4" s="311">
        <f>Sheet1!J31</f>
        <v>0.92</v>
      </c>
      <c r="N4" s="311">
        <f>M4</f>
        <v>0.92</v>
      </c>
      <c r="O4" s="499">
        <f>AVERAGE(C4:M4)</f>
        <v>0.92</v>
      </c>
      <c r="Q4" s="10"/>
      <c r="R4" s="114" t="s">
        <v>211</v>
      </c>
      <c r="S4" s="115">
        <f>100/(100+S3)</f>
        <v>0.93457943925233644</v>
      </c>
      <c r="T4" s="10"/>
      <c r="U4" s="10"/>
      <c r="V4" s="10"/>
      <c r="W4" s="17"/>
      <c r="Y4" s="377" t="s">
        <v>365</v>
      </c>
      <c r="Z4" s="168" t="s">
        <v>83</v>
      </c>
      <c r="AA4" s="168" t="s">
        <v>371</v>
      </c>
      <c r="AB4" s="168" t="s">
        <v>83</v>
      </c>
      <c r="AC4" s="168" t="s">
        <v>371</v>
      </c>
      <c r="AD4" s="377" t="s">
        <v>365</v>
      </c>
      <c r="AE4" s="372" t="str">
        <f t="shared" ref="AE4:AE10" si="1">Z4&amp;" "&amp;AA4</f>
        <v>Permitted Not opposed</v>
      </c>
      <c r="AF4" s="373" t="str">
        <f t="shared" ref="AF4:AF10" si="2">AB4&amp;" "&amp;AC4</f>
        <v>Permitted Not opposed</v>
      </c>
      <c r="AI4" s="78" t="s">
        <v>364</v>
      </c>
      <c r="AJ4" s="78">
        <v>4</v>
      </c>
      <c r="AN4" s="77" t="s">
        <v>364</v>
      </c>
      <c r="AO4" s="324" t="s">
        <v>388</v>
      </c>
      <c r="AP4" s="324"/>
      <c r="AQ4" s="324"/>
      <c r="AS4" s="77" t="s">
        <v>364</v>
      </c>
      <c r="AT4" s="77">
        <f>MAX(D16,G16,F16)</f>
        <v>0</v>
      </c>
      <c r="BI4" s="467"/>
      <c r="BJ4" s="467"/>
      <c r="BK4" s="467"/>
      <c r="BL4" s="467" t="s">
        <v>540</v>
      </c>
      <c r="BM4" s="467" t="s">
        <v>541</v>
      </c>
      <c r="BN4" s="467" t="s">
        <v>542</v>
      </c>
      <c r="BO4" s="467" t="s">
        <v>543</v>
      </c>
      <c r="BP4" s="467" t="s">
        <v>544</v>
      </c>
      <c r="BQ4" s="467" t="s">
        <v>545</v>
      </c>
      <c r="BR4" s="467" t="s">
        <v>546</v>
      </c>
      <c r="BS4" s="467" t="s">
        <v>547</v>
      </c>
      <c r="BT4" s="467" t="s">
        <v>548</v>
      </c>
      <c r="BU4" s="467" t="s">
        <v>549</v>
      </c>
      <c r="BV4" s="467" t="s">
        <v>550</v>
      </c>
      <c r="BW4" s="467"/>
      <c r="BX4" s="467"/>
    </row>
    <row r="5" spans="2:76" x14ac:dyDescent="0.25">
      <c r="B5" s="309" t="s">
        <v>123</v>
      </c>
      <c r="C5" s="508">
        <f>ROUND(C3/C4,0)</f>
        <v>0</v>
      </c>
      <c r="D5" s="509">
        <f t="shared" ref="D5:N5" si="3">ROUND(D3/D4,0)</f>
        <v>0</v>
      </c>
      <c r="E5" s="509">
        <f t="shared" si="3"/>
        <v>0</v>
      </c>
      <c r="F5" s="508">
        <f t="shared" si="3"/>
        <v>0</v>
      </c>
      <c r="G5" s="509">
        <f t="shared" si="3"/>
        <v>0</v>
      </c>
      <c r="H5" s="509">
        <f t="shared" si="3"/>
        <v>0</v>
      </c>
      <c r="I5" s="508">
        <f t="shared" si="3"/>
        <v>0</v>
      </c>
      <c r="J5" s="509">
        <f t="shared" si="3"/>
        <v>0</v>
      </c>
      <c r="K5" s="509">
        <f t="shared" si="3"/>
        <v>0</v>
      </c>
      <c r="L5" s="508">
        <f t="shared" si="3"/>
        <v>0</v>
      </c>
      <c r="M5" s="509">
        <f t="shared" si="3"/>
        <v>0</v>
      </c>
      <c r="N5" s="509">
        <f t="shared" si="3"/>
        <v>0</v>
      </c>
      <c r="O5" s="499"/>
      <c r="Q5" s="10"/>
      <c r="R5" s="10"/>
      <c r="S5" s="101" t="s">
        <v>209</v>
      </c>
      <c r="T5" s="10"/>
      <c r="U5" s="10"/>
      <c r="V5" s="10"/>
      <c r="W5" s="5"/>
      <c r="Y5" s="377" t="s">
        <v>366</v>
      </c>
      <c r="Z5" s="168" t="s">
        <v>371</v>
      </c>
      <c r="AA5" s="168" t="s">
        <v>83</v>
      </c>
      <c r="AB5" s="168" t="s">
        <v>371</v>
      </c>
      <c r="AC5" s="168" t="s">
        <v>83</v>
      </c>
      <c r="AD5" s="377" t="s">
        <v>366</v>
      </c>
      <c r="AE5" s="372" t="str">
        <f t="shared" si="1"/>
        <v>Not opposed Permitted</v>
      </c>
      <c r="AF5" s="373" t="str">
        <f t="shared" si="2"/>
        <v>Not opposed Permitted</v>
      </c>
      <c r="AI5" s="78" t="s">
        <v>365</v>
      </c>
      <c r="AJ5" s="78">
        <v>4</v>
      </c>
      <c r="AN5" s="77" t="s">
        <v>365</v>
      </c>
      <c r="AO5" s="324" t="s">
        <v>388</v>
      </c>
      <c r="AP5" s="324"/>
      <c r="AQ5" s="324"/>
      <c r="AS5" s="77" t="s">
        <v>365</v>
      </c>
      <c r="AT5" s="309">
        <f>MAX(D16,G16,F16)</f>
        <v>0</v>
      </c>
      <c r="BI5" s="467"/>
      <c r="BJ5" s="467"/>
      <c r="BK5" s="467"/>
      <c r="BL5" s="467">
        <v>84.39</v>
      </c>
      <c r="BM5" s="467">
        <v>29.66</v>
      </c>
      <c r="BN5" s="467">
        <v>24.29</v>
      </c>
      <c r="BO5" s="467">
        <v>24.74</v>
      </c>
      <c r="BP5" s="467">
        <v>26.74</v>
      </c>
      <c r="BQ5" s="467">
        <v>28.51</v>
      </c>
      <c r="BR5" s="467">
        <v>30.64</v>
      </c>
      <c r="BS5" s="467">
        <v>32.85</v>
      </c>
      <c r="BT5" s="467">
        <v>35.21</v>
      </c>
      <c r="BU5" s="467">
        <v>37.18</v>
      </c>
      <c r="BV5" s="467">
        <v>39.56</v>
      </c>
      <c r="BW5" s="467">
        <v>41.85</v>
      </c>
      <c r="BX5" s="467"/>
    </row>
    <row r="6" spans="2:76" ht="15" customHeight="1" x14ac:dyDescent="0.25">
      <c r="B6" s="246" t="s">
        <v>127</v>
      </c>
      <c r="C6" s="310">
        <f>'Phase designation'!B6</f>
        <v>0</v>
      </c>
      <c r="D6" s="310">
        <f>'Phase designation'!C6</f>
        <v>0</v>
      </c>
      <c r="E6" s="311">
        <f>IF(SUM('Phase designation'!B19:H19)&gt;2,0,'Summary sheet'!U13)</f>
        <v>0</v>
      </c>
      <c r="F6" s="310">
        <f>'Phase designation'!D6</f>
        <v>0</v>
      </c>
      <c r="G6" s="310">
        <f>'Phase designation'!E6</f>
        <v>0</v>
      </c>
      <c r="H6" s="311">
        <f>IF(SUM('Phase designation'!B19:H19)&gt;2,0,'Summary sheet'!AA9)</f>
        <v>0</v>
      </c>
      <c r="I6" s="310">
        <f>'Phase designation'!F6</f>
        <v>0</v>
      </c>
      <c r="J6" s="310">
        <f>'Phase designation'!G6</f>
        <v>0</v>
      </c>
      <c r="K6" s="311">
        <f>IF(SUM('Phase designation'!B19:H19)&gt;2,0,'Summary sheet'!Y17)</f>
        <v>0</v>
      </c>
      <c r="L6" s="310">
        <f>'Phase designation'!H6</f>
        <v>0</v>
      </c>
      <c r="M6" s="310">
        <f>'Phase designation'!I6</f>
        <v>0</v>
      </c>
      <c r="N6" s="311">
        <f>IF(SUM('Phase designation'!B19:H19)&gt;2,0,'Summary sheet'!W4)</f>
        <v>0</v>
      </c>
      <c r="O6" s="499"/>
      <c r="Q6" s="10"/>
      <c r="R6" s="553" t="s">
        <v>207</v>
      </c>
      <c r="S6" s="101">
        <v>1</v>
      </c>
      <c r="T6" s="101">
        <v>1</v>
      </c>
      <c r="U6" s="10"/>
      <c r="V6" s="10"/>
      <c r="W6" s="5"/>
      <c r="Y6" s="377" t="s">
        <v>367</v>
      </c>
      <c r="Z6" s="168" t="s">
        <v>83</v>
      </c>
      <c r="AA6" s="168" t="s">
        <v>82</v>
      </c>
      <c r="AB6" s="168" t="s">
        <v>83</v>
      </c>
      <c r="AC6" s="168" t="s">
        <v>82</v>
      </c>
      <c r="AD6" s="377" t="s">
        <v>367</v>
      </c>
      <c r="AE6" s="372" t="str">
        <f t="shared" si="1"/>
        <v>Permitted Protected</v>
      </c>
      <c r="AF6" s="373" t="str">
        <f t="shared" si="2"/>
        <v>Permitted Protected</v>
      </c>
      <c r="AI6" s="78" t="s">
        <v>366</v>
      </c>
      <c r="AJ6" s="78">
        <v>4</v>
      </c>
      <c r="AN6" s="77" t="s">
        <v>366</v>
      </c>
      <c r="AO6" s="324" t="s">
        <v>388</v>
      </c>
      <c r="AP6" s="324"/>
      <c r="AQ6" s="324"/>
      <c r="AS6" s="77" t="s">
        <v>366</v>
      </c>
      <c r="AT6" s="309">
        <f>MAX(D16,G16,F16)</f>
        <v>0</v>
      </c>
      <c r="BI6" s="467"/>
      <c r="BJ6" s="467"/>
      <c r="BK6" s="467"/>
      <c r="BL6" s="468">
        <f>IF(BL5=0,"",BL5)</f>
        <v>84.39</v>
      </c>
      <c r="BM6" s="468">
        <f>IF(BM5=0,"",BM5)</f>
        <v>29.66</v>
      </c>
      <c r="BN6" s="468">
        <f t="shared" ref="BN6:BW6" si="4">IF(BN5=0,"",BN5)</f>
        <v>24.29</v>
      </c>
      <c r="BO6" s="468">
        <f t="shared" si="4"/>
        <v>24.74</v>
      </c>
      <c r="BP6" s="468">
        <f t="shared" si="4"/>
        <v>26.74</v>
      </c>
      <c r="BQ6" s="468">
        <f t="shared" si="4"/>
        <v>28.51</v>
      </c>
      <c r="BR6" s="468">
        <f t="shared" si="4"/>
        <v>30.64</v>
      </c>
      <c r="BS6" s="468">
        <f t="shared" si="4"/>
        <v>32.85</v>
      </c>
      <c r="BT6" s="468">
        <f t="shared" si="4"/>
        <v>35.21</v>
      </c>
      <c r="BU6" s="468">
        <f t="shared" si="4"/>
        <v>37.18</v>
      </c>
      <c r="BV6" s="468">
        <f t="shared" si="4"/>
        <v>39.56</v>
      </c>
      <c r="BW6" s="468">
        <f t="shared" si="4"/>
        <v>41.85</v>
      </c>
      <c r="BX6" s="467"/>
    </row>
    <row r="7" spans="2:76" s="69" customFormat="1" ht="15" hidden="1" customHeight="1" x14ac:dyDescent="0.25">
      <c r="B7" s="309" t="s">
        <v>131</v>
      </c>
      <c r="C7" s="508">
        <f>IF(C6&gt;0,ROUND(C5/C6,0),0)</f>
        <v>0</v>
      </c>
      <c r="D7" s="509">
        <f t="shared" ref="D7:M7" si="5">IF(D6&gt;0,ROUND(D5/D6,0),0)</f>
        <v>0</v>
      </c>
      <c r="E7" s="509"/>
      <c r="F7" s="508">
        <f t="shared" si="5"/>
        <v>0</v>
      </c>
      <c r="G7" s="509">
        <f t="shared" si="5"/>
        <v>0</v>
      </c>
      <c r="H7" s="509"/>
      <c r="I7" s="508">
        <f t="shared" si="5"/>
        <v>0</v>
      </c>
      <c r="J7" s="509">
        <f t="shared" si="5"/>
        <v>0</v>
      </c>
      <c r="K7" s="509"/>
      <c r="L7" s="508">
        <f t="shared" si="5"/>
        <v>0</v>
      </c>
      <c r="M7" s="509">
        <f t="shared" si="5"/>
        <v>0</v>
      </c>
      <c r="N7" s="509"/>
      <c r="O7" s="499"/>
      <c r="P7" s="278"/>
      <c r="Q7" s="102"/>
      <c r="R7" s="553"/>
      <c r="S7" s="101">
        <v>2</v>
      </c>
      <c r="T7" s="101">
        <v>0.95199999999999996</v>
      </c>
      <c r="U7" s="10"/>
      <c r="V7" s="103"/>
      <c r="W7" s="5"/>
      <c r="Y7" s="377" t="s">
        <v>368</v>
      </c>
      <c r="Z7" s="168" t="s">
        <v>82</v>
      </c>
      <c r="AA7" s="168" t="s">
        <v>83</v>
      </c>
      <c r="AB7" s="168" t="s">
        <v>82</v>
      </c>
      <c r="AC7" s="168" t="s">
        <v>83</v>
      </c>
      <c r="AD7" s="377" t="s">
        <v>368</v>
      </c>
      <c r="AE7" s="372" t="str">
        <f t="shared" si="1"/>
        <v>Protected Permitted</v>
      </c>
      <c r="AF7" s="373" t="str">
        <f t="shared" si="2"/>
        <v>Protected Permitted</v>
      </c>
      <c r="AG7" s="78"/>
      <c r="AH7" s="78"/>
      <c r="AI7" s="78" t="s">
        <v>367</v>
      </c>
      <c r="AJ7" s="78">
        <v>4</v>
      </c>
      <c r="AK7" s="77">
        <v>4</v>
      </c>
      <c r="AL7" s="77"/>
      <c r="AM7" s="77"/>
      <c r="AN7" s="77" t="s">
        <v>367</v>
      </c>
      <c r="AO7" s="324" t="s">
        <v>389</v>
      </c>
      <c r="AP7" s="324" t="s">
        <v>388</v>
      </c>
      <c r="AQ7" s="324"/>
      <c r="AR7" s="77"/>
      <c r="AS7" s="77" t="s">
        <v>367</v>
      </c>
      <c r="AT7" s="77">
        <f>F16</f>
        <v>0</v>
      </c>
      <c r="AU7" s="77">
        <f>MAX(G16-F16,D16)</f>
        <v>0</v>
      </c>
      <c r="AV7" s="77"/>
      <c r="BI7" s="467"/>
      <c r="BJ7" s="467"/>
      <c r="BK7" s="467"/>
      <c r="BL7" s="467"/>
      <c r="BM7" s="467"/>
      <c r="BN7" s="467"/>
      <c r="BO7" s="467"/>
      <c r="BP7" s="467"/>
      <c r="BQ7" s="467"/>
      <c r="BR7" s="467"/>
      <c r="BS7" s="467"/>
      <c r="BT7" s="467"/>
      <c r="BU7" s="467"/>
      <c r="BV7" s="467"/>
      <c r="BW7" s="467"/>
      <c r="BX7" s="467"/>
    </row>
    <row r="8" spans="2:76" s="235" customFormat="1" x14ac:dyDescent="0.25">
      <c r="B8" s="309" t="s">
        <v>325</v>
      </c>
      <c r="C8" s="508"/>
      <c r="D8" s="509"/>
      <c r="E8" s="509">
        <f>ROUND('Input sheet'!G17/100*E5,0)</f>
        <v>0</v>
      </c>
      <c r="F8" s="508"/>
      <c r="G8" s="509"/>
      <c r="H8" s="509">
        <f>ROUND('Input sheet'!N11/100*H5,0)</f>
        <v>0</v>
      </c>
      <c r="I8" s="508"/>
      <c r="J8" s="509"/>
      <c r="K8" s="509">
        <f>ROUND('Input sheet'!L22/100*K5,0)</f>
        <v>0</v>
      </c>
      <c r="L8" s="508"/>
      <c r="M8" s="509"/>
      <c r="N8" s="509">
        <f>ROUND('Input sheet'!H7/100*N5,0)</f>
        <v>0</v>
      </c>
      <c r="O8" s="499"/>
      <c r="P8" s="278"/>
      <c r="Q8" s="102"/>
      <c r="R8" s="553"/>
      <c r="S8" s="101"/>
      <c r="T8" s="101"/>
      <c r="U8" s="10"/>
      <c r="V8" s="103"/>
      <c r="W8" s="5"/>
      <c r="Y8" s="377" t="s">
        <v>369</v>
      </c>
      <c r="Z8" s="168" t="s">
        <v>378</v>
      </c>
      <c r="AA8" s="168" t="s">
        <v>82</v>
      </c>
      <c r="AB8" s="168" t="s">
        <v>378</v>
      </c>
      <c r="AC8" s="168" t="s">
        <v>82</v>
      </c>
      <c r="AD8" s="377" t="s">
        <v>369</v>
      </c>
      <c r="AE8" s="372" t="str">
        <f t="shared" si="1"/>
        <v>ProtectedA Protected</v>
      </c>
      <c r="AF8" s="373" t="str">
        <f t="shared" si="2"/>
        <v>ProtectedA Protected</v>
      </c>
      <c r="AG8" s="78"/>
      <c r="AH8" s="78"/>
      <c r="AI8" s="78" t="s">
        <v>368</v>
      </c>
      <c r="AJ8" s="78">
        <v>4</v>
      </c>
      <c r="AK8" s="77">
        <v>4</v>
      </c>
      <c r="AL8" s="77"/>
      <c r="AM8" s="77"/>
      <c r="AN8" s="77" t="s">
        <v>368</v>
      </c>
      <c r="AO8" s="324" t="s">
        <v>390</v>
      </c>
      <c r="AP8" s="324" t="s">
        <v>388</v>
      </c>
      <c r="AQ8" s="324"/>
      <c r="AR8" s="77"/>
      <c r="AS8" s="77" t="s">
        <v>368</v>
      </c>
      <c r="AT8" s="77">
        <f>C16</f>
        <v>0</v>
      </c>
      <c r="AU8" s="77">
        <f>MAX(D16-C16,G16)</f>
        <v>0</v>
      </c>
      <c r="AV8" s="77"/>
      <c r="BI8" s="467"/>
      <c r="BJ8" s="467"/>
      <c r="BK8" s="467"/>
      <c r="BL8" s="467"/>
      <c r="BM8" s="467"/>
      <c r="BN8" s="467"/>
      <c r="BO8" s="467"/>
      <c r="BP8" s="467"/>
      <c r="BQ8" s="467"/>
      <c r="BR8" s="467"/>
      <c r="BS8" s="467"/>
      <c r="BT8" s="467"/>
      <c r="BU8" s="467"/>
      <c r="BV8" s="467"/>
      <c r="BW8" s="467"/>
      <c r="BX8" s="467"/>
    </row>
    <row r="9" spans="2:76" s="235" customFormat="1" x14ac:dyDescent="0.25">
      <c r="B9" s="246" t="s">
        <v>326</v>
      </c>
      <c r="C9" s="310">
        <f>C5</f>
        <v>0</v>
      </c>
      <c r="D9" s="311">
        <f>IF(AND(E3&gt;0,E6=0),D5+E5,D5)</f>
        <v>0</v>
      </c>
      <c r="E9" s="311">
        <f>IF(AND(E3&gt;0,E6=0),0,E5-E8)</f>
        <v>0</v>
      </c>
      <c r="F9" s="310">
        <f>F5</f>
        <v>0</v>
      </c>
      <c r="G9" s="311">
        <f>IF(AND(H3&gt;0,H6=0),G5+H5,G5)</f>
        <v>0</v>
      </c>
      <c r="H9" s="311">
        <f>IF(AND(H3&gt;0,H6=0),0,H5-H8)</f>
        <v>0</v>
      </c>
      <c r="I9" s="310">
        <f>I5</f>
        <v>0</v>
      </c>
      <c r="J9" s="311">
        <f>IF(AND(K3&gt;0,K6=0),J5+K5,J5)</f>
        <v>0</v>
      </c>
      <c r="K9" s="311">
        <f>IF(AND(K3&gt;0,K6=0),0,K5-K8)</f>
        <v>0</v>
      </c>
      <c r="L9" s="310">
        <f>L5</f>
        <v>0</v>
      </c>
      <c r="M9" s="311">
        <f>IF(AND(N3&gt;0,N6=0),M5+N5,M5)</f>
        <v>0</v>
      </c>
      <c r="N9" s="311">
        <f>IF(AND(N3&gt;0,N6=0),0,N5-N8)</f>
        <v>0</v>
      </c>
      <c r="O9" s="499">
        <f>SUM(C9:N9)</f>
        <v>0</v>
      </c>
      <c r="P9" s="278"/>
      <c r="Q9" s="102"/>
      <c r="R9" s="553"/>
      <c r="S9" s="101"/>
      <c r="T9" s="101"/>
      <c r="U9" s="10"/>
      <c r="V9" s="103"/>
      <c r="W9" s="5"/>
      <c r="Y9" s="377" t="s">
        <v>370</v>
      </c>
      <c r="Z9" s="168" t="s">
        <v>82</v>
      </c>
      <c r="AA9" s="168" t="s">
        <v>378</v>
      </c>
      <c r="AB9" s="168" t="s">
        <v>82</v>
      </c>
      <c r="AC9" s="168" t="s">
        <v>378</v>
      </c>
      <c r="AD9" s="377" t="s">
        <v>370</v>
      </c>
      <c r="AE9" s="372" t="str">
        <f t="shared" si="1"/>
        <v>Protected ProtectedA</v>
      </c>
      <c r="AF9" s="373" t="str">
        <f t="shared" si="2"/>
        <v>Protected ProtectedA</v>
      </c>
      <c r="AG9" s="78"/>
      <c r="AH9" s="78"/>
      <c r="AI9" s="78" t="s">
        <v>369</v>
      </c>
      <c r="AJ9" s="78">
        <v>4</v>
      </c>
      <c r="AK9" s="77">
        <v>0</v>
      </c>
      <c r="AL9" s="77">
        <v>4</v>
      </c>
      <c r="AM9" s="77"/>
      <c r="AN9" s="77" t="s">
        <v>369</v>
      </c>
      <c r="AO9" s="324" t="s">
        <v>391</v>
      </c>
      <c r="AP9" s="324" t="s">
        <v>390</v>
      </c>
      <c r="AQ9" s="324" t="s">
        <v>388</v>
      </c>
      <c r="AR9" s="77"/>
      <c r="AS9" s="77" t="s">
        <v>369</v>
      </c>
      <c r="AT9" s="77">
        <f>F16</f>
        <v>0</v>
      </c>
      <c r="AU9" s="77">
        <f>C16-F16</f>
        <v>0</v>
      </c>
      <c r="AV9" s="77">
        <f>MAX(G16,D16-(C16-F16))</f>
        <v>0</v>
      </c>
      <c r="BI9" s="467"/>
      <c r="BJ9" s="467"/>
      <c r="BK9" s="467"/>
      <c r="BL9" s="467" t="s">
        <v>551</v>
      </c>
      <c r="BM9" s="367">
        <f>MIN(BL6:BW6)</f>
        <v>24.29</v>
      </c>
      <c r="BN9" s="467"/>
      <c r="BO9" s="467"/>
      <c r="BP9" s="467"/>
      <c r="BQ9" s="467"/>
      <c r="BR9" s="467"/>
      <c r="BS9" s="467"/>
      <c r="BT9" s="467"/>
      <c r="BU9" s="467"/>
      <c r="BV9" s="467"/>
      <c r="BW9" s="467"/>
      <c r="BX9" s="467"/>
    </row>
    <row r="10" spans="2:76" s="85" customFormat="1" x14ac:dyDescent="0.25">
      <c r="B10" s="309" t="s">
        <v>210</v>
      </c>
      <c r="C10" s="508">
        <f>IF(C6=0,1,LOOKUP(C6,$S$18:$S$19,$T$18:$T$19))</f>
        <v>1</v>
      </c>
      <c r="D10" s="509">
        <f>IF(D6=0,1,LOOKUP(D6,$S$6:$S$10,$T$6:$T$10))</f>
        <v>1</v>
      </c>
      <c r="E10" s="509"/>
      <c r="F10" s="508">
        <f>IF(F6=0,1,LOOKUP(F6,$S$18:$S$19,$T$18:$T$19))</f>
        <v>1</v>
      </c>
      <c r="G10" s="509">
        <f>IF(G6=0,1,LOOKUP(G6,$S$6:$S$10,$T$6:$T$10))</f>
        <v>1</v>
      </c>
      <c r="H10" s="509"/>
      <c r="I10" s="508">
        <f>IF(I6=0,1,LOOKUP(I6,$S$18:$S$19,$T$18:$T$19))</f>
        <v>1</v>
      </c>
      <c r="J10" s="509">
        <f>IF(J6=0,1,LOOKUP(J6,$S$6:$S$10,$T$6:$T$10))</f>
        <v>1</v>
      </c>
      <c r="K10" s="509"/>
      <c r="L10" s="508">
        <f>IF(L6=0,1,LOOKUP(L6,$S$18:$S$19,$T$18:$T$19))</f>
        <v>1</v>
      </c>
      <c r="M10" s="509">
        <f>IF(M6=0,1,LOOKUP(M6,$S$6:$S$10,$T$6:$T$10))</f>
        <v>1</v>
      </c>
      <c r="N10" s="509"/>
      <c r="O10" s="499"/>
      <c r="P10" s="278"/>
      <c r="Q10" s="102"/>
      <c r="R10" s="553"/>
      <c r="S10" s="101">
        <v>3</v>
      </c>
      <c r="T10" s="101">
        <v>0.90800000000000003</v>
      </c>
      <c r="U10" s="10"/>
      <c r="V10" s="103"/>
      <c r="W10" s="5"/>
      <c r="Y10" s="377">
        <v>4</v>
      </c>
      <c r="Z10" s="168" t="s">
        <v>371</v>
      </c>
      <c r="AA10" s="168" t="s">
        <v>371</v>
      </c>
      <c r="AB10" s="168" t="s">
        <v>371</v>
      </c>
      <c r="AC10" s="168" t="s">
        <v>371</v>
      </c>
      <c r="AD10" s="377">
        <v>4</v>
      </c>
      <c r="AE10" s="372" t="str">
        <f t="shared" si="1"/>
        <v>Not opposed Not opposed</v>
      </c>
      <c r="AF10" s="373" t="str">
        <f t="shared" si="2"/>
        <v>Not opposed Not opposed</v>
      </c>
      <c r="AG10" s="78"/>
      <c r="AH10" s="78"/>
      <c r="AI10" s="78" t="s">
        <v>370</v>
      </c>
      <c r="AJ10" s="78">
        <v>4</v>
      </c>
      <c r="AK10" s="77">
        <v>0</v>
      </c>
      <c r="AL10" s="77">
        <v>4</v>
      </c>
      <c r="AM10" s="77"/>
      <c r="AN10" s="77" t="s">
        <v>370</v>
      </c>
      <c r="AO10" s="324" t="s">
        <v>391</v>
      </c>
      <c r="AP10" s="324" t="s">
        <v>389</v>
      </c>
      <c r="AQ10" s="324" t="s">
        <v>388</v>
      </c>
      <c r="AR10" s="77"/>
      <c r="AS10" s="77" t="s">
        <v>370</v>
      </c>
      <c r="AT10" s="77">
        <f>C16</f>
        <v>0</v>
      </c>
      <c r="AU10" s="77">
        <f>F16-C16</f>
        <v>0</v>
      </c>
      <c r="AV10" s="77">
        <f>MAX(D16,G16-(F16-C16))</f>
        <v>0</v>
      </c>
      <c r="BI10" s="467"/>
      <c r="BJ10" s="467"/>
      <c r="BK10" s="467"/>
      <c r="BL10" s="467" t="s">
        <v>552</v>
      </c>
      <c r="BM10" s="467">
        <f>IF(BM9=0,0,INDEX(BL3:BW3,MATCH(BM9,BL5:BW5,0)))</f>
        <v>60</v>
      </c>
      <c r="BN10" s="467"/>
      <c r="BO10" s="467"/>
      <c r="BP10" s="467"/>
      <c r="BQ10" s="467"/>
      <c r="BR10" s="467"/>
      <c r="BS10" s="467"/>
      <c r="BT10" s="467"/>
      <c r="BU10" s="467"/>
      <c r="BV10" s="467"/>
      <c r="BW10" s="467"/>
      <c r="BX10" s="467"/>
    </row>
    <row r="11" spans="2:76" x14ac:dyDescent="0.25">
      <c r="B11" s="246" t="s">
        <v>327</v>
      </c>
      <c r="C11" s="310" t="e">
        <f>IF(C34=0,0,ROUND(C6*1530*C4*'Input sheet'!$W$7,0))</f>
        <v>#N/A</v>
      </c>
      <c r="D11" s="311" t="e">
        <f>IF(D34=0,0,ROUND(D6*1530*D4*'Input sheet'!$W$7,0))</f>
        <v>#N/A</v>
      </c>
      <c r="E11" s="501" t="e">
        <f>IF(E34=0,0,ROUND(E6*1530*E4*'Input sheet'!$W$7,0))</f>
        <v>#N/A</v>
      </c>
      <c r="F11" s="310" t="e">
        <f>IF(F34=0,0,ROUND(F6*1530*F4*'Input sheet'!$W$7,0))</f>
        <v>#N/A</v>
      </c>
      <c r="G11" s="311" t="e">
        <f>IF(G34=0,0,ROUND(G6*1530*G4*'Input sheet'!$W$7,0))</f>
        <v>#N/A</v>
      </c>
      <c r="H11" s="501" t="e">
        <f>IF(H34=0,0,ROUND(H6*1530*H4*'Input sheet'!$W$7,0))</f>
        <v>#N/A</v>
      </c>
      <c r="I11" s="310" t="e">
        <f>IF(I34=0,0,ROUND(I6*1530*I4*'Input sheet'!$W$7,0))</f>
        <v>#N/A</v>
      </c>
      <c r="J11" s="311" t="e">
        <f>IF(J34=0,0,ROUND(J6*1530*J4*'Input sheet'!$W$7,0))</f>
        <v>#N/A</v>
      </c>
      <c r="K11" s="501" t="e">
        <f>IF(K34=0,0,ROUND(K6*1530*K4*'Input sheet'!$W$7,0))</f>
        <v>#N/A</v>
      </c>
      <c r="L11" s="310" t="e">
        <f>IF(L34=0,0,ROUND(L6*1530*L4*'Input sheet'!$W$7,0))</f>
        <v>#N/A</v>
      </c>
      <c r="M11" s="311" t="e">
        <f>IF(M34=0,0,ROUND(M6*1530*M4*'Input sheet'!$W$7,0))</f>
        <v>#N/A</v>
      </c>
      <c r="N11" s="311" t="e">
        <f>IF(N34=0,0,ROUND(N6*1530*N4*'Input sheet'!$W$7,0))</f>
        <v>#N/A</v>
      </c>
      <c r="O11" s="330">
        <f>ROUND(1530*O4*'Input sheet'!W7,0)</f>
        <v>1408</v>
      </c>
      <c r="P11" s="278" t="s">
        <v>212</v>
      </c>
      <c r="Q11" s="77"/>
      <c r="R11" s="111"/>
      <c r="U11" s="10"/>
      <c r="V11" s="103"/>
      <c r="W11" s="10"/>
      <c r="Y11" s="378" t="s">
        <v>369</v>
      </c>
      <c r="Z11" s="321" t="s">
        <v>378</v>
      </c>
      <c r="AA11" s="321" t="s">
        <v>378</v>
      </c>
      <c r="AB11" s="321" t="s">
        <v>378</v>
      </c>
      <c r="AC11" s="321" t="s">
        <v>378</v>
      </c>
      <c r="AD11" s="378" t="s">
        <v>369</v>
      </c>
      <c r="AE11" s="375" t="str">
        <f>Z11&amp;" "&amp;AA11</f>
        <v>ProtectedA ProtectedA</v>
      </c>
      <c r="AF11" s="323" t="str">
        <f>AB11&amp;" "&amp;AC11</f>
        <v>ProtectedA ProtectedA</v>
      </c>
      <c r="AI11" s="78">
        <v>4</v>
      </c>
      <c r="AJ11" s="78">
        <v>4</v>
      </c>
      <c r="AK11" s="77">
        <v>4</v>
      </c>
      <c r="AN11" s="77">
        <v>4</v>
      </c>
      <c r="AO11" s="324" t="s">
        <v>390</v>
      </c>
      <c r="AP11" s="324" t="s">
        <v>389</v>
      </c>
      <c r="AQ11" s="324"/>
      <c r="AS11" s="77">
        <v>4</v>
      </c>
      <c r="AT11" s="77">
        <f>MAX(D16,C16)</f>
        <v>0</v>
      </c>
      <c r="AU11" s="77">
        <f>MAX(G16,F16)</f>
        <v>0</v>
      </c>
      <c r="BE11" s="168"/>
      <c r="BI11" s="467"/>
      <c r="BJ11" s="467"/>
      <c r="BK11" s="467"/>
      <c r="BL11" s="467"/>
      <c r="BM11" s="467"/>
      <c r="BN11" s="467"/>
      <c r="BO11" s="467"/>
      <c r="BP11" s="467"/>
      <c r="BQ11" s="467"/>
      <c r="BR11" s="467"/>
      <c r="BS11" s="467"/>
      <c r="BT11" s="467"/>
      <c r="BU11" s="467"/>
      <c r="BV11" s="467"/>
      <c r="BW11" s="467"/>
      <c r="BX11" s="467"/>
    </row>
    <row r="12" spans="2:76" s="77" customFormat="1" ht="15" hidden="1" customHeight="1" x14ac:dyDescent="0.25">
      <c r="B12" s="309" t="s">
        <v>329</v>
      </c>
      <c r="C12" s="508">
        <f>MAX(1,'Lane volumes'!C12)</f>
        <v>1</v>
      </c>
      <c r="D12" s="509"/>
      <c r="E12" s="509"/>
      <c r="F12" s="508">
        <f>MAX(1,'Lane volumes'!U12)</f>
        <v>1</v>
      </c>
      <c r="G12" s="509"/>
      <c r="H12" s="509"/>
      <c r="I12" s="508">
        <f>MAX(1,'Lane volumes'!AL12)</f>
        <v>1</v>
      </c>
      <c r="J12" s="509"/>
      <c r="K12" s="509"/>
      <c r="L12" s="508">
        <f>MAX(1,'Lane volumes'!BC12)</f>
        <v>1</v>
      </c>
      <c r="M12" s="509"/>
      <c r="N12" s="509"/>
      <c r="O12" s="499"/>
      <c r="P12" s="278"/>
      <c r="R12" s="111"/>
      <c r="U12" s="10"/>
      <c r="V12" s="103"/>
      <c r="W12" s="10"/>
      <c r="AE12" s="78"/>
      <c r="AF12" s="78"/>
      <c r="AG12" s="78"/>
      <c r="AH12" s="78"/>
      <c r="BI12" s="469"/>
      <c r="BJ12" s="469"/>
      <c r="BK12" s="469"/>
      <c r="BL12" s="469"/>
      <c r="BM12" s="469"/>
      <c r="BN12" s="469"/>
      <c r="BO12" s="469"/>
      <c r="BP12" s="469"/>
      <c r="BQ12" s="469"/>
      <c r="BR12" s="469"/>
      <c r="BS12" s="469"/>
      <c r="BT12" s="469"/>
      <c r="BU12" s="469"/>
      <c r="BV12" s="469"/>
      <c r="BW12" s="469"/>
      <c r="BX12" s="469"/>
    </row>
    <row r="13" spans="2:76" s="278" customFormat="1" ht="15" hidden="1" customHeight="1" x14ac:dyDescent="0.25">
      <c r="B13" s="309" t="s">
        <v>330</v>
      </c>
      <c r="C13" s="508">
        <f>IF(AND(C6=0,C3&gt;0),4.5,2.5)</f>
        <v>2.5</v>
      </c>
      <c r="D13" s="509"/>
      <c r="E13" s="509"/>
      <c r="F13" s="508">
        <f>IF(AND(F6=0,F3&gt;0),4.5,2.5)</f>
        <v>2.5</v>
      </c>
      <c r="G13" s="509"/>
      <c r="H13" s="509"/>
      <c r="I13" s="508">
        <f>IF(AND(I6=0,I3&gt;0),4.5,2.5)</f>
        <v>2.5</v>
      </c>
      <c r="J13" s="509"/>
      <c r="K13" s="509"/>
      <c r="L13" s="508">
        <f>IF(AND(L6=0,L3&gt;0),4.5,2.5)</f>
        <v>2.5</v>
      </c>
      <c r="M13" s="509"/>
      <c r="N13" s="509"/>
      <c r="O13" s="499"/>
      <c r="R13" s="111"/>
      <c r="U13" s="10"/>
      <c r="V13" s="103"/>
      <c r="W13" s="10"/>
      <c r="Y13" s="309" t="s">
        <v>374</v>
      </c>
      <c r="Z13" s="77" t="str">
        <f>'Phase designation'!B23</f>
        <v>Permitted</v>
      </c>
      <c r="AA13" s="309" t="str">
        <f>'Phase designation'!D23</f>
        <v>Permitted</v>
      </c>
      <c r="AB13" s="309" t="str">
        <f>'Phase designation'!F23</f>
        <v>Permitted</v>
      </c>
      <c r="AC13" s="309" t="str">
        <f>'Phase designation'!H23</f>
        <v>Permitted</v>
      </c>
      <c r="AE13" s="241"/>
      <c r="AF13" s="241"/>
      <c r="AG13" s="241"/>
      <c r="AH13" s="241"/>
      <c r="AI13" s="241"/>
      <c r="AJ13" s="241"/>
      <c r="BI13" s="469"/>
      <c r="BJ13" s="469"/>
      <c r="BK13" s="469"/>
      <c r="BL13" s="469"/>
      <c r="BM13" s="469"/>
      <c r="BN13" s="469"/>
      <c r="BO13" s="469"/>
      <c r="BP13" s="469"/>
      <c r="BQ13" s="469"/>
      <c r="BR13" s="469"/>
      <c r="BS13" s="469"/>
      <c r="BT13" s="469"/>
      <c r="BU13" s="469"/>
      <c r="BV13" s="469"/>
      <c r="BW13" s="469"/>
      <c r="BX13" s="469"/>
    </row>
    <row r="14" spans="2:76" s="235" customFormat="1" x14ac:dyDescent="0.25">
      <c r="B14" s="309" t="s">
        <v>328</v>
      </c>
      <c r="C14" s="508">
        <f>IF(D57+D59&gt;=1,ROUND(C10*$S$4*(C12*EXP(-1*C12*4.5/3600))/((1-EXP(-1*C12*C13/3600))),0),0)</f>
        <v>1345</v>
      </c>
      <c r="D14" s="509" t="e">
        <f>D11</f>
        <v>#N/A</v>
      </c>
      <c r="E14" s="509" t="e">
        <f>E11</f>
        <v>#N/A</v>
      </c>
      <c r="F14" s="508">
        <f>IF(G57+G59&gt;=1,ROUND(F10*$S$4*(F12*EXP(-1*F12*4.5/3600))/((1-EXP(-1*F12*F13/3600))),0),0)</f>
        <v>1345</v>
      </c>
      <c r="G14" s="509" t="e">
        <f>G11</f>
        <v>#N/A</v>
      </c>
      <c r="H14" s="509" t="e">
        <f>H11</f>
        <v>#N/A</v>
      </c>
      <c r="I14" s="508">
        <f>IF(J57+J59&gt;=1,ROUND(I10*$S$4*(I12*EXP(-1*I12*4.5/3600))/((1-EXP(-1*I12*I13/3600))),0),0)</f>
        <v>1345</v>
      </c>
      <c r="J14" s="509" t="e">
        <f>J11</f>
        <v>#N/A</v>
      </c>
      <c r="K14" s="509" t="e">
        <f>K11</f>
        <v>#N/A</v>
      </c>
      <c r="L14" s="508">
        <f>IF(M57+M59&gt;=1,ROUND(L10*$S$4*(L12*EXP(-1*L12*4.5/3600))/((1-EXP(-1*L12*L13/3600))),0),0)</f>
        <v>1345</v>
      </c>
      <c r="M14" s="509" t="e">
        <f>M11</f>
        <v>#N/A</v>
      </c>
      <c r="N14" s="509" t="e">
        <f>N11</f>
        <v>#N/A</v>
      </c>
      <c r="O14" s="499"/>
      <c r="P14" s="278"/>
      <c r="Q14" s="77"/>
      <c r="R14" s="111"/>
      <c r="U14" s="10"/>
      <c r="V14" s="103"/>
      <c r="W14" s="10"/>
      <c r="Y14" s="304" t="s">
        <v>377</v>
      </c>
      <c r="Z14" s="235">
        <f>IF(SUM(Sheet1!S5:U5)=0,1,0)</f>
        <v>1</v>
      </c>
      <c r="AA14" s="304">
        <f>IF(SUM(Sheet1!N5:P5)=0,1,0)</f>
        <v>1</v>
      </c>
      <c r="AB14" s="304">
        <f>IF(SUM(Sheet1!I5:K5,Sheet1!AC5:AH5)=0,1,0)</f>
        <v>1</v>
      </c>
      <c r="AC14" s="304">
        <f>IF(SUM(Sheet1!D5:F5,Sheet1!W5:AB5)=0,1,0)</f>
        <v>1</v>
      </c>
      <c r="AE14" s="78"/>
      <c r="AF14" s="78"/>
      <c r="AG14" s="78"/>
      <c r="AH14" s="167" t="s">
        <v>381</v>
      </c>
      <c r="AI14" s="326">
        <f>Z21</f>
        <v>4</v>
      </c>
      <c r="AJ14" s="167"/>
      <c r="AK14" s="303"/>
      <c r="AL14" s="303"/>
      <c r="AM14" s="77"/>
      <c r="AN14" s="77"/>
      <c r="AO14" s="77"/>
      <c r="AP14" s="77"/>
      <c r="AQ14" s="77"/>
      <c r="AR14" s="77"/>
      <c r="AS14" s="77"/>
      <c r="AT14" s="77"/>
      <c r="AU14" s="77"/>
      <c r="AV14" s="77"/>
      <c r="BI14" s="467"/>
      <c r="BJ14" s="467"/>
      <c r="BK14" s="467"/>
      <c r="BL14" s="467"/>
      <c r="BM14" s="467"/>
      <c r="BN14" s="467"/>
      <c r="BO14" s="467"/>
      <c r="BP14" s="467"/>
      <c r="BQ14" s="467"/>
      <c r="BR14" s="467"/>
      <c r="BS14" s="467"/>
      <c r="BT14" s="467"/>
      <c r="BU14" s="467"/>
      <c r="BV14" s="467"/>
      <c r="BW14" s="467"/>
      <c r="BX14" s="467"/>
    </row>
    <row r="15" spans="2:76" ht="15" hidden="1" customHeight="1" x14ac:dyDescent="0.25">
      <c r="B15" s="309" t="s">
        <v>130</v>
      </c>
      <c r="C15" s="508">
        <f>IF(C7+G7&gt;F7+D7,C7,0)</f>
        <v>0</v>
      </c>
      <c r="D15" s="509">
        <f>IF(D7+F7&gt;G7+C7,D7,0)</f>
        <v>0</v>
      </c>
      <c r="E15" s="509"/>
      <c r="F15" s="508">
        <f>IF(F7+D7&gt;C7+G7,F7,0)</f>
        <v>0</v>
      </c>
      <c r="G15" s="509">
        <f>IF(G7+C7&gt;D7+F7,G7,0)</f>
        <v>0</v>
      </c>
      <c r="H15" s="509"/>
      <c r="I15" s="508">
        <f>IF(I7+M7&gt;L7+J7,I7,0)</f>
        <v>0</v>
      </c>
      <c r="J15" s="509">
        <f>IF(J7+L7&gt;M7+I7,J7,0)</f>
        <v>0</v>
      </c>
      <c r="K15" s="509"/>
      <c r="L15" s="508">
        <f>IF(L7+J7&gt;I7+M7,L7,0)</f>
        <v>0</v>
      </c>
      <c r="M15" s="509">
        <f>IF(M7+I7&gt;J7+L7,M7,0)</f>
        <v>0</v>
      </c>
      <c r="N15" s="509"/>
      <c r="O15" s="499">
        <f>SUM(C15:M15)</f>
        <v>0</v>
      </c>
      <c r="Q15" s="10"/>
      <c r="R15" s="13"/>
      <c r="S15" s="101"/>
      <c r="T15" s="101"/>
      <c r="U15" s="10"/>
      <c r="V15" s="103"/>
      <c r="W15" s="10"/>
      <c r="Y15" s="304" t="s">
        <v>376</v>
      </c>
      <c r="Z15" s="3" t="str">
        <f>IF(Z13="Prot+perm","Protected",Z13)</f>
        <v>Permitted</v>
      </c>
      <c r="AA15" s="304" t="str">
        <f>IF(AA13="Prot+perm","Protected",AA13)</f>
        <v>Permitted</v>
      </c>
      <c r="AB15" s="304" t="str">
        <f>IF(AB13="Prot+perm","Protected",AB13)</f>
        <v>Permitted</v>
      </c>
      <c r="AC15" s="304" t="str">
        <f>IF(AC13="Prot+perm","Protected",AC13)</f>
        <v>Permitted</v>
      </c>
      <c r="AI15" s="167" t="s">
        <v>385</v>
      </c>
      <c r="AJ15" s="167">
        <f>INDEX(AJ4:AJ11,MATCH($AI$14,$AI$4:$AI$11,0))</f>
        <v>4</v>
      </c>
      <c r="AK15" s="167">
        <f>INDEX(AK4:AK11,MATCH($AI$14,$AI$4:$AI$11,0))</f>
        <v>4</v>
      </c>
      <c r="AL15" s="167">
        <f>INDEX(AL4:AL11,MATCH($AI$14,$AI$4:$AI$11,0))</f>
        <v>0</v>
      </c>
      <c r="BI15" s="467"/>
      <c r="BJ15" s="467"/>
      <c r="BK15" s="467"/>
      <c r="BL15" s="467"/>
      <c r="BM15" s="467"/>
      <c r="BN15" s="467"/>
      <c r="BO15" s="467"/>
      <c r="BP15" s="467"/>
      <c r="BQ15" s="467"/>
      <c r="BR15" s="467"/>
      <c r="BS15" s="467"/>
      <c r="BT15" s="467"/>
      <c r="BU15" s="467"/>
      <c r="BV15" s="467"/>
      <c r="BW15" s="467"/>
      <c r="BX15" s="467"/>
    </row>
    <row r="16" spans="2:76" s="278" customFormat="1" x14ac:dyDescent="0.25">
      <c r="B16" s="246" t="s">
        <v>331</v>
      </c>
      <c r="C16" s="310">
        <f>MAX('Lane volumes'!C16:E16)</f>
        <v>0</v>
      </c>
      <c r="D16" s="311">
        <f>IF(D6=0,0,ROUND(MAX('Lane volumes'!C31:E31,'Lane volumes'!C38:E38),0))</f>
        <v>0</v>
      </c>
      <c r="E16" s="311">
        <f>MAX('Lane volumes'!C8:D8)</f>
        <v>0</v>
      </c>
      <c r="F16" s="310">
        <f>MAX('Lane volumes'!U16:W16)</f>
        <v>0</v>
      </c>
      <c r="G16" s="311">
        <f>IF(G6=0,0,ROUND(MAX('Lane volumes'!U31:W31,'Lane volumes'!U38:W38),0))</f>
        <v>0</v>
      </c>
      <c r="H16" s="311">
        <f>MAX('Lane volumes'!U8:V8)</f>
        <v>0</v>
      </c>
      <c r="I16" s="310">
        <f>MAX('Lane volumes'!AL16:AN16)</f>
        <v>0</v>
      </c>
      <c r="J16" s="311">
        <f>IF(J6=0,0,ROUND(MAX('Lane volumes'!AL31:AN31,'Lane volumes'!AL38:AN38),0))</f>
        <v>0</v>
      </c>
      <c r="K16" s="311">
        <f>MAX('Lane volumes'!AL8:AM8)</f>
        <v>0</v>
      </c>
      <c r="L16" s="310">
        <f>MAX('Lane volumes'!BC16:BE16)</f>
        <v>0</v>
      </c>
      <c r="M16" s="311">
        <f>IF(M6=0,0,ROUND(MAX('Lane volumes'!BC31:BE31,'Lane volumes'!BC38:BE38),0))</f>
        <v>0</v>
      </c>
      <c r="N16" s="311">
        <f>MAX('Lane volumes'!BC8:BD8)</f>
        <v>0</v>
      </c>
      <c r="O16" s="499"/>
      <c r="Q16" s="10"/>
      <c r="R16" s="13"/>
      <c r="S16" s="101"/>
      <c r="T16" s="101"/>
      <c r="U16" s="10"/>
      <c r="V16" s="103"/>
      <c r="W16" s="10"/>
      <c r="Y16" s="309" t="s">
        <v>379</v>
      </c>
      <c r="Z16" s="278" t="str">
        <f>IF(AND(Z15="Protected",AA15="Protected",C3&gt;=F3),"ProtectedA","Protected")</f>
        <v>Protected</v>
      </c>
      <c r="AA16" s="309" t="str">
        <f>IF(AND(Z15="Protected",AA15="Protected",F3&gt;=C3),"ProtectedA","Protected")</f>
        <v>Protected</v>
      </c>
      <c r="AB16" s="309" t="str">
        <f>IF(AND(AB15="Protected",AC15="Protected",I3&gt;=L3),"ProtectedA","Protected")</f>
        <v>Protected</v>
      </c>
      <c r="AC16" s="309" t="str">
        <f>IF(AND(AB15="Protected",AC15="Protected",L3&gt;=I3),"ProtectedA","Protected")</f>
        <v>Protected</v>
      </c>
      <c r="AE16" s="241"/>
      <c r="AF16" s="241"/>
      <c r="AG16" s="241"/>
      <c r="AH16" s="241"/>
      <c r="AI16" s="167" t="s">
        <v>386</v>
      </c>
      <c r="AJ16" s="167" t="str">
        <f>INDEX(AO4:AO11,MATCH($AI$14,$AN$4:$AN$11,0))</f>
        <v>EBTHLT</v>
      </c>
      <c r="AK16" s="167" t="str">
        <f>INDEX(AP4:AP11,MATCH($AI$14,$AN$4:$AN$11,0))</f>
        <v>WBTHLT</v>
      </c>
      <c r="AL16" s="167">
        <f>INDEX(AQ4:AQ11,MATCH($AI$14,$AN$4:$AN$11,0))</f>
        <v>0</v>
      </c>
      <c r="BI16" s="469"/>
      <c r="BJ16" s="469"/>
      <c r="BK16" s="469"/>
      <c r="BL16" s="469"/>
      <c r="BM16" s="469"/>
      <c r="BN16" s="469"/>
      <c r="BO16" s="469"/>
      <c r="BP16" s="469"/>
      <c r="BQ16" s="469"/>
      <c r="BR16" s="469"/>
      <c r="BS16" s="469"/>
      <c r="BT16" s="469"/>
      <c r="BU16" s="469"/>
      <c r="BV16" s="469"/>
      <c r="BW16" s="469"/>
      <c r="BX16" s="469"/>
    </row>
    <row r="17" spans="2:76" s="164" customFormat="1" ht="15" hidden="1" customHeight="1" x14ac:dyDescent="0.25">
      <c r="B17" s="309" t="s">
        <v>227</v>
      </c>
      <c r="C17" s="554"/>
      <c r="D17" s="555"/>
      <c r="E17" s="556"/>
      <c r="F17" s="554"/>
      <c r="G17" s="555"/>
      <c r="H17" s="556"/>
      <c r="I17" s="554"/>
      <c r="J17" s="555"/>
      <c r="K17" s="556"/>
      <c r="L17" s="555"/>
      <c r="M17" s="555"/>
      <c r="N17" s="555"/>
      <c r="O17" s="330">
        <f>SUM(AJ17:AL17,AJ33:AL33)</f>
        <v>0</v>
      </c>
      <c r="P17" s="278" t="s">
        <v>213</v>
      </c>
      <c r="Q17" s="10"/>
      <c r="R17" s="13"/>
      <c r="S17" s="101"/>
      <c r="T17" s="101"/>
      <c r="U17" s="10"/>
      <c r="V17" s="103"/>
      <c r="W17" s="10"/>
      <c r="Y17" s="309" t="s">
        <v>380</v>
      </c>
      <c r="Z17" s="309" t="str">
        <f>IF(AND(Z14=1,Z15="Permitted"),"Not opposed",Z15)</f>
        <v>Not opposed</v>
      </c>
      <c r="AA17" s="309" t="str">
        <f>IF(AND(AA14=1,AA15="Permitted"),"Not opposed",AA15)</f>
        <v>Not opposed</v>
      </c>
      <c r="AB17" s="309" t="str">
        <f>IF(AND(AB14=1,AB15="Permitted"),"Not opposed",AB15)</f>
        <v>Not opposed</v>
      </c>
      <c r="AC17" s="309" t="str">
        <f>IF(AND(AC14=1,AC15="Permitted"),"Not opposed",AC15)</f>
        <v>Not opposed</v>
      </c>
      <c r="AE17" s="78"/>
      <c r="AF17" s="78"/>
      <c r="AG17" s="78"/>
      <c r="AH17" s="78"/>
      <c r="AI17" s="167" t="s">
        <v>387</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67"/>
      <c r="BJ17" s="467"/>
      <c r="BK17" s="467"/>
      <c r="BL17" s="467"/>
      <c r="BM17" s="467"/>
      <c r="BN17" s="467"/>
      <c r="BO17" s="467"/>
      <c r="BP17" s="467"/>
      <c r="BQ17" s="467"/>
      <c r="BR17" s="467"/>
      <c r="BS17" s="467"/>
      <c r="BT17" s="467"/>
      <c r="BU17" s="467"/>
      <c r="BV17" s="467"/>
      <c r="BW17" s="467"/>
      <c r="BX17" s="467"/>
    </row>
    <row r="18" spans="2:76" x14ac:dyDescent="0.25">
      <c r="B18" s="309" t="s">
        <v>415</v>
      </c>
      <c r="C18" s="508">
        <f>'Phase designation'!B27</f>
        <v>0</v>
      </c>
      <c r="D18" s="509">
        <f>'Phase designation'!C27</f>
        <v>4</v>
      </c>
      <c r="E18" s="509"/>
      <c r="F18" s="508">
        <f>'Phase designation'!D27</f>
        <v>0</v>
      </c>
      <c r="G18" s="509">
        <f>'Phase designation'!E27</f>
        <v>8</v>
      </c>
      <c r="H18" s="509"/>
      <c r="I18" s="508">
        <f>'Phase designation'!F27</f>
        <v>0</v>
      </c>
      <c r="J18" s="509">
        <f>'Phase designation'!G27</f>
        <v>2</v>
      </c>
      <c r="K18" s="509"/>
      <c r="L18" s="508">
        <f>'Phase designation'!H27</f>
        <v>0</v>
      </c>
      <c r="M18" s="509">
        <f>'Phase designation'!I27</f>
        <v>6</v>
      </c>
      <c r="N18" s="509"/>
      <c r="O18" s="499"/>
      <c r="Q18" s="10"/>
      <c r="R18" s="558" t="s">
        <v>208</v>
      </c>
      <c r="S18" s="25">
        <v>1</v>
      </c>
      <c r="T18" s="25">
        <v>1</v>
      </c>
      <c r="U18" s="16"/>
      <c r="V18" s="13"/>
      <c r="W18" s="14"/>
      <c r="Y18" s="303" t="s">
        <v>375</v>
      </c>
      <c r="Z18" s="303" t="str">
        <f>IF(AND(Z16="ProtectedA",Z17="Protected"),"ProtectedA",Z17)</f>
        <v>Not opposed</v>
      </c>
      <c r="AA18" s="303" t="str">
        <f>IF(AND(AA16="ProtectedA",AA17="Protected"),"ProtectedA",AA17)</f>
        <v>Not opposed</v>
      </c>
      <c r="AB18" s="303" t="str">
        <f>IF(AND(AB16="ProtectedA",AB17="Protected"),"ProtectedA",AB17)</f>
        <v>Not opposed</v>
      </c>
      <c r="AC18" s="303" t="str">
        <f>IF(AND(AC16="ProtectedA",AC17="Protected"),"ProtectedA",AC17)</f>
        <v>Not opposed</v>
      </c>
      <c r="AI18" s="328" t="s">
        <v>396</v>
      </c>
      <c r="AJ18" s="328">
        <f>IF(AJ17=0,0,ROUND(($C$25-$C$23)*(AJ17/$O$17)+AJ15,1))</f>
        <v>0</v>
      </c>
      <c r="AK18" s="328">
        <f>IF(AK17=0,0,ROUND(($C$25-$C$23)*(AK17/$O$17)+AK15,1))</f>
        <v>0</v>
      </c>
      <c r="AL18" s="328">
        <f>IF(AL17=0,0,ROUND(($C$25-$C$23)*(AL17/$O$17)+AL15,1))</f>
        <v>0</v>
      </c>
      <c r="BI18" s="467"/>
      <c r="BJ18" s="467"/>
      <c r="BK18" s="467"/>
      <c r="BL18" s="467"/>
      <c r="BM18" s="467"/>
      <c r="BN18" s="467"/>
      <c r="BO18" s="467"/>
      <c r="BP18" s="467"/>
      <c r="BQ18" s="467"/>
      <c r="BR18" s="467"/>
      <c r="BS18" s="467"/>
      <c r="BT18" s="467"/>
      <c r="BU18" s="467"/>
      <c r="BV18" s="467"/>
      <c r="BW18" s="467"/>
      <c r="BX18" s="467"/>
    </row>
    <row r="19" spans="2:76" s="110" customFormat="1" x14ac:dyDescent="0.25">
      <c r="B19" s="283" t="s">
        <v>125</v>
      </c>
      <c r="C19" s="284">
        <f>'Phase designation'!B28</f>
        <v>4</v>
      </c>
      <c r="D19" s="500">
        <f>'Phase designation'!C28</f>
        <v>0</v>
      </c>
      <c r="E19" s="500">
        <f>D18</f>
        <v>4</v>
      </c>
      <c r="F19" s="284">
        <f>'Phase designation'!D28</f>
        <v>8</v>
      </c>
      <c r="G19" s="500">
        <f>'Phase designation'!E28</f>
        <v>0</v>
      </c>
      <c r="H19" s="500">
        <f>D18</f>
        <v>4</v>
      </c>
      <c r="I19" s="284">
        <f>'Phase designation'!F28</f>
        <v>2</v>
      </c>
      <c r="J19" s="500">
        <f>'Phase designation'!G28</f>
        <v>0</v>
      </c>
      <c r="K19" s="500">
        <f>J18</f>
        <v>2</v>
      </c>
      <c r="L19" s="284">
        <f>'Phase designation'!H28</f>
        <v>6</v>
      </c>
      <c r="M19" s="500">
        <f>'Phase designation'!I28</f>
        <v>0</v>
      </c>
      <c r="N19" s="500">
        <f>M18</f>
        <v>6</v>
      </c>
      <c r="O19" s="198"/>
      <c r="P19" s="195"/>
      <c r="Q19" s="108"/>
      <c r="R19" s="558"/>
      <c r="S19" s="107">
        <v>2</v>
      </c>
      <c r="T19" s="107">
        <v>0.97099999999999997</v>
      </c>
      <c r="U19" s="106"/>
      <c r="V19" s="109"/>
      <c r="W19" s="109"/>
      <c r="Y19" s="223" t="s">
        <v>383</v>
      </c>
      <c r="Z19" s="552" t="str">
        <f>IF(OR(AND(Z18="Not opposed", AA18="Protected"),AND(AA18="Not opposed", Z18="Protected")),"ProtectedA Protected",Z18&amp;" "&amp;AA18)</f>
        <v>Not opposed Not opposed</v>
      </c>
      <c r="AA19" s="552"/>
      <c r="AB19" s="552" t="str">
        <f>IF(OR(AND(AB18="Protected",AC18="Not opposed"),AND(AC18="Protected",AB18="Not opposed")),"Protected ProtectedA",AB18&amp;" "&amp;AC18)</f>
        <v>Not opposed Not opposed</v>
      </c>
      <c r="AC19" s="552"/>
      <c r="AE19" s="198"/>
      <c r="AF19" s="198"/>
      <c r="AG19" s="198"/>
      <c r="AH19" s="287" t="s">
        <v>382</v>
      </c>
      <c r="AI19" s="78" t="s">
        <v>385</v>
      </c>
      <c r="AJ19" s="78" t="s">
        <v>124</v>
      </c>
      <c r="AK19" s="77"/>
      <c r="AL19" s="77"/>
      <c r="AM19" s="77"/>
      <c r="AN19" s="77" t="s">
        <v>386</v>
      </c>
      <c r="AO19" s="77" t="s">
        <v>124</v>
      </c>
      <c r="AP19" s="77"/>
      <c r="AQ19" s="77"/>
      <c r="AR19" s="77"/>
      <c r="AS19" s="77" t="s">
        <v>387</v>
      </c>
      <c r="AT19" s="77" t="s">
        <v>124</v>
      </c>
      <c r="AU19" s="77"/>
      <c r="AV19" s="77"/>
      <c r="BI19" s="470"/>
      <c r="BJ19" s="470"/>
      <c r="BK19" s="470"/>
      <c r="BL19" s="470"/>
      <c r="BM19" s="470"/>
      <c r="BN19" s="470"/>
      <c r="BO19" s="470"/>
      <c r="BP19" s="470"/>
      <c r="BQ19" s="470"/>
      <c r="BR19" s="470"/>
      <c r="BS19" s="470"/>
      <c r="BT19" s="470"/>
      <c r="BU19" s="470"/>
      <c r="BV19" s="470"/>
      <c r="BW19" s="470"/>
      <c r="BX19" s="470"/>
    </row>
    <row r="20" spans="2:76" x14ac:dyDescent="0.25">
      <c r="B20" s="346" t="s">
        <v>126</v>
      </c>
      <c r="C20" s="509">
        <f>'Input sheet'!$V$6</f>
        <v>4</v>
      </c>
      <c r="D20" s="509">
        <f>'Input sheet'!$V$6</f>
        <v>4</v>
      </c>
      <c r="E20" s="509">
        <f>'Input sheet'!$V$6</f>
        <v>4</v>
      </c>
      <c r="F20" s="509">
        <f>'Input sheet'!$V$6</f>
        <v>4</v>
      </c>
      <c r="G20" s="509">
        <f>'Input sheet'!$V$6</f>
        <v>4</v>
      </c>
      <c r="H20" s="509">
        <f>'Input sheet'!$V$6</f>
        <v>4</v>
      </c>
      <c r="I20" s="509">
        <f>'Input sheet'!$V$6</f>
        <v>4</v>
      </c>
      <c r="J20" s="509">
        <f>'Input sheet'!$V$6</f>
        <v>4</v>
      </c>
      <c r="K20" s="509">
        <f>'Input sheet'!$V$6</f>
        <v>4</v>
      </c>
      <c r="L20" s="509">
        <f>'Input sheet'!$V$6</f>
        <v>4</v>
      </c>
      <c r="M20" s="509">
        <f>'Input sheet'!$V$6</f>
        <v>4</v>
      </c>
      <c r="N20" s="509">
        <f>'Input sheet'!$V$6</f>
        <v>4</v>
      </c>
      <c r="O20" s="241"/>
      <c r="Q20" s="10"/>
      <c r="R20" s="35"/>
      <c r="S20" s="25"/>
      <c r="T20" s="25"/>
      <c r="U20" s="16"/>
      <c r="V20" s="105"/>
      <c r="W20" s="72"/>
      <c r="Y20" s="304" t="s">
        <v>384</v>
      </c>
      <c r="Z20" s="516">
        <f>MATCH(Z19,AE3:AE11,0)</f>
        <v>8</v>
      </c>
      <c r="AA20" s="516"/>
      <c r="AB20" s="516">
        <f>MATCH(AB19,AF3:AF11,0)</f>
        <v>8</v>
      </c>
      <c r="AC20" s="516"/>
      <c r="AI20" s="78" t="s">
        <v>372</v>
      </c>
      <c r="AJ20" s="78">
        <v>1</v>
      </c>
      <c r="AK20" s="77">
        <v>2</v>
      </c>
      <c r="AL20" s="77">
        <v>3</v>
      </c>
      <c r="AN20" s="77" t="s">
        <v>372</v>
      </c>
      <c r="AO20" s="77">
        <v>1</v>
      </c>
      <c r="AP20" s="77">
        <v>2</v>
      </c>
      <c r="AQ20" s="77">
        <v>3</v>
      </c>
      <c r="AS20" s="77" t="s">
        <v>372</v>
      </c>
      <c r="AT20" s="77">
        <v>1</v>
      </c>
      <c r="AU20" s="77">
        <v>2</v>
      </c>
      <c r="AV20" s="77">
        <v>3</v>
      </c>
      <c r="BI20" s="467"/>
      <c r="BJ20" s="467"/>
      <c r="BK20" s="467"/>
      <c r="BL20" s="467"/>
      <c r="BM20" s="467"/>
      <c r="BN20" s="467"/>
      <c r="BO20" s="467"/>
      <c r="BP20" s="467"/>
      <c r="BQ20" s="467"/>
      <c r="BR20" s="467"/>
      <c r="BS20" s="467"/>
      <c r="BT20" s="467"/>
      <c r="BU20" s="467"/>
      <c r="BV20" s="467"/>
      <c r="BW20" s="467"/>
      <c r="BX20" s="467"/>
    </row>
    <row r="21" spans="2:76" x14ac:dyDescent="0.25">
      <c r="B21" s="502" t="s">
        <v>640</v>
      </c>
      <c r="C21" s="310" t="str">
        <f>IF(AND(C18=0,C19=0),"",IF(AND(C18&gt;0,C19&gt;0),"Prot+perm",IF(AND(C18&gt;0,C19=0),"Protected","Permitted")))</f>
        <v>Permitted</v>
      </c>
      <c r="D21" s="311"/>
      <c r="E21" s="501"/>
      <c r="F21" s="310" t="str">
        <f>IF(AND(F18=0,F19=0),"",IF(AND(F18&gt;0,F19&gt;0),"Prot+perm",IF(AND(F18&gt;0,F19=0),"Protected","Permitted")))</f>
        <v>Permitted</v>
      </c>
      <c r="G21" s="311"/>
      <c r="H21" s="501"/>
      <c r="I21" s="310" t="str">
        <f>IF(AND(I18=0,I19=0),"",IF(AND(I18&gt;0,I19&gt;0),"Prot+perm",IF(AND(I18&gt;0,I19=0),"Protected","Permitted")))</f>
        <v>Permitted</v>
      </c>
      <c r="J21" s="311"/>
      <c r="K21" s="501"/>
      <c r="L21" s="311" t="str">
        <f>IF(AND(L18=0,L19=0),"",IF(AND(L18&gt;0,L19&gt;0),"Prot+perm",IF(AND(L18&gt;0,L19=0),"Protected","Permitted")))</f>
        <v>Permitted</v>
      </c>
      <c r="M21" s="311"/>
      <c r="N21" s="311"/>
      <c r="O21" s="499"/>
      <c r="Q21" s="10"/>
      <c r="R21" s="104"/>
      <c r="S21" s="25"/>
      <c r="T21" s="25"/>
      <c r="U21" s="16"/>
      <c r="V21" s="16"/>
      <c r="W21" s="15"/>
      <c r="Y21" s="304" t="s">
        <v>372</v>
      </c>
      <c r="Z21" s="516">
        <f>INDEX(AD3:AD13,Z20)</f>
        <v>4</v>
      </c>
      <c r="AA21" s="516"/>
      <c r="AB21" s="516">
        <f>INDEX(AD3:AD11,AB20)</f>
        <v>4</v>
      </c>
      <c r="AC21" s="516"/>
      <c r="AI21" s="78" t="s">
        <v>364</v>
      </c>
      <c r="AJ21" s="78">
        <v>4</v>
      </c>
      <c r="AN21" s="77" t="s">
        <v>364</v>
      </c>
      <c r="AO21" s="324" t="s">
        <v>392</v>
      </c>
      <c r="AP21" s="324"/>
      <c r="AQ21" s="324"/>
      <c r="AS21" s="77" t="s">
        <v>364</v>
      </c>
      <c r="AT21" s="77">
        <f>MAX(J16,I16,M16,L16)</f>
        <v>0</v>
      </c>
      <c r="BI21" s="467"/>
      <c r="BJ21" s="467"/>
      <c r="BK21" s="467"/>
      <c r="BL21" s="467"/>
      <c r="BM21" s="467"/>
      <c r="BN21" s="467"/>
      <c r="BO21" s="467"/>
      <c r="BP21" s="467"/>
      <c r="BQ21" s="467"/>
      <c r="BR21" s="467"/>
      <c r="BS21" s="467"/>
      <c r="BT21" s="467"/>
      <c r="BU21" s="467"/>
      <c r="BV21" s="467"/>
      <c r="BW21" s="467"/>
      <c r="BX21" s="467"/>
    </row>
    <row r="22" spans="2:76" x14ac:dyDescent="0.25">
      <c r="B22" s="77"/>
      <c r="C22" s="77"/>
      <c r="D22" s="77"/>
      <c r="E22" s="77"/>
      <c r="F22" s="77"/>
      <c r="G22" s="101"/>
      <c r="H22" s="101"/>
      <c r="I22" s="101"/>
      <c r="J22" s="101"/>
      <c r="K22" s="101"/>
      <c r="L22" s="101"/>
      <c r="M22" s="101"/>
      <c r="N22" s="101"/>
      <c r="O22" s="77"/>
      <c r="Q22" s="10"/>
      <c r="R22" s="104"/>
      <c r="S22" s="25"/>
      <c r="T22" s="29"/>
      <c r="U22" s="16"/>
      <c r="V22" s="101" t="s">
        <v>233</v>
      </c>
      <c r="W22" s="15"/>
      <c r="AI22" s="78" t="s">
        <v>365</v>
      </c>
      <c r="AJ22" s="78">
        <v>4</v>
      </c>
      <c r="AN22" s="77" t="s">
        <v>365</v>
      </c>
      <c r="AO22" s="324" t="s">
        <v>392</v>
      </c>
      <c r="AP22" s="324"/>
      <c r="AQ22" s="324"/>
      <c r="AS22" s="77" t="s">
        <v>365</v>
      </c>
      <c r="AT22" s="309">
        <f>MAX(J16,I16,M16,L16)</f>
        <v>0</v>
      </c>
      <c r="BI22" s="467"/>
      <c r="BJ22" s="467"/>
      <c r="BK22" s="467"/>
      <c r="BL22" s="467"/>
      <c r="BM22" s="467"/>
      <c r="BN22" s="467"/>
      <c r="BO22" s="467"/>
      <c r="BP22" s="467"/>
      <c r="BQ22" s="467"/>
      <c r="BR22" s="467"/>
      <c r="BS22" s="467"/>
      <c r="BT22" s="467"/>
      <c r="BU22" s="467"/>
      <c r="BV22" s="467"/>
      <c r="BW22" s="467"/>
      <c r="BX22" s="467"/>
    </row>
    <row r="23" spans="2:76" x14ac:dyDescent="0.25">
      <c r="B23" s="312" t="s">
        <v>416</v>
      </c>
      <c r="C23" s="510">
        <f>SUM(AJ15:AL15,AJ31:AL31)</f>
        <v>16</v>
      </c>
      <c r="F23" s="101"/>
      <c r="H23" s="101"/>
      <c r="M23" s="101"/>
      <c r="N23" s="101"/>
      <c r="O23" s="77"/>
      <c r="S23" s="85"/>
      <c r="V23" s="101">
        <f>IF(O17&gt;=O11,140,C23/(1-(O17/O11)))</f>
        <v>16</v>
      </c>
      <c r="Y23" s="315" t="s">
        <v>425</v>
      </c>
      <c r="Z23" s="315" t="s">
        <v>426</v>
      </c>
      <c r="AA23" s="315" t="s">
        <v>427</v>
      </c>
      <c r="AB23" s="101" t="s">
        <v>300</v>
      </c>
      <c r="AC23" s="315" t="s">
        <v>428</v>
      </c>
      <c r="AI23" s="78" t="s">
        <v>366</v>
      </c>
      <c r="AJ23" s="78">
        <v>4</v>
      </c>
      <c r="AN23" s="77" t="s">
        <v>366</v>
      </c>
      <c r="AO23" s="324" t="s">
        <v>392</v>
      </c>
      <c r="AP23" s="324"/>
      <c r="AQ23" s="324"/>
      <c r="AS23" s="77" t="s">
        <v>366</v>
      </c>
      <c r="AT23" s="309">
        <f>MAX(J16,I16,M16,L16)</f>
        <v>0</v>
      </c>
      <c r="BI23" s="467"/>
      <c r="BJ23" s="467"/>
      <c r="BK23" s="467"/>
      <c r="BL23" s="467"/>
      <c r="BM23" s="467"/>
      <c r="BN23" s="467"/>
      <c r="BO23" s="467"/>
      <c r="BP23" s="467"/>
      <c r="BQ23" s="467"/>
      <c r="BR23" s="467"/>
      <c r="BS23" s="467"/>
      <c r="BT23" s="467"/>
      <c r="BU23" s="467"/>
      <c r="BV23" s="467"/>
      <c r="BW23" s="467"/>
      <c r="BX23" s="467"/>
    </row>
    <row r="24" spans="2:76" x14ac:dyDescent="0.25">
      <c r="B24" s="314" t="s">
        <v>417</v>
      </c>
      <c r="C24" s="348">
        <f>C23/(1-(O17/O11))</f>
        <v>16</v>
      </c>
      <c r="D24" s="557" t="s">
        <v>430</v>
      </c>
      <c r="E24" s="557"/>
      <c r="F24" s="354">
        <f>V25</f>
        <v>10</v>
      </c>
      <c r="H24" s="101"/>
      <c r="M24" s="101"/>
      <c r="N24" s="101"/>
      <c r="O24" s="77"/>
      <c r="U24" s="101" t="s">
        <v>429</v>
      </c>
      <c r="V24" s="101" t="s">
        <v>297</v>
      </c>
      <c r="Y24" s="3">
        <v>-100000</v>
      </c>
      <c r="Z24" s="3">
        <v>0</v>
      </c>
      <c r="AA24" s="3">
        <f>'Input sheet'!V9</f>
        <v>150</v>
      </c>
      <c r="AB24" s="101">
        <f>V23</f>
        <v>16</v>
      </c>
      <c r="AC24" s="3">
        <f>LOOKUP(AB24,Y24:Z37,AA24:AA37)</f>
        <v>40</v>
      </c>
      <c r="AI24" s="78" t="s">
        <v>367</v>
      </c>
      <c r="AJ24" s="78">
        <v>4</v>
      </c>
      <c r="AK24" s="77">
        <v>4</v>
      </c>
      <c r="AN24" s="77" t="s">
        <v>367</v>
      </c>
      <c r="AO24" s="324" t="s">
        <v>393</v>
      </c>
      <c r="AP24" s="324" t="s">
        <v>392</v>
      </c>
      <c r="AQ24" s="324"/>
      <c r="AS24" s="77" t="s">
        <v>367</v>
      </c>
      <c r="AT24" s="77">
        <f>L16</f>
        <v>0</v>
      </c>
      <c r="AU24" s="309">
        <f>MAX(M16-L16,J16)</f>
        <v>0</v>
      </c>
    </row>
    <row r="25" spans="2:76" x14ac:dyDescent="0.25">
      <c r="B25" s="313" t="s">
        <v>418</v>
      </c>
      <c r="C25" s="511">
        <f>V27</f>
        <v>40</v>
      </c>
      <c r="D25" s="482" t="s">
        <v>563</v>
      </c>
      <c r="E25" s="482">
        <f>UTDF_input!C92</f>
        <v>0</v>
      </c>
      <c r="F25" s="480" t="s">
        <v>384</v>
      </c>
      <c r="G25" s="481">
        <f>UTDF_input!C90</f>
        <v>0</v>
      </c>
      <c r="H25" s="101"/>
      <c r="I25" s="101"/>
      <c r="J25" s="101"/>
      <c r="K25" s="101"/>
      <c r="L25" s="101"/>
      <c r="M25" s="101"/>
      <c r="N25" s="101"/>
      <c r="O25" s="77"/>
      <c r="Q25" s="75"/>
      <c r="R25" s="75"/>
      <c r="S25" s="75"/>
      <c r="U25" s="3">
        <f>Phasing!L27</f>
        <v>10</v>
      </c>
      <c r="V25" s="101">
        <f>10*ROUNDUP(U25/10,0)</f>
        <v>10</v>
      </c>
      <c r="Y25" s="3">
        <v>0</v>
      </c>
      <c r="Z25" s="3">
        <v>40</v>
      </c>
      <c r="AA25" s="3">
        <f>'Input sheet'!V8</f>
        <v>40</v>
      </c>
      <c r="AI25" s="78" t="s">
        <v>368</v>
      </c>
      <c r="AJ25" s="78">
        <v>4</v>
      </c>
      <c r="AK25" s="77">
        <v>4</v>
      </c>
      <c r="AN25" s="77" t="s">
        <v>368</v>
      </c>
      <c r="AO25" s="324" t="s">
        <v>394</v>
      </c>
      <c r="AP25" s="324" t="s">
        <v>392</v>
      </c>
      <c r="AQ25" s="324"/>
      <c r="AS25" s="77" t="s">
        <v>368</v>
      </c>
      <c r="AT25" s="77">
        <f>I16</f>
        <v>0</v>
      </c>
      <c r="AU25" s="77">
        <f>MAX(J16-I16,M16)</f>
        <v>0</v>
      </c>
    </row>
    <row r="26" spans="2:76" hidden="1" x14ac:dyDescent="0.25">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78" t="s">
        <v>332</v>
      </c>
      <c r="Y26" s="3">
        <f>Z25+0.001</f>
        <v>40.000999999999998</v>
      </c>
      <c r="Z26" s="3">
        <f>Z25+10</f>
        <v>50</v>
      </c>
      <c r="AA26" s="3">
        <f>AA25+10</f>
        <v>50</v>
      </c>
      <c r="AI26" s="78" t="s">
        <v>369</v>
      </c>
      <c r="AJ26" s="78">
        <v>4</v>
      </c>
      <c r="AK26" s="77">
        <v>0</v>
      </c>
      <c r="AL26" s="77">
        <v>4</v>
      </c>
      <c r="AN26" s="77" t="s">
        <v>369</v>
      </c>
      <c r="AO26" s="324" t="s">
        <v>395</v>
      </c>
      <c r="AP26" s="324" t="s">
        <v>394</v>
      </c>
      <c r="AQ26" s="324" t="s">
        <v>392</v>
      </c>
      <c r="AS26" s="77" t="s">
        <v>369</v>
      </c>
      <c r="AT26" s="77">
        <f>L16</f>
        <v>0</v>
      </c>
      <c r="AU26" s="77">
        <f>I16-L16</f>
        <v>0</v>
      </c>
      <c r="AV26" s="77">
        <f>MAX(M16,J16-(I16-L16))</f>
        <v>0</v>
      </c>
    </row>
    <row r="27" spans="2:76" hidden="1" x14ac:dyDescent="0.25">
      <c r="B27" s="77" t="s">
        <v>128</v>
      </c>
      <c r="C27" s="77">
        <f>IF(C18=0,0,MATCH(C26,'Max greens'!$B:$B))</f>
        <v>0</v>
      </c>
      <c r="D27" s="77">
        <f>IF(D18=0,0,MATCH(D26,'Max greens'!$B:$B))</f>
        <v>7</v>
      </c>
      <c r="E27" s="77"/>
      <c r="F27" s="77">
        <f>IF(F18=0,0,MATCH(F26,'Max greens'!$B:$B))</f>
        <v>0</v>
      </c>
      <c r="G27" s="77">
        <f>IF(G18=0,0,MATCH(G26,'Max greens'!$B:$B))</f>
        <v>7</v>
      </c>
      <c r="H27" s="77"/>
      <c r="I27" s="77">
        <f>IF(I18=0,0,MATCH(I26,'Max greens'!$B:$B))</f>
        <v>0</v>
      </c>
      <c r="J27" s="77">
        <f>IF(J18=0,0,MATCH(J26,'Max greens'!$B:$B))</f>
        <v>7</v>
      </c>
      <c r="K27" s="77"/>
      <c r="L27" s="77">
        <f>IF(L18=0,0,MATCH(L26,'Max greens'!$B:$B))</f>
        <v>0</v>
      </c>
      <c r="M27" s="77">
        <f>IF(M18=0,0,MATCH(M26,'Max greens'!$B:$B))</f>
        <v>7</v>
      </c>
      <c r="N27" s="77"/>
      <c r="O27" s="77"/>
      <c r="Q27" s="55"/>
      <c r="R27" s="535" t="s">
        <v>113</v>
      </c>
      <c r="S27" s="535"/>
      <c r="T27" s="535"/>
      <c r="U27" s="535"/>
      <c r="V27" s="77">
        <f>IF(MAX(V25,AC24)&gt;='Input sheet'!V9,'Input sheet'!V9,MAX(V25,AC24))</f>
        <v>40</v>
      </c>
      <c r="Y27" s="315">
        <f t="shared" ref="Y27:Y36" si="6">Z26+0.001</f>
        <v>50.000999999999998</v>
      </c>
      <c r="Z27" s="315">
        <f t="shared" ref="Z27:Z35" si="7">Z26+10</f>
        <v>60</v>
      </c>
      <c r="AA27" s="315">
        <f t="shared" ref="AA27:AA36" si="8">AA26+10</f>
        <v>60</v>
      </c>
      <c r="AI27" s="78" t="s">
        <v>370</v>
      </c>
      <c r="AJ27" s="78">
        <v>4</v>
      </c>
      <c r="AK27" s="77">
        <v>0</v>
      </c>
      <c r="AL27" s="77">
        <v>4</v>
      </c>
      <c r="AN27" s="77" t="s">
        <v>370</v>
      </c>
      <c r="AO27" s="324" t="s">
        <v>395</v>
      </c>
      <c r="AP27" s="324" t="s">
        <v>393</v>
      </c>
      <c r="AQ27" s="324" t="s">
        <v>392</v>
      </c>
      <c r="AS27" s="77" t="s">
        <v>370</v>
      </c>
      <c r="AT27" s="77">
        <f>I16</f>
        <v>0</v>
      </c>
      <c r="AU27" s="77">
        <f>L16-I16</f>
        <v>0</v>
      </c>
      <c r="AV27" s="77">
        <f>MAX(J16,M16-(L16-I16))</f>
        <v>0</v>
      </c>
    </row>
    <row r="28" spans="2:76" hidden="1" x14ac:dyDescent="0.25">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15">
        <f t="shared" si="6"/>
        <v>60.000999999999998</v>
      </c>
      <c r="Z28" s="315">
        <f t="shared" si="7"/>
        <v>70</v>
      </c>
      <c r="AA28" s="315">
        <f t="shared" si="8"/>
        <v>70</v>
      </c>
      <c r="AI28" s="78">
        <v>4</v>
      </c>
      <c r="AJ28" s="78">
        <v>4</v>
      </c>
      <c r="AK28" s="77">
        <v>4</v>
      </c>
      <c r="AN28" s="77">
        <v>4</v>
      </c>
      <c r="AO28" s="324" t="s">
        <v>394</v>
      </c>
      <c r="AP28" s="324" t="s">
        <v>393</v>
      </c>
      <c r="AQ28" s="324"/>
      <c r="AS28" s="77">
        <v>4</v>
      </c>
      <c r="AT28" s="77">
        <f>MAX(J16,I16)</f>
        <v>0</v>
      </c>
      <c r="AU28" s="77">
        <f>MAX(M16,L16)</f>
        <v>0</v>
      </c>
    </row>
    <row r="29" spans="2:76" hidden="1" x14ac:dyDescent="0.25">
      <c r="B29" s="309" t="s">
        <v>256</v>
      </c>
      <c r="C29" s="332">
        <f>Phasing!O13</f>
        <v>1</v>
      </c>
      <c r="D29" s="332">
        <f>Phasing!P13</f>
        <v>20</v>
      </c>
      <c r="E29" s="332">
        <f>D29</f>
        <v>20</v>
      </c>
      <c r="F29" s="332">
        <f>Phasing!Q13</f>
        <v>25</v>
      </c>
      <c r="G29" s="332">
        <f>Phasing!R13</f>
        <v>30</v>
      </c>
      <c r="H29" s="332">
        <f>G29</f>
        <v>30</v>
      </c>
      <c r="I29" s="332">
        <f>Phasing!S13</f>
        <v>35</v>
      </c>
      <c r="J29" s="332">
        <f>Phasing!T13</f>
        <v>40</v>
      </c>
      <c r="K29" s="332">
        <f>J29</f>
        <v>40</v>
      </c>
      <c r="L29" s="332">
        <f>Phasing!U13</f>
        <v>45</v>
      </c>
      <c r="M29" s="332">
        <f>Phasing!V13</f>
        <v>50</v>
      </c>
      <c r="N29" s="332">
        <f>M29</f>
        <v>50</v>
      </c>
      <c r="O29" s="77"/>
      <c r="Q29" s="59" t="s">
        <v>105</v>
      </c>
      <c r="R29" s="80">
        <f>'Phase designation'!K36</f>
        <v>0</v>
      </c>
      <c r="S29" s="80">
        <f>'Phase designation'!L36</f>
        <v>2</v>
      </c>
      <c r="T29" s="80">
        <f>'Phase designation'!M36</f>
        <v>0</v>
      </c>
      <c r="U29" s="80">
        <f>'Phase designation'!N36</f>
        <v>4</v>
      </c>
      <c r="Y29" s="315">
        <f t="shared" si="6"/>
        <v>70.001000000000005</v>
      </c>
      <c r="Z29" s="315">
        <f t="shared" si="7"/>
        <v>80</v>
      </c>
      <c r="AA29" s="315">
        <f t="shared" si="8"/>
        <v>80</v>
      </c>
    </row>
    <row r="30" spans="2:76" hidden="1" x14ac:dyDescent="0.25">
      <c r="B30" s="309" t="s">
        <v>409</v>
      </c>
      <c r="C30" s="77">
        <f>IF(SUM('Phase designation'!B19:H19)&gt;2,0,AQ48)</f>
        <v>0</v>
      </c>
      <c r="D30" s="309">
        <f>IF(SUM('Phase designation'!B19:H19)&gt;2,0,AR48)</f>
        <v>0</v>
      </c>
      <c r="E30" s="309">
        <f>IF(SUM('Phase designation'!B19:H19)&gt;2,0,AS48)</f>
        <v>0</v>
      </c>
      <c r="F30" s="309">
        <f>IF(SUM('Phase designation'!B19:H19)&gt;2,0,AT48)</f>
        <v>0</v>
      </c>
      <c r="G30" s="309">
        <f>IF(SUM('Phase designation'!B19:H19)&gt;2,0,AU48)</f>
        <v>0</v>
      </c>
      <c r="H30" s="309">
        <f>IF(SUM('Phase designation'!B19:H19)&gt;2,0,AV48)</f>
        <v>0</v>
      </c>
      <c r="I30" s="309">
        <f>IF(SUM('Phase designation'!B19:H19)&gt;2,0,AW48)</f>
        <v>0</v>
      </c>
      <c r="J30" s="309">
        <f>IF(SUM('Phase designation'!B19:H19)&gt;2,0,AX48)</f>
        <v>0</v>
      </c>
      <c r="K30" s="309">
        <f>IF(SUM('Phase designation'!B19:H19)&gt;2,0,AY48)</f>
        <v>0</v>
      </c>
      <c r="L30" s="309">
        <f>IF(SUM('Phase designation'!B19:H19)&gt;2,0,AZ48)</f>
        <v>0</v>
      </c>
      <c r="M30" s="309">
        <f>IF(SUM('Phase designation'!B19:H19)&gt;2,0,BA48)</f>
        <v>0</v>
      </c>
      <c r="N30" s="309">
        <f>IF(SUM('Phase designation'!B19:H19)&gt;2,0,BB48)</f>
        <v>0</v>
      </c>
      <c r="O30" s="77"/>
      <c r="Q30" s="61" t="s">
        <v>106</v>
      </c>
      <c r="R30" s="80">
        <f>'Phase designation'!K37</f>
        <v>0</v>
      </c>
      <c r="S30" s="80">
        <f>'Phase designation'!L37</f>
        <v>6</v>
      </c>
      <c r="T30" s="80">
        <f>'Phase designation'!M37</f>
        <v>0</v>
      </c>
      <c r="U30" s="80">
        <f>'Phase designation'!N37</f>
        <v>8</v>
      </c>
      <c r="Y30" s="315">
        <f t="shared" si="6"/>
        <v>80.001000000000005</v>
      </c>
      <c r="Z30" s="315">
        <f t="shared" si="7"/>
        <v>90</v>
      </c>
      <c r="AA30" s="315">
        <f t="shared" si="8"/>
        <v>90</v>
      </c>
      <c r="AH30" s="327" t="s">
        <v>382</v>
      </c>
      <c r="AI30" s="326">
        <f>AB21</f>
        <v>4</v>
      </c>
      <c r="AJ30" s="167"/>
      <c r="AK30" s="303"/>
      <c r="AL30" s="303"/>
    </row>
    <row r="31" spans="2:76" s="69" customFormat="1" x14ac:dyDescent="0.25">
      <c r="B31" s="77"/>
      <c r="C31" s="77"/>
      <c r="D31" s="77"/>
      <c r="E31" s="77"/>
      <c r="F31" s="77"/>
      <c r="G31" s="77"/>
      <c r="H31" s="77"/>
      <c r="I31" s="77"/>
      <c r="J31" s="77"/>
      <c r="K31" s="77"/>
      <c r="L31" s="77"/>
      <c r="M31" s="77"/>
      <c r="N31" s="77"/>
      <c r="O31" s="309"/>
      <c r="P31" s="278"/>
      <c r="Q31" s="62" t="s">
        <v>105</v>
      </c>
      <c r="R31" s="87">
        <f t="shared" ref="R31:U32" si="9">IF(R29=0,0,1)</f>
        <v>0</v>
      </c>
      <c r="S31" s="87">
        <f t="shared" si="9"/>
        <v>1</v>
      </c>
      <c r="T31" s="87">
        <f t="shared" si="9"/>
        <v>0</v>
      </c>
      <c r="U31" s="87">
        <f t="shared" si="9"/>
        <v>1</v>
      </c>
      <c r="Y31" s="315">
        <f t="shared" si="6"/>
        <v>90.001000000000005</v>
      </c>
      <c r="Z31" s="315">
        <f t="shared" si="7"/>
        <v>100</v>
      </c>
      <c r="AA31" s="315">
        <f t="shared" si="8"/>
        <v>100</v>
      </c>
      <c r="AE31" s="78"/>
      <c r="AF31" s="78"/>
      <c r="AG31" s="78"/>
      <c r="AH31" s="78"/>
      <c r="AI31" s="167" t="s">
        <v>385</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14"/>
    </row>
    <row r="32" spans="2:76" x14ac:dyDescent="0.25">
      <c r="B32" s="243" t="s">
        <v>73</v>
      </c>
      <c r="C32" s="334" t="str">
        <f>C2</f>
        <v>EBL</v>
      </c>
      <c r="D32" s="335" t="str">
        <f>D2</f>
        <v>EBT</v>
      </c>
      <c r="E32" s="335" t="s">
        <v>15</v>
      </c>
      <c r="F32" s="334" t="s">
        <v>18</v>
      </c>
      <c r="G32" s="335" t="s">
        <v>19</v>
      </c>
      <c r="H32" s="335" t="s">
        <v>20</v>
      </c>
      <c r="I32" s="334" t="s">
        <v>3</v>
      </c>
      <c r="J32" s="335" t="s">
        <v>4</v>
      </c>
      <c r="K32" s="335" t="s">
        <v>5</v>
      </c>
      <c r="L32" s="334" t="s">
        <v>8</v>
      </c>
      <c r="M32" s="335" t="s">
        <v>9</v>
      </c>
      <c r="N32" s="335" t="s">
        <v>10</v>
      </c>
      <c r="O32" s="309"/>
      <c r="Q32" s="47" t="s">
        <v>106</v>
      </c>
      <c r="R32" s="87">
        <f t="shared" si="9"/>
        <v>0</v>
      </c>
      <c r="S32" s="87">
        <f t="shared" si="9"/>
        <v>1</v>
      </c>
      <c r="T32" s="87">
        <f t="shared" si="9"/>
        <v>0</v>
      </c>
      <c r="U32" s="87">
        <f t="shared" si="9"/>
        <v>1</v>
      </c>
      <c r="Y32" s="315">
        <f t="shared" si="6"/>
        <v>100.001</v>
      </c>
      <c r="Z32" s="315">
        <f t="shared" si="7"/>
        <v>110</v>
      </c>
      <c r="AA32" s="315">
        <f t="shared" si="8"/>
        <v>110</v>
      </c>
      <c r="AI32" s="167" t="s">
        <v>386</v>
      </c>
      <c r="AJ32" s="167" t="str">
        <f>INDEX(AO21:AO28,MATCH($AI$30,$AN$21:$AN$28,0))</f>
        <v>NBTHLT</v>
      </c>
      <c r="AK32" s="167" t="str">
        <f>INDEX(AP21:AP28,MATCH($AI$30,$AN$21:$AN$28,0))</f>
        <v>SBTHLT</v>
      </c>
      <c r="AL32" s="167">
        <f>INDEX(AQ21:AQ28,MATCH($AI$30,$AN$21:$AN$28,0))</f>
        <v>0</v>
      </c>
    </row>
    <row r="33" spans="2:63" x14ac:dyDescent="0.25">
      <c r="B33" s="77" t="s">
        <v>124</v>
      </c>
      <c r="C33" s="508">
        <f>IF('Phase designation'!B19=2,D33,C18)</f>
        <v>4</v>
      </c>
      <c r="D33" s="509">
        <f>D18</f>
        <v>4</v>
      </c>
      <c r="E33" s="509">
        <f>D33</f>
        <v>4</v>
      </c>
      <c r="F33" s="508">
        <f>IF('Phase designation'!D19=2,G33,F18)</f>
        <v>8</v>
      </c>
      <c r="G33" s="509">
        <f>G18</f>
        <v>8</v>
      </c>
      <c r="H33" s="509">
        <f>G33</f>
        <v>8</v>
      </c>
      <c r="I33" s="508">
        <f>IF('Phase designation'!F19=2,J33,I18)</f>
        <v>2</v>
      </c>
      <c r="J33" s="509">
        <f>J18</f>
        <v>2</v>
      </c>
      <c r="K33" s="509">
        <f>J33</f>
        <v>2</v>
      </c>
      <c r="L33" s="508">
        <f>IF('Phase designation'!H19=2,M33,L18)</f>
        <v>6</v>
      </c>
      <c r="M33" s="509">
        <f>M18</f>
        <v>6</v>
      </c>
      <c r="N33" s="509">
        <f>M33</f>
        <v>6</v>
      </c>
      <c r="O33" s="309"/>
      <c r="Y33" s="315">
        <f t="shared" si="6"/>
        <v>110.001</v>
      </c>
      <c r="Z33" s="315">
        <f t="shared" si="7"/>
        <v>120</v>
      </c>
      <c r="AA33" s="315">
        <f t="shared" si="8"/>
        <v>120</v>
      </c>
      <c r="AI33" s="167" t="s">
        <v>387</v>
      </c>
      <c r="AJ33" s="167">
        <f>INDEX(AT21:AT28,MATCH($AI$30,$AS$21:$AS$28,0))</f>
        <v>0</v>
      </c>
      <c r="AK33" s="167">
        <f>INDEX(AU21:AU28,MATCH($AI$30,$AS$21:$AS$28,0))</f>
        <v>0</v>
      </c>
      <c r="AL33" s="167">
        <f>INDEX(AV21:AV28,MATCH($AI$30,$AS$21:$AS$28,0))</f>
        <v>0</v>
      </c>
      <c r="AP33" s="520" t="s">
        <v>381</v>
      </c>
      <c r="AQ33" s="303" t="str">
        <f>AJ16</f>
        <v>EBTHLT</v>
      </c>
      <c r="AR33" s="303" t="str">
        <f>AK16</f>
        <v>WBTHLT</v>
      </c>
      <c r="AS33" s="303">
        <f>AL16</f>
        <v>0</v>
      </c>
      <c r="AT33" s="235"/>
      <c r="AU33" s="235"/>
      <c r="AV33" s="235"/>
      <c r="AW33" s="235"/>
      <c r="AX33" s="235"/>
      <c r="AY33" s="235"/>
      <c r="AZ33" s="235"/>
      <c r="BA33" s="235"/>
      <c r="BB33" s="235"/>
    </row>
    <row r="34" spans="2:63" x14ac:dyDescent="0.25">
      <c r="B34" s="246" t="s">
        <v>134</v>
      </c>
      <c r="C34" s="310" t="e">
        <f>IF(C33=0,0,INDEX($Q$64:$X$64,1,Q69))</f>
        <v>#N/A</v>
      </c>
      <c r="D34" s="311" t="e">
        <f>IF(D33=0,0,INDEX($Q$64:$X$64,1,R69))</f>
        <v>#N/A</v>
      </c>
      <c r="E34" s="311" t="e">
        <f>D34</f>
        <v>#N/A</v>
      </c>
      <c r="F34" s="310" t="e">
        <f>IF(F33=0,0,INDEX($Q$64:$X$64,1,S69))</f>
        <v>#N/A</v>
      </c>
      <c r="G34" s="311" t="e">
        <f>IF(G33=0,0,INDEX($Q$64:$X$64,1,T69))</f>
        <v>#N/A</v>
      </c>
      <c r="H34" s="311" t="e">
        <f>G34</f>
        <v>#N/A</v>
      </c>
      <c r="I34" s="310" t="e">
        <f>IF(I33=0,0,INDEX($Q$64:$X$64,1,U69))</f>
        <v>#N/A</v>
      </c>
      <c r="J34" s="311" t="e">
        <f>IF(J33=0,0,INDEX($Q$64:$X$64,1,V69))</f>
        <v>#N/A</v>
      </c>
      <c r="K34" s="311" t="e">
        <f>J34</f>
        <v>#N/A</v>
      </c>
      <c r="L34" s="310" t="e">
        <f>IF(L33=0,0,INDEX($Q$64:$X$64,1,W69))</f>
        <v>#N/A</v>
      </c>
      <c r="M34" s="311" t="e">
        <f>IF(M33=0,0,INDEX($Q$64:$X$64,1,X69))</f>
        <v>#N/A</v>
      </c>
      <c r="N34" s="311" t="e">
        <f>M34</f>
        <v>#N/A</v>
      </c>
      <c r="O34" s="309"/>
      <c r="Y34" s="315">
        <f t="shared" si="6"/>
        <v>120.001</v>
      </c>
      <c r="Z34" s="315">
        <f t="shared" si="7"/>
        <v>130</v>
      </c>
      <c r="AA34" s="315">
        <f t="shared" si="8"/>
        <v>130</v>
      </c>
      <c r="AI34" s="328" t="s">
        <v>396</v>
      </c>
      <c r="AJ34" s="328">
        <f>IF(AJ33=0,0,ROUND(($C$25-$C$23)*(AJ33/$O$17)+AJ31,1))</f>
        <v>0</v>
      </c>
      <c r="AK34" s="328">
        <f>IF(AK33=0,0,ROUND(($C$25-$C$23)*(AK33/$O$17)+AK31,1))</f>
        <v>0</v>
      </c>
      <c r="AL34" s="328">
        <f>IF(AL33=0,0,ROUND(($C$25-$C$23)*(AL33/$O$17)+AL31,1))</f>
        <v>0</v>
      </c>
      <c r="AP34" s="520"/>
      <c r="AQ34" s="290">
        <f>AJ18</f>
        <v>0</v>
      </c>
      <c r="AR34" s="290">
        <f>AK18</f>
        <v>0</v>
      </c>
      <c r="AS34" s="290">
        <f>AL18</f>
        <v>0</v>
      </c>
      <c r="AT34" s="3"/>
      <c r="AU34" s="3"/>
      <c r="AV34" s="3"/>
    </row>
    <row r="35" spans="2:63" s="233" customFormat="1" x14ac:dyDescent="0.25">
      <c r="B35" s="77" t="s">
        <v>261</v>
      </c>
      <c r="C35" s="508" t="e">
        <f>Phasing!O8</f>
        <v>#N/A</v>
      </c>
      <c r="D35" s="509">
        <f>Phasing!P8</f>
        <v>0</v>
      </c>
      <c r="E35" s="509">
        <f>D35</f>
        <v>0</v>
      </c>
      <c r="F35" s="508" t="e">
        <f>Phasing!Q8</f>
        <v>#N/A</v>
      </c>
      <c r="G35" s="509">
        <f>Phasing!R8</f>
        <v>0</v>
      </c>
      <c r="H35" s="509">
        <f>G35</f>
        <v>0</v>
      </c>
      <c r="I35" s="508" t="e">
        <f>Phasing!S8</f>
        <v>#N/A</v>
      </c>
      <c r="J35" s="509">
        <f>Phasing!T8</f>
        <v>0</v>
      </c>
      <c r="K35" s="509">
        <f>J35</f>
        <v>0</v>
      </c>
      <c r="L35" s="508" t="e">
        <f>Phasing!U8</f>
        <v>#N/A</v>
      </c>
      <c r="M35" s="509">
        <f>Phasing!V8</f>
        <v>0</v>
      </c>
      <c r="N35" s="509">
        <f>M35</f>
        <v>0</v>
      </c>
      <c r="O35" s="309"/>
      <c r="P35" s="278"/>
      <c r="Q35" s="77">
        <f>C33</f>
        <v>4</v>
      </c>
      <c r="R35" s="77">
        <f>D33</f>
        <v>4</v>
      </c>
      <c r="S35" s="77">
        <f>F33</f>
        <v>8</v>
      </c>
      <c r="T35" s="77">
        <f>G33</f>
        <v>8</v>
      </c>
      <c r="U35" s="77">
        <f>I33</f>
        <v>2</v>
      </c>
      <c r="V35" s="77">
        <f>J33</f>
        <v>2</v>
      </c>
      <c r="W35" s="77">
        <f>L33</f>
        <v>6</v>
      </c>
      <c r="X35" s="77">
        <f>M33</f>
        <v>6</v>
      </c>
      <c r="Y35" s="315">
        <f t="shared" si="6"/>
        <v>130.001</v>
      </c>
      <c r="Z35" s="315">
        <f t="shared" si="7"/>
        <v>140</v>
      </c>
      <c r="AA35" s="315">
        <f t="shared" si="8"/>
        <v>140</v>
      </c>
      <c r="AE35" s="78"/>
      <c r="AF35" s="78"/>
      <c r="AG35" s="78"/>
      <c r="AH35" s="78"/>
      <c r="AI35" s="78"/>
      <c r="AJ35" s="241"/>
      <c r="AK35" s="309"/>
      <c r="AL35" s="309"/>
      <c r="AM35" s="77"/>
      <c r="AN35" s="77"/>
      <c r="AO35" s="77"/>
      <c r="AP35" s="543" t="s">
        <v>382</v>
      </c>
      <c r="AQ35" s="303" t="str">
        <f>AJ32</f>
        <v>NBTHLT</v>
      </c>
      <c r="AR35" s="303" t="str">
        <f>AK32</f>
        <v>SBTHLT</v>
      </c>
      <c r="AS35" s="303">
        <f>AL32</f>
        <v>0</v>
      </c>
      <c r="AT35" s="278"/>
      <c r="AU35" s="278"/>
      <c r="AV35" s="278"/>
      <c r="AW35" s="278"/>
      <c r="AX35" s="278"/>
      <c r="AY35" s="278"/>
      <c r="AZ35" s="278"/>
      <c r="BA35" s="278"/>
      <c r="BB35" s="278"/>
      <c r="BK35" s="414"/>
    </row>
    <row r="36" spans="2:63" s="233" customFormat="1" x14ac:dyDescent="0.25">
      <c r="B36" s="246" t="s">
        <v>262</v>
      </c>
      <c r="C36" s="310" t="e">
        <f>Phasing!O11</f>
        <v>#N/A</v>
      </c>
      <c r="D36" s="311">
        <f>Phasing!P11</f>
        <v>0</v>
      </c>
      <c r="E36" s="311">
        <f>D36</f>
        <v>0</v>
      </c>
      <c r="F36" s="310" t="e">
        <f>Phasing!Q11</f>
        <v>#N/A</v>
      </c>
      <c r="G36" s="311">
        <f>Phasing!R11</f>
        <v>0</v>
      </c>
      <c r="H36" s="311">
        <f>G36</f>
        <v>0</v>
      </c>
      <c r="I36" s="310" t="e">
        <f>Phasing!S11</f>
        <v>#N/A</v>
      </c>
      <c r="J36" s="311">
        <f>Phasing!T11</f>
        <v>0</v>
      </c>
      <c r="K36" s="311">
        <f>J36</f>
        <v>0</v>
      </c>
      <c r="L36" s="310" t="e">
        <f>Phasing!U11</f>
        <v>#N/A</v>
      </c>
      <c r="M36" s="311">
        <f>Phasing!V11</f>
        <v>0</v>
      </c>
      <c r="N36" s="311">
        <f>M36</f>
        <v>0</v>
      </c>
      <c r="O36" s="309"/>
      <c r="P36" s="278"/>
      <c r="Q36" s="78">
        <f>Q40</f>
        <v>0</v>
      </c>
      <c r="R36" s="241">
        <f t="shared" ref="R36:X36" si="10">R40</f>
        <v>0</v>
      </c>
      <c r="S36" s="241">
        <f t="shared" si="10"/>
        <v>0</v>
      </c>
      <c r="T36" s="241">
        <f t="shared" si="10"/>
        <v>0</v>
      </c>
      <c r="U36" s="241">
        <f t="shared" si="10"/>
        <v>0</v>
      </c>
      <c r="V36" s="241">
        <f t="shared" si="10"/>
        <v>0</v>
      </c>
      <c r="W36" s="241">
        <f t="shared" si="10"/>
        <v>0</v>
      </c>
      <c r="X36" s="241">
        <f t="shared" si="10"/>
        <v>0</v>
      </c>
      <c r="Y36" s="315">
        <f t="shared" si="6"/>
        <v>140.001</v>
      </c>
      <c r="Z36" s="315">
        <f>Z35+10</f>
        <v>150</v>
      </c>
      <c r="AA36" s="315">
        <f t="shared" si="8"/>
        <v>150</v>
      </c>
      <c r="AE36" s="78"/>
      <c r="AF36" s="78"/>
      <c r="AG36" s="78"/>
      <c r="AH36" s="78"/>
      <c r="AI36" s="78"/>
      <c r="AJ36" s="241"/>
      <c r="AK36" s="309"/>
      <c r="AL36" s="309"/>
      <c r="AM36" s="77"/>
      <c r="AN36" s="77"/>
      <c r="AO36" s="77"/>
      <c r="AP36" s="543"/>
      <c r="AQ36" s="290">
        <f>AJ34</f>
        <v>0</v>
      </c>
      <c r="AR36" s="290">
        <f>AK34</f>
        <v>0</v>
      </c>
      <c r="AS36" s="290">
        <f>AL34</f>
        <v>0</v>
      </c>
      <c r="AT36" s="164"/>
      <c r="AU36" s="164"/>
      <c r="AV36" s="164"/>
      <c r="AW36" s="164"/>
      <c r="AX36" s="164"/>
      <c r="AY36" s="164"/>
      <c r="AZ36" s="164"/>
      <c r="BA36" s="164"/>
      <c r="BB36" s="164"/>
      <c r="BK36" s="414"/>
    </row>
    <row r="37" spans="2:63" s="233" customFormat="1" x14ac:dyDescent="0.25">
      <c r="B37" s="77" t="s">
        <v>320</v>
      </c>
      <c r="C37" s="508" t="e">
        <f>MAX(0,SUMPRODUCT(C62:C64,D62:D64))</f>
        <v>#N/A</v>
      </c>
      <c r="D37" s="509" t="e">
        <f>MAX(0,D34-D35-D36)</f>
        <v>#N/A</v>
      </c>
      <c r="E37" s="509" t="e">
        <f>D37</f>
        <v>#N/A</v>
      </c>
      <c r="F37" s="508" t="e">
        <f>MAX(0,SUMPRODUCT(F62:F64,G62:G64))</f>
        <v>#N/A</v>
      </c>
      <c r="G37" s="509" t="e">
        <f>MAX(0,G34-G35-G36)</f>
        <v>#N/A</v>
      </c>
      <c r="H37" s="509" t="e">
        <f>G37</f>
        <v>#N/A</v>
      </c>
      <c r="I37" s="508" t="e">
        <f>MAX(0,SUMPRODUCT(I62:I64,J62:J64))</f>
        <v>#N/A</v>
      </c>
      <c r="J37" s="509" t="e">
        <f>MAX(0,J34-J35-J36)</f>
        <v>#N/A</v>
      </c>
      <c r="K37" s="509" t="e">
        <f>J37</f>
        <v>#N/A</v>
      </c>
      <c r="L37" s="508" t="e">
        <f>MAX(0,SUMPRODUCT(L62:L64,M62:M64))</f>
        <v>#N/A</v>
      </c>
      <c r="M37" s="509" t="e">
        <f>MAX(0,M34-M35-M36)</f>
        <v>#N/A</v>
      </c>
      <c r="N37" s="509" t="e">
        <f>M37</f>
        <v>#N/A</v>
      </c>
      <c r="O37" s="309"/>
      <c r="P37" s="278"/>
      <c r="Q37" s="78"/>
      <c r="R37" s="78"/>
      <c r="S37" s="78"/>
      <c r="T37" s="78"/>
      <c r="U37" s="78"/>
      <c r="V37" s="78"/>
      <c r="W37" s="78"/>
      <c r="X37" s="78"/>
      <c r="Y37" s="233">
        <v>150.001</v>
      </c>
      <c r="Z37" s="315">
        <v>100000</v>
      </c>
      <c r="AA37" s="315">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14"/>
    </row>
    <row r="38" spans="2:63" s="233" customFormat="1" x14ac:dyDescent="0.25">
      <c r="B38" s="246" t="s">
        <v>321</v>
      </c>
      <c r="C38" s="310" t="e">
        <f>IF(C37=0,0,(C37+C36+C35)-C20)</f>
        <v>#N/A</v>
      </c>
      <c r="D38" s="311" t="e">
        <f t="shared" ref="D38:N38" si="11">IF(D37=0,0,(D37+D36+D35)-D20)</f>
        <v>#N/A</v>
      </c>
      <c r="E38" s="311" t="e">
        <f t="shared" si="11"/>
        <v>#N/A</v>
      </c>
      <c r="F38" s="310" t="e">
        <f t="shared" si="11"/>
        <v>#N/A</v>
      </c>
      <c r="G38" s="311" t="e">
        <f t="shared" si="11"/>
        <v>#N/A</v>
      </c>
      <c r="H38" s="311" t="e">
        <f t="shared" si="11"/>
        <v>#N/A</v>
      </c>
      <c r="I38" s="310" t="e">
        <f t="shared" si="11"/>
        <v>#N/A</v>
      </c>
      <c r="J38" s="311" t="e">
        <f t="shared" si="11"/>
        <v>#N/A</v>
      </c>
      <c r="K38" s="311" t="e">
        <f t="shared" si="11"/>
        <v>#N/A</v>
      </c>
      <c r="L38" s="310" t="e">
        <f t="shared" si="11"/>
        <v>#N/A</v>
      </c>
      <c r="M38" s="311" t="e">
        <f t="shared" si="11"/>
        <v>#N/A</v>
      </c>
      <c r="N38" s="311" t="e">
        <f t="shared" si="11"/>
        <v>#N/A</v>
      </c>
      <c r="O38" s="309"/>
      <c r="P38" s="278"/>
      <c r="Q38" s="78"/>
      <c r="R38" s="78"/>
      <c r="S38" s="78"/>
      <c r="T38" s="78"/>
      <c r="U38" s="78"/>
      <c r="V38" s="78"/>
      <c r="W38" s="78"/>
      <c r="X38" s="78"/>
      <c r="AE38" s="78"/>
      <c r="AF38" s="78"/>
      <c r="AG38" s="78"/>
      <c r="AH38" s="78"/>
      <c r="AI38" s="78"/>
      <c r="AJ38" s="78"/>
      <c r="AK38" s="77"/>
      <c r="AL38" s="77"/>
      <c r="AM38" s="77"/>
      <c r="AN38" s="77"/>
      <c r="AO38" s="77"/>
      <c r="AP38" s="338"/>
      <c r="AQ38" s="538" t="s">
        <v>397</v>
      </c>
      <c r="AR38" s="539"/>
      <c r="AS38" s="539"/>
      <c r="AT38" s="538" t="s">
        <v>398</v>
      </c>
      <c r="AU38" s="539"/>
      <c r="AV38" s="539"/>
      <c r="AW38" s="538" t="s">
        <v>399</v>
      </c>
      <c r="AX38" s="539"/>
      <c r="AY38" s="539"/>
      <c r="AZ38" s="538" t="s">
        <v>400</v>
      </c>
      <c r="BA38" s="539"/>
      <c r="BB38" s="539"/>
      <c r="BF38" s="166" t="s">
        <v>142</v>
      </c>
      <c r="BG38" s="67"/>
      <c r="BK38" s="414"/>
    </row>
    <row r="39" spans="2:63" s="304" customFormat="1" x14ac:dyDescent="0.25">
      <c r="B39" s="309" t="s">
        <v>424</v>
      </c>
      <c r="C39" s="351" t="e">
        <f t="shared" ref="C39:N39" si="12">IF($C$25=0,0,C34/$C$25)</f>
        <v>#N/A</v>
      </c>
      <c r="D39" s="350" t="e">
        <f t="shared" si="12"/>
        <v>#N/A</v>
      </c>
      <c r="E39" s="350" t="e">
        <f t="shared" si="12"/>
        <v>#N/A</v>
      </c>
      <c r="F39" s="351" t="e">
        <f t="shared" si="12"/>
        <v>#N/A</v>
      </c>
      <c r="G39" s="350" t="e">
        <f t="shared" si="12"/>
        <v>#N/A</v>
      </c>
      <c r="H39" s="350" t="e">
        <f t="shared" si="12"/>
        <v>#N/A</v>
      </c>
      <c r="I39" s="351" t="e">
        <f t="shared" si="12"/>
        <v>#N/A</v>
      </c>
      <c r="J39" s="350" t="e">
        <f t="shared" si="12"/>
        <v>#N/A</v>
      </c>
      <c r="K39" s="350" t="e">
        <f t="shared" si="12"/>
        <v>#N/A</v>
      </c>
      <c r="L39" s="351" t="e">
        <f t="shared" si="12"/>
        <v>#N/A</v>
      </c>
      <c r="M39" s="350" t="e">
        <f t="shared" si="12"/>
        <v>#N/A</v>
      </c>
      <c r="N39" s="350" t="e">
        <f t="shared" si="12"/>
        <v>#N/A</v>
      </c>
      <c r="O39" s="309"/>
      <c r="P39" s="309"/>
      <c r="Q39" s="241"/>
      <c r="R39" s="241"/>
      <c r="S39" s="241"/>
      <c r="T39" s="241"/>
      <c r="U39" s="241"/>
      <c r="V39" s="241"/>
      <c r="W39" s="241"/>
      <c r="X39" s="241"/>
      <c r="AE39" s="241"/>
      <c r="AF39" s="241"/>
      <c r="AG39" s="241"/>
      <c r="AH39" s="241"/>
      <c r="AI39" s="241"/>
      <c r="AJ39" s="241"/>
      <c r="AK39" s="309"/>
      <c r="AL39" s="309"/>
      <c r="AM39" s="309"/>
      <c r="AN39" s="309"/>
      <c r="AO39" s="309"/>
      <c r="AP39" s="338"/>
      <c r="AQ39" s="305" t="s">
        <v>401</v>
      </c>
      <c r="AR39" s="306" t="s">
        <v>402</v>
      </c>
      <c r="AS39" s="306" t="s">
        <v>403</v>
      </c>
      <c r="AT39" s="305" t="s">
        <v>401</v>
      </c>
      <c r="AU39" s="306" t="s">
        <v>402</v>
      </c>
      <c r="AV39" s="306" t="s">
        <v>403</v>
      </c>
      <c r="AW39" s="305" t="s">
        <v>401</v>
      </c>
      <c r="AX39" s="306" t="s">
        <v>402</v>
      </c>
      <c r="AY39" s="306" t="s">
        <v>403</v>
      </c>
      <c r="AZ39" s="305" t="s">
        <v>401</v>
      </c>
      <c r="BA39" s="306" t="s">
        <v>402</v>
      </c>
      <c r="BB39" s="306" t="s">
        <v>403</v>
      </c>
      <c r="BF39" s="166" t="s">
        <v>143</v>
      </c>
      <c r="BG39" s="156"/>
      <c r="BK39" s="414"/>
    </row>
    <row r="40" spans="2:63" x14ac:dyDescent="0.25">
      <c r="B40" s="246" t="s">
        <v>135</v>
      </c>
      <c r="C40" s="310" t="e">
        <f>IF(C41=0,0,ROUND(C5/C41,2))</f>
        <v>#N/A</v>
      </c>
      <c r="D40" s="311" t="e">
        <f>IF(D41=0,0,ROUND(D5/D41,2))</f>
        <v>#N/A</v>
      </c>
      <c r="E40" s="336" t="e">
        <f>IF(E41=0,0,E9/E41)</f>
        <v>#N/A</v>
      </c>
      <c r="F40" s="310" t="e">
        <f>IF(F41=0,0,ROUND(F5/F41,2))</f>
        <v>#N/A</v>
      </c>
      <c r="G40" s="311" t="e">
        <f>IF(G41=0,0,ROUND(G5/G41,2))</f>
        <v>#N/A</v>
      </c>
      <c r="H40" s="336" t="e">
        <f>IF(H41=0,0,H9/H41)</f>
        <v>#N/A</v>
      </c>
      <c r="I40" s="310" t="e">
        <f>IF(I41=0,0,ROUND(I5/I41,2))</f>
        <v>#N/A</v>
      </c>
      <c r="J40" s="311" t="e">
        <f>IF(J41=0,0,ROUND(J5/J41,2))</f>
        <v>#N/A</v>
      </c>
      <c r="K40" s="336" t="e">
        <f>IF(K41=0,0,K9/K41)</f>
        <v>#N/A</v>
      </c>
      <c r="L40" s="310" t="e">
        <f>IF(L41=0,0,ROUND(L5/L41,2))</f>
        <v>#N/A</v>
      </c>
      <c r="M40" s="311" t="e">
        <f>IF(M41=0,0,ROUND(M5/M41,2))</f>
        <v>#N/A</v>
      </c>
      <c r="N40" s="336" t="e">
        <f>IF(N41=0,0,N9/N41)</f>
        <v>#N/A</v>
      </c>
      <c r="Q40" s="78">
        <f>C30</f>
        <v>0</v>
      </c>
      <c r="R40" s="78">
        <f>D30</f>
        <v>0</v>
      </c>
      <c r="S40" s="78">
        <f>F30</f>
        <v>0</v>
      </c>
      <c r="T40" s="78">
        <f>G30</f>
        <v>0</v>
      </c>
      <c r="U40" s="78">
        <f>I30</f>
        <v>0</v>
      </c>
      <c r="V40" s="78">
        <f>J30</f>
        <v>0</v>
      </c>
      <c r="W40" s="78">
        <f>L30</f>
        <v>0</v>
      </c>
      <c r="X40" s="78">
        <f>M30</f>
        <v>0</v>
      </c>
      <c r="Y40" s="164"/>
      <c r="AP40" s="339" t="s">
        <v>388</v>
      </c>
      <c r="AQ40" s="340"/>
      <c r="AR40" s="339">
        <f>IF($AP$40=$AQ$33,$AQ$34,0)+IF($AP40=$AR$33,$AR$34,0)+IF($AP40=$AS$33,$AS$34,0)</f>
        <v>0</v>
      </c>
      <c r="AS40" s="339">
        <f>IF($AP$40=$AQ$33,$AQ$34,0)+IF($AP40=$AR$33,$AR$34,0)+IF($AP40=$AS$33,$AS$34,0)</f>
        <v>0</v>
      </c>
      <c r="AT40" s="340"/>
      <c r="AU40" s="339">
        <f>IF($AP$40=$AQ$33,$AQ$34,0)+IF($AP40=$AR$33,$AR$34,0)+IF($AP40=$AS$33,$AS$34,0)</f>
        <v>0</v>
      </c>
      <c r="AV40" s="339">
        <f>IF($AP$40=$AQ$33,$AQ$34,0)+IF($AP40=$AR$33,$AR$34,0)+IF($AP40=$AS$33,$AS$34,0)</f>
        <v>0</v>
      </c>
      <c r="AW40" s="340"/>
      <c r="AX40" s="339"/>
      <c r="AY40" s="339"/>
      <c r="AZ40" s="340"/>
      <c r="BA40" s="339"/>
      <c r="BB40" s="339"/>
      <c r="BF40" s="166" t="s">
        <v>144</v>
      </c>
      <c r="BG40" s="157"/>
    </row>
    <row r="41" spans="2:63" x14ac:dyDescent="0.25">
      <c r="B41" s="309" t="s">
        <v>356</v>
      </c>
      <c r="C41" s="508" t="e">
        <f>IF($C$25=0,0,IF('Phase designation'!B19=0,SUMPRODUCT(C57:C60,D57:D60),(D41/MAX(1,D6))*C6))</f>
        <v>#N/A</v>
      </c>
      <c r="D41" s="509" t="e">
        <f>IF($C$25=0,0,IF(AND(C6&gt;0,D6=0),ROUND(C6*C11*D38/$C$25,0),ROUND(D11*D38/$C$25,0)))</f>
        <v>#N/A</v>
      </c>
      <c r="E41" s="509" t="e">
        <f>IF($C$25=0,0,ROUND(E6*E11*E38/$C$25,0))</f>
        <v>#N/A</v>
      </c>
      <c r="F41" s="508" t="e">
        <f>IF($C$25=0,0,IF('Phase designation'!D19=0,SUMPRODUCT(F57:F60,G57:G60),(G41/MAX(1,G6))*F6))</f>
        <v>#N/A</v>
      </c>
      <c r="G41" s="509" t="e">
        <f>IF($C$25=0,0,IF(AND(F6&gt;0,G6=0),ROUND(F6*F11*G38/$C$25,0),ROUND(G11*G38/$C$25,0)))</f>
        <v>#N/A</v>
      </c>
      <c r="H41" s="509" t="e">
        <f>IF($C$25=0,0,ROUND(H6*H11*H38/$C$25,0))</f>
        <v>#N/A</v>
      </c>
      <c r="I41" s="508" t="e">
        <f>IF($C$25=0,0,IF('Phase designation'!F19=0,SUMPRODUCT(I57:I60,J57:J60),(J41/MAX(1,J6))*I6))</f>
        <v>#N/A</v>
      </c>
      <c r="J41" s="509" t="e">
        <f>IF($C$25=0,0,IF(AND(I6&gt;0,J6=0),ROUND(I6*I11*J38/$C$25,0),ROUND(J11*J38/$C$25,0)))</f>
        <v>#N/A</v>
      </c>
      <c r="K41" s="509" t="e">
        <f>IF($C$25=0,0,ROUND(K6*K11*K38/$C$25,0))</f>
        <v>#N/A</v>
      </c>
      <c r="L41" s="508" t="e">
        <f>IF($C$25=0,0,IF('Phase designation'!H19=0,SUMPRODUCT(L57:L60,M57:M60),(M41/MAX(1,M6))*L6))</f>
        <v>#N/A</v>
      </c>
      <c r="M41" s="509" t="e">
        <f>IF($C$25=0,0,IF(AND(L6&gt;0,M6=0),ROUND(L6*L11*M38/$C$25,0),ROUND(M11*M38/$C$25,0)))</f>
        <v>#N/A</v>
      </c>
      <c r="N41" s="509" t="e">
        <f>IF($C$25=0,0,ROUND(N6*N11*N38/$C$25,0))</f>
        <v>#N/A</v>
      </c>
      <c r="Q41" s="62" t="s">
        <v>105</v>
      </c>
      <c r="R41" s="70" t="e">
        <f t="shared" ref="R41:U42" si="13">MATCH(R29,$Q$35:$X$35,0)</f>
        <v>#N/A</v>
      </c>
      <c r="S41" s="70">
        <f t="shared" si="13"/>
        <v>5</v>
      </c>
      <c r="T41" s="70" t="e">
        <f t="shared" si="13"/>
        <v>#N/A</v>
      </c>
      <c r="U41" s="70">
        <f t="shared" si="13"/>
        <v>1</v>
      </c>
      <c r="AP41" s="339" t="s">
        <v>389</v>
      </c>
      <c r="AQ41" s="340"/>
      <c r="AR41" s="339"/>
      <c r="AS41" s="339"/>
      <c r="AT41" s="340">
        <f>IF($AP$41=$AQ$33,$AQ$34,0)+IF($AP41=$AR$33,$AR$34,0)+IF($AP41=$AS$33,$AS$34,0)</f>
        <v>0</v>
      </c>
      <c r="AU41" s="339">
        <f>IF($AP$41=$AQ$33,$AQ$34,0)+IF($AP41=$AR$33,$AR$34,0)+IF($AP41=$AS$33,$AS$34,0)</f>
        <v>0</v>
      </c>
      <c r="AV41" s="339">
        <f>IF($AP$41=$AQ$33,$AQ$34,0)+IF($AP41=$AR$33,$AR$34,0)+IF($AP41=$AS$33,$AS$34,0)</f>
        <v>0</v>
      </c>
      <c r="AW41" s="340"/>
      <c r="AX41" s="339"/>
      <c r="AY41" s="339"/>
      <c r="AZ41" s="340"/>
      <c r="BA41" s="339"/>
      <c r="BB41" s="339"/>
      <c r="BF41" s="166" t="s">
        <v>145</v>
      </c>
      <c r="BG41" s="1"/>
    </row>
    <row r="42" spans="2:63" hidden="1" x14ac:dyDescent="0.25">
      <c r="B42" s="309" t="s">
        <v>136</v>
      </c>
      <c r="C42" s="508" t="e">
        <f t="shared" ref="C42:N42" si="14">IF(C40=0,0,ROUND((0.5*$C$25*(1-(C38)/$C$25)^2)/(1-(MIN(1,C40)*(C38))/$C$25),2))</f>
        <v>#N/A</v>
      </c>
      <c r="D42" s="509" t="e">
        <f t="shared" si="14"/>
        <v>#N/A</v>
      </c>
      <c r="E42" s="509" t="e">
        <f t="shared" si="14"/>
        <v>#N/A</v>
      </c>
      <c r="F42" s="508" t="e">
        <f t="shared" si="14"/>
        <v>#N/A</v>
      </c>
      <c r="G42" s="509" t="e">
        <f t="shared" si="14"/>
        <v>#N/A</v>
      </c>
      <c r="H42" s="509" t="e">
        <f t="shared" si="14"/>
        <v>#N/A</v>
      </c>
      <c r="I42" s="508" t="e">
        <f t="shared" si="14"/>
        <v>#N/A</v>
      </c>
      <c r="J42" s="509" t="e">
        <f t="shared" si="14"/>
        <v>#N/A</v>
      </c>
      <c r="K42" s="509" t="e">
        <f t="shared" si="14"/>
        <v>#N/A</v>
      </c>
      <c r="L42" s="508" t="e">
        <f t="shared" si="14"/>
        <v>#N/A</v>
      </c>
      <c r="M42" s="509" t="e">
        <f t="shared" si="14"/>
        <v>#N/A</v>
      </c>
      <c r="N42" s="509" t="e">
        <f t="shared" si="14"/>
        <v>#N/A</v>
      </c>
      <c r="O42" s="309"/>
      <c r="Q42" s="47" t="s">
        <v>106</v>
      </c>
      <c r="R42" s="70" t="e">
        <f t="shared" si="13"/>
        <v>#N/A</v>
      </c>
      <c r="S42" s="70">
        <f t="shared" si="13"/>
        <v>7</v>
      </c>
      <c r="T42" s="70" t="e">
        <f t="shared" si="13"/>
        <v>#N/A</v>
      </c>
      <c r="U42" s="70">
        <f t="shared" si="13"/>
        <v>3</v>
      </c>
      <c r="AP42" s="339" t="s">
        <v>390</v>
      </c>
      <c r="AQ42" s="340">
        <f>IF($AP$42=$AQ$33,$AQ$34,0)+IF($AP42=$AR$33,$AR$34,0)+IF($AP42=$AS$33,$AS$34,0)</f>
        <v>0</v>
      </c>
      <c r="AR42" s="339">
        <f>IF($AP$42=$AQ$33,$AQ$34,0)+IF($AP42=$AR$33,$AR$34,0)+IF($AP42=$AS$33,$AS$34,0)</f>
        <v>0</v>
      </c>
      <c r="AS42" s="339">
        <f>IF($AP$42=$AQ$33,$AQ$34,0)+IF($AP42=$AR$33,$AR$34,0)+IF($AP42=$AS$33,$AS$34,0)</f>
        <v>0</v>
      </c>
      <c r="AT42" s="340"/>
      <c r="AU42" s="339"/>
      <c r="AV42" s="339"/>
      <c r="AW42" s="340"/>
      <c r="AX42" s="339"/>
      <c r="AY42" s="339"/>
      <c r="AZ42" s="340"/>
      <c r="BA42" s="339"/>
      <c r="BB42" s="339"/>
      <c r="BF42" s="77"/>
      <c r="BG42" s="62"/>
    </row>
    <row r="43" spans="2:63" hidden="1" x14ac:dyDescent="0.25">
      <c r="B43" s="309" t="s">
        <v>137</v>
      </c>
      <c r="C43" s="508" t="e">
        <f>IF(OR(C41=0,C11+C14=0),0,ROUND(225*((C40-1)+SQRT((C40-1)^2+(4*C40)/(C41*0.25))),2))</f>
        <v>#N/A</v>
      </c>
      <c r="D43" s="509" t="e">
        <f>IF(OR(D41=0,D11=0),0,ROUND(225*((D40-1)+SQRT((D40-1)^2+(4*D40)/(D41*0.25))),2))</f>
        <v>#N/A</v>
      </c>
      <c r="E43" s="509" t="e">
        <f>IF(OR(E41=0,E11=0),0,ROUND(225*((E40-1)+SQRT((E40-1)^2+(4*E40)/(E41*0.25))),2))</f>
        <v>#N/A</v>
      </c>
      <c r="F43" s="508" t="e">
        <f>IF(OR(F41=0,F11+F14=0),0,ROUND(225*((F40-1)+SQRT((F40-1)^2+(4*F40)/(F41*0.25))),2))</f>
        <v>#N/A</v>
      </c>
      <c r="G43" s="509" t="e">
        <f>IF(OR(G41=0,G11=0),0,ROUND(225*((G40-1)+SQRT((G40-1)^2+(4*G40)/(G41*0.25))),2))</f>
        <v>#N/A</v>
      </c>
      <c r="H43" s="509" t="e">
        <f>IF(OR(H41=0,H11=0),0,ROUND(225*((H40-1)+SQRT((H40-1)^2+(4*H40)/(H41*0.25))),2))</f>
        <v>#N/A</v>
      </c>
      <c r="I43" s="508" t="e">
        <f>IF(OR(I41=0,I11+I14=0),0,ROUND(225*((I40-1)+SQRT((I40-1)^2+(4*I40)/(I41*0.25))),2))</f>
        <v>#N/A</v>
      </c>
      <c r="J43" s="509" t="e">
        <f>IF(OR(J41=0,J11=0),0,ROUND(225*((J40-1)+SQRT((J40-1)^2+(4*J40)/(J41*0.25))),2))</f>
        <v>#N/A</v>
      </c>
      <c r="K43" s="509" t="e">
        <f>IF(OR(K41=0,K11=0),0,ROUND(225*((K40-1)+SQRT((K40-1)^2+(4*K40)/(K41*0.25))),2))</f>
        <v>#N/A</v>
      </c>
      <c r="L43" s="508" t="e">
        <f>IF(OR(L41=0,L11+L14=0),0,ROUND(225*((L40-1)+SQRT((L40-1)^2+(4*L40)/(L41*0.25))),2))</f>
        <v>#N/A</v>
      </c>
      <c r="M43" s="509" t="e">
        <f>IF(OR(M41=0,M41=0),0,ROUND(225*((M40-1)+SQRT((M40-1)^2+(4*M40)/(M41*0.25))),2))</f>
        <v>#N/A</v>
      </c>
      <c r="N43" s="509" t="e">
        <f>IF(OR(N41=0,N11=0),0,ROUND(225*((N40-1)+SQRT((N40-1)^2+(4*N40)/(N41*0.25))),2))</f>
        <v>#N/A</v>
      </c>
      <c r="O43" s="309"/>
      <c r="R43" s="69"/>
      <c r="S43" s="69"/>
      <c r="T43" s="69"/>
      <c r="U43" s="69"/>
      <c r="Y43" s="545" t="s">
        <v>301</v>
      </c>
      <c r="Z43" s="545"/>
      <c r="AA43" s="545"/>
      <c r="AB43" s="545"/>
      <c r="AF43" s="78" t="s">
        <v>237</v>
      </c>
      <c r="AG43" s="78" t="s">
        <v>238</v>
      </c>
      <c r="AP43" s="339" t="s">
        <v>391</v>
      </c>
      <c r="AQ43" s="340">
        <f>IF($AP$43=$AQ$33,$AQ$34,0)+IF($AP43=$AR$33,$AR$34,0)+IF($AP43=$AS$33,$AS$34,0)</f>
        <v>0</v>
      </c>
      <c r="AR43" s="339"/>
      <c r="AS43" s="339"/>
      <c r="AT43" s="340">
        <f>IF($AP$43=$AQ$33,$AQ$34,0)+IF($AP43=$AR$33,$AR$34,0)+IF($AP43=$AS$33,$AS$34,0)</f>
        <v>0</v>
      </c>
      <c r="AU43" s="339"/>
      <c r="AV43" s="339"/>
      <c r="AW43" s="340"/>
      <c r="AX43" s="339"/>
      <c r="AY43" s="339"/>
      <c r="AZ43" s="340"/>
      <c r="BA43" s="339"/>
      <c r="BB43" s="339"/>
      <c r="BF43" s="77"/>
      <c r="BG43" s="62"/>
    </row>
    <row r="44" spans="2:63" x14ac:dyDescent="0.25">
      <c r="B44" s="246" t="s">
        <v>138</v>
      </c>
      <c r="C44" s="352">
        <f>IF(C3=0,0,C42+C43)</f>
        <v>0</v>
      </c>
      <c r="D44" s="353">
        <f>IF(OR(D3=0,D6=0),0,D42+D43)</f>
        <v>0</v>
      </c>
      <c r="E44" s="353">
        <f>IF(E3=0,0,E42+E43)</f>
        <v>0</v>
      </c>
      <c r="F44" s="352">
        <f>IF(F3=0,0,F42+F43)</f>
        <v>0</v>
      </c>
      <c r="G44" s="353">
        <f>IF(OR(G3=0,G6=0),0,G42+G43)</f>
        <v>0</v>
      </c>
      <c r="H44" s="353">
        <f>IF(H3=0,0,H42+H43)</f>
        <v>0</v>
      </c>
      <c r="I44" s="352">
        <f>IF(I3=0,0,I42+I43)</f>
        <v>0</v>
      </c>
      <c r="J44" s="353">
        <f>IF(OR(J3=0,J6=0),0,J42+J43)</f>
        <v>0</v>
      </c>
      <c r="K44" s="353">
        <f>IF(K3=0,0,K42+K43)</f>
        <v>0</v>
      </c>
      <c r="L44" s="352">
        <f>IF(L3=0,0,L42+L43)</f>
        <v>0</v>
      </c>
      <c r="M44" s="353">
        <f>IF(OR(M3=0,M6=0),0,M42+M43)</f>
        <v>0</v>
      </c>
      <c r="N44" s="353">
        <f>IF(N3=0,0,N42+N43)</f>
        <v>0</v>
      </c>
      <c r="Q44" s="62" t="s">
        <v>105</v>
      </c>
      <c r="R44" s="70" t="e">
        <f t="shared" ref="R44:U45" si="15">IF(R41&gt;0,MAX(Y44,INDEX($Q$35:$X$36,2,R41),0))</f>
        <v>#N/A</v>
      </c>
      <c r="S44" s="70">
        <f t="shared" si="15"/>
        <v>5</v>
      </c>
      <c r="T44" s="70" t="e">
        <f t="shared" si="15"/>
        <v>#N/A</v>
      </c>
      <c r="U44" s="70">
        <f t="shared" si="15"/>
        <v>5</v>
      </c>
      <c r="V44" s="71" t="e">
        <f>SUM(R44:U44)</f>
        <v>#N/A</v>
      </c>
      <c r="X44" s="62" t="s">
        <v>105</v>
      </c>
      <c r="Y44" s="45">
        <f>Phasing!D43</f>
        <v>0</v>
      </c>
      <c r="Z44" s="45">
        <f>Phasing!E43</f>
        <v>5</v>
      </c>
      <c r="AA44" s="45">
        <f>Phasing!F43</f>
        <v>0</v>
      </c>
      <c r="AB44" s="45">
        <f>Phasing!G43</f>
        <v>5</v>
      </c>
      <c r="AC44" s="170" t="s">
        <v>237</v>
      </c>
      <c r="AD44" s="170" t="s">
        <v>238</v>
      </c>
      <c r="AE44" s="47"/>
      <c r="AF44" s="167">
        <f>Y44+Z44</f>
        <v>5</v>
      </c>
      <c r="AG44" s="167">
        <f>AA44+AB44</f>
        <v>5</v>
      </c>
      <c r="AH44" s="62" t="s">
        <v>105</v>
      </c>
      <c r="AI44" s="78">
        <f>IF(MIN(AF44,$AC$45)=0,0,ROUND(Y44*MAX(AF44,$AC$45)/MIN(AF44,$AC$45)*$C$25/$AE$45,0))</f>
        <v>0</v>
      </c>
      <c r="AJ44" s="78">
        <f>IF(MIN(AF44,$AC$45)=0,0,ROUND(Z44*MAX(AF44,$AC$45)/MIN(AF44,$AC$45)*$C$25/$AE$45,0))</f>
        <v>20</v>
      </c>
      <c r="AK44" s="78">
        <f>IF(MIN(AG44,$AD$45)=0,0,ROUND(AA44*MAX(AG44,$AD$45)/MIN(AG44,$AD$45)*$C$25/$AE$45,0))</f>
        <v>0</v>
      </c>
      <c r="AL44" s="78">
        <f>$C$25-SUM(AI44:AK44)</f>
        <v>20</v>
      </c>
      <c r="AM44" s="87"/>
      <c r="AN44" s="87"/>
      <c r="AO44" s="87"/>
      <c r="AP44" s="341" t="s">
        <v>392</v>
      </c>
      <c r="AQ44" s="342"/>
      <c r="AR44" s="341"/>
      <c r="AS44" s="341"/>
      <c r="AT44" s="342"/>
      <c r="AU44" s="341"/>
      <c r="AV44" s="341"/>
      <c r="AW44" s="342"/>
      <c r="AX44" s="341">
        <f>IF($AP$44=$AQ$35,$AQ$36,0)+IF($AP44=$AR$35,$AR$36,0)+IF($AP44=$AS$35,$AS$36,0)</f>
        <v>0</v>
      </c>
      <c r="AY44" s="341">
        <f>IF($AP$44=$AQ$35,$AQ$36,0)+IF($AP44=$AR$35,$AR$36,0)+IF($AP44=$AS$35,$AS$36,0)</f>
        <v>0</v>
      </c>
      <c r="AZ44" s="342"/>
      <c r="BA44" s="341">
        <f>IF($AP$44=$AQ$35,$AQ$36,0)+IF($AP44=$AR$35,$AR$36,0)+IF($AP44=$AS$35,$AS$36,0)</f>
        <v>0</v>
      </c>
      <c r="BB44" s="341">
        <f>IF($AP$44=$AQ$35,$AQ$36,0)+IF($AP44=$AR$35,$AR$36,0)+IF($AP44=$AS$35,$AS$36,0)</f>
        <v>0</v>
      </c>
      <c r="BF44" s="194" t="s">
        <v>146</v>
      </c>
      <c r="BG44" s="155"/>
    </row>
    <row r="45" spans="2:63" x14ac:dyDescent="0.25">
      <c r="B45" s="309" t="s">
        <v>139</v>
      </c>
      <c r="C45" s="454" t="str">
        <f>IF(C44=0,"N/A",VLOOKUP(C44,'LOS table'!$B$3:$D$8,3))</f>
        <v>N/A</v>
      </c>
      <c r="D45" s="455" t="str">
        <f>IF(D44=0,"N/A",VLOOKUP(D44,'LOS table'!$B$3:$D$8,3))</f>
        <v>N/A</v>
      </c>
      <c r="E45" s="455" t="str">
        <f>IF(E44=0,"N/A",VLOOKUP(E44,'LOS table'!$B$3:$D$8,3))</f>
        <v>N/A</v>
      </c>
      <c r="F45" s="454" t="str">
        <f>IF(F44=0,"N/A",VLOOKUP(F44,'LOS table'!$B$3:$D$8,3))</f>
        <v>N/A</v>
      </c>
      <c r="G45" s="455" t="str">
        <f>IF(G44=0,"N/A",VLOOKUP(G44,'LOS table'!$B$3:$D$8,3))</f>
        <v>N/A</v>
      </c>
      <c r="H45" s="455" t="str">
        <f>IF(H44=0,"N/A",VLOOKUP(H44,'LOS table'!$B$3:$D$8,3))</f>
        <v>N/A</v>
      </c>
      <c r="I45" s="454" t="str">
        <f>IF(I44=0,"N/A",VLOOKUP(I44,'LOS table'!$B$3:$D$8,3))</f>
        <v>N/A</v>
      </c>
      <c r="J45" s="455" t="str">
        <f>IF(J44=0,"N/A",VLOOKUP(J44,'LOS table'!$B$3:$D$8,3))</f>
        <v>N/A</v>
      </c>
      <c r="K45" s="455" t="str">
        <f>IF(K44=0,"N/A",VLOOKUP(K44,'LOS table'!$B$3:$D$8,3))</f>
        <v>N/A</v>
      </c>
      <c r="L45" s="454" t="str">
        <f>IF(L44=0,"N/A",VLOOKUP(L44,'LOS table'!$B$3:$D$8,3))</f>
        <v>N/A</v>
      </c>
      <c r="M45" s="455" t="str">
        <f>IF(M44=0,"N/A",VLOOKUP(M44,'LOS table'!$B$3:$D$8,3))</f>
        <v>N/A</v>
      </c>
      <c r="N45" s="455" t="str">
        <f>IF(N44=0,"N/A",VLOOKUP(N44,'LOS table'!$B$3:$D$8,3))</f>
        <v>N/A</v>
      </c>
      <c r="Q45" s="47" t="s">
        <v>106</v>
      </c>
      <c r="R45" s="210" t="e">
        <f t="shared" si="15"/>
        <v>#N/A</v>
      </c>
      <c r="S45" s="70">
        <f t="shared" si="15"/>
        <v>5</v>
      </c>
      <c r="T45" s="70" t="e">
        <f t="shared" si="15"/>
        <v>#N/A</v>
      </c>
      <c r="U45" s="70">
        <f t="shared" si="15"/>
        <v>5</v>
      </c>
      <c r="V45" s="71" t="e">
        <f>SUM(R45:U45)</f>
        <v>#N/A</v>
      </c>
      <c r="X45" s="47" t="s">
        <v>106</v>
      </c>
      <c r="Y45" s="45">
        <f>Phasing!H43</f>
        <v>0</v>
      </c>
      <c r="Z45" s="45">
        <f>Phasing!I43</f>
        <v>5</v>
      </c>
      <c r="AA45" s="45">
        <f>Phasing!J43</f>
        <v>0</v>
      </c>
      <c r="AB45" s="45">
        <f>Phasing!K43</f>
        <v>5</v>
      </c>
      <c r="AC45" s="170">
        <f>MAX(Y44+Z44,Y45+Z45)</f>
        <v>5</v>
      </c>
      <c r="AD45" s="170">
        <f>MAX(AA44+AB44,AA45+AB45)</f>
        <v>5</v>
      </c>
      <c r="AE45" s="216">
        <f>SUM(AC45:AD45)</f>
        <v>10</v>
      </c>
      <c r="AF45" s="167">
        <f>Y45+Z45</f>
        <v>5</v>
      </c>
      <c r="AG45" s="167">
        <f>AA45+AB45</f>
        <v>5</v>
      </c>
      <c r="AH45" s="47" t="s">
        <v>106</v>
      </c>
      <c r="AI45" s="78">
        <f>IF(MIN(AF45,$AC$45)=0,0,ROUND(Y45*MAX(AF45,$AC$45)/MIN(AF45,$AC$45)*$C$25/$AE$45,0))</f>
        <v>0</v>
      </c>
      <c r="AJ45" s="78">
        <f>IF(MIN(AF45,$AC$45)=0,0,ROUND(Z45*MAX(AF45,$AC$45)/MIN(AF45,$AC$45)*$C$25/$AE$45,0))</f>
        <v>20</v>
      </c>
      <c r="AK45" s="78">
        <f>IF(MIN(AG45,$AD$45)=0,0,ROUND(AA45*MAX(AG45,$AD$45)/MIN(AG45,$AD$45)*$C$25/$AE$45,0))</f>
        <v>0</v>
      </c>
      <c r="AL45" s="78">
        <f>$C$25-SUM(AI45:AK45)</f>
        <v>20</v>
      </c>
      <c r="AM45" s="87"/>
      <c r="AN45" s="87"/>
      <c r="AO45" s="87"/>
      <c r="AP45" s="341" t="s">
        <v>393</v>
      </c>
      <c r="AQ45" s="342"/>
      <c r="AR45" s="341"/>
      <c r="AS45" s="341"/>
      <c r="AT45" s="342"/>
      <c r="AU45" s="341"/>
      <c r="AV45" s="341"/>
      <c r="AW45" s="342"/>
      <c r="AX45" s="341"/>
      <c r="AY45" s="341"/>
      <c r="AZ45" s="342">
        <f>IF($AP$45=$AQ$35,$AQ$36,0)+IF($AP45=$AR$35,$AR$36,0)+IF($AP45=$AS$35,$AS$36,0)</f>
        <v>0</v>
      </c>
      <c r="BA45" s="341">
        <f>IF($AP$45=$AQ$35,$AQ$36,0)+IF($AP45=$AR$35,$AR$36,0)+IF($AP45=$AS$35,$AS$36,0)</f>
        <v>0</v>
      </c>
      <c r="BB45" s="341">
        <f>IF($AP$45=$AQ$35,$AQ$36,0)+IF($AP45=$AR$35,$AR$36,0)+IF($AP45=$AS$35,$AS$36,0)</f>
        <v>0</v>
      </c>
      <c r="BF45" s="194" t="s">
        <v>147</v>
      </c>
      <c r="BG45" s="59"/>
    </row>
    <row r="46" spans="2:63" s="304" customFormat="1" x14ac:dyDescent="0.25">
      <c r="B46" s="246" t="s">
        <v>410</v>
      </c>
      <c r="C46" s="452">
        <f>IF(SUM(C3:E3)=0,0,SUMPRODUCT(C3:E3,C44:E44)/SUM(C3:E3))</f>
        <v>0</v>
      </c>
      <c r="D46" s="453"/>
      <c r="E46" s="458"/>
      <c r="F46" s="452">
        <f>IF(SUM(F3:H3)=0,0,SUMPRODUCT(F3:H3,F44:H44)/SUM(F3:H3))</f>
        <v>0</v>
      </c>
      <c r="G46" s="453"/>
      <c r="H46" s="458"/>
      <c r="I46" s="452">
        <f>IF(SUM(I3:K3)=0,0,SUMPRODUCT(I3:K3,I44:K44)/SUM(I3:K3))</f>
        <v>0</v>
      </c>
      <c r="J46" s="453"/>
      <c r="K46" s="458"/>
      <c r="L46" s="452">
        <f>IF(SUM(L3:N3)=0,0,SUMPRODUCT(L3:N3,L44:N44)/SUM(L3:N3))</f>
        <v>0</v>
      </c>
      <c r="M46" s="453"/>
      <c r="N46" s="453"/>
      <c r="O46" s="242"/>
      <c r="P46" s="309"/>
      <c r="Q46" s="47"/>
      <c r="R46" s="307"/>
      <c r="S46" s="307"/>
      <c r="T46" s="307"/>
      <c r="U46" s="307"/>
      <c r="V46" s="309"/>
      <c r="X46" s="47"/>
      <c r="Y46" s="45"/>
      <c r="Z46" s="45"/>
      <c r="AA46" s="45"/>
      <c r="AB46" s="45"/>
      <c r="AC46" s="241"/>
      <c r="AD46" s="241"/>
      <c r="AE46" s="241"/>
      <c r="AF46" s="241"/>
      <c r="AG46" s="241"/>
      <c r="AH46" s="47"/>
      <c r="AI46" s="241"/>
      <c r="AJ46" s="241"/>
      <c r="AK46" s="241"/>
      <c r="AL46" s="241"/>
      <c r="AM46" s="87"/>
      <c r="AN46" s="87"/>
      <c r="AO46" s="87"/>
      <c r="AP46" s="341" t="s">
        <v>394</v>
      </c>
      <c r="AQ46" s="342"/>
      <c r="AR46" s="341"/>
      <c r="AS46" s="341"/>
      <c r="AT46" s="342"/>
      <c r="AU46" s="341"/>
      <c r="AV46" s="341"/>
      <c r="AW46" s="342">
        <f>IF($AP$46=$AQ$35,$AQ$36,0)+IF($AP46=$AR$35,$AR$36,0)+IF($AP46=$AS$35,$AS$36,0)</f>
        <v>0</v>
      </c>
      <c r="AX46" s="341">
        <f>IF($AP$46=$AQ$35,$AQ$36,0)+IF($AP46=$AR$35,$AR$36,0)+IF($AP46=$AS$35,$AS$36,0)</f>
        <v>0</v>
      </c>
      <c r="AY46" s="341">
        <f>IF($AP$46=$AQ$35,$AQ$36,0)+IF($AP46=$AR$35,$AR$36,0)+IF($AP46=$AS$35,$AS$36,0)</f>
        <v>0</v>
      </c>
      <c r="AZ46" s="342"/>
      <c r="BA46" s="341"/>
      <c r="BB46" s="341"/>
      <c r="BK46" s="414"/>
    </row>
    <row r="47" spans="2:63" s="304" customFormat="1" x14ac:dyDescent="0.25">
      <c r="B47" s="309" t="s">
        <v>411</v>
      </c>
      <c r="C47" s="454" t="str">
        <f>IF(C46=0,"N/A",VLOOKUP(C46,'LOS table'!$B$3:$D$8,3))</f>
        <v>N/A</v>
      </c>
      <c r="D47" s="455"/>
      <c r="E47" s="51"/>
      <c r="F47" s="454" t="str">
        <f>IF(F46=0,"N/A",VLOOKUP(F46,'LOS table'!$B$3:$D$8,3))</f>
        <v>N/A</v>
      </c>
      <c r="G47" s="455"/>
      <c r="H47" s="51"/>
      <c r="I47" s="454" t="str">
        <f>IF(I46=0,"N/A",VLOOKUP(I46,'LOS table'!$B$3:$D$8,3))</f>
        <v>N/A</v>
      </c>
      <c r="J47" s="455"/>
      <c r="K47" s="51"/>
      <c r="L47" s="454" t="str">
        <f>IF(L46=0,"N/A",VLOOKUP(L46,'LOS table'!$B$3:$D$8,3))</f>
        <v>N/A</v>
      </c>
      <c r="M47" s="455"/>
      <c r="N47" s="455"/>
      <c r="O47" s="308"/>
      <c r="P47" s="309"/>
      <c r="Q47" s="47"/>
      <c r="R47" s="307"/>
      <c r="S47" s="307"/>
      <c r="T47" s="307"/>
      <c r="U47" s="307"/>
      <c r="V47" s="309"/>
      <c r="X47" s="47"/>
      <c r="Y47" s="45"/>
      <c r="Z47" s="45"/>
      <c r="AA47" s="45"/>
      <c r="AB47" s="45"/>
      <c r="AC47" s="241"/>
      <c r="AD47" s="241"/>
      <c r="AE47" s="241"/>
      <c r="AF47" s="241"/>
      <c r="AG47" s="241"/>
      <c r="AH47" s="47"/>
      <c r="AI47" s="241"/>
      <c r="AJ47" s="241"/>
      <c r="AK47" s="241"/>
      <c r="AL47" s="241"/>
      <c r="AM47" s="87"/>
      <c r="AN47" s="87"/>
      <c r="AO47" s="87"/>
      <c r="AP47" s="341" t="s">
        <v>395</v>
      </c>
      <c r="AQ47" s="342"/>
      <c r="AR47" s="341"/>
      <c r="AS47" s="341"/>
      <c r="AT47" s="342"/>
      <c r="AU47" s="341"/>
      <c r="AV47" s="341"/>
      <c r="AW47" s="342">
        <f>IF($AP$47=$AQ$35,$AQ$36,0)+IF($AP47=$AR$35,$AR$36,0)+IF($AP47=$AS$35,$AS$36,0)</f>
        <v>0</v>
      </c>
      <c r="AX47" s="341"/>
      <c r="AY47" s="341"/>
      <c r="AZ47" s="342">
        <f>IF($AP$47=$AQ$35,$AQ$36,0)+IF($AP47=$AR$35,$AR$36,0)+IF($AP47=$AS$35,$AS$36,0)</f>
        <v>0</v>
      </c>
      <c r="BA47" s="341"/>
      <c r="BB47" s="341"/>
      <c r="BK47" s="414"/>
    </row>
    <row r="48" spans="2:63" s="304" customFormat="1" x14ac:dyDescent="0.25">
      <c r="B48" s="309"/>
      <c r="C48" s="87"/>
      <c r="D48" s="87"/>
      <c r="E48" s="87"/>
      <c r="F48" s="87"/>
      <c r="G48" s="87"/>
      <c r="H48" s="87"/>
      <c r="I48" s="87"/>
      <c r="J48" s="87"/>
      <c r="K48" s="87"/>
      <c r="L48" s="87"/>
      <c r="M48" s="87"/>
      <c r="N48" s="87"/>
      <c r="O48" s="308"/>
      <c r="P48" s="309"/>
      <c r="Q48" s="47"/>
      <c r="R48" s="307"/>
      <c r="S48" s="307"/>
      <c r="T48" s="307"/>
      <c r="U48" s="307"/>
      <c r="V48" s="309"/>
      <c r="X48" s="47"/>
      <c r="Y48" s="45"/>
      <c r="Z48" s="45"/>
      <c r="AA48" s="45"/>
      <c r="AB48" s="45"/>
      <c r="AC48" s="241"/>
      <c r="AD48" s="241"/>
      <c r="AE48" s="241"/>
      <c r="AF48" s="241"/>
      <c r="AG48" s="241"/>
      <c r="AH48" s="47"/>
      <c r="AI48" s="241"/>
      <c r="AJ48" s="241"/>
      <c r="AK48" s="241"/>
      <c r="AL48" s="241"/>
      <c r="AM48" s="87"/>
      <c r="AN48" s="87"/>
      <c r="AO48" s="87"/>
      <c r="AP48" s="343"/>
      <c r="AQ48" s="344">
        <f>SUM(AQ40:AQ47)</f>
        <v>0</v>
      </c>
      <c r="AR48" s="345">
        <f t="shared" ref="AR48:BB48" si="16">SUM(AR40:AR47)</f>
        <v>0</v>
      </c>
      <c r="AS48" s="345">
        <f t="shared" si="16"/>
        <v>0</v>
      </c>
      <c r="AT48" s="344">
        <f t="shared" si="16"/>
        <v>0</v>
      </c>
      <c r="AU48" s="345">
        <f t="shared" si="16"/>
        <v>0</v>
      </c>
      <c r="AV48" s="345">
        <f t="shared" si="16"/>
        <v>0</v>
      </c>
      <c r="AW48" s="344">
        <f t="shared" si="16"/>
        <v>0</v>
      </c>
      <c r="AX48" s="345">
        <f t="shared" si="16"/>
        <v>0</v>
      </c>
      <c r="AY48" s="345">
        <f t="shared" si="16"/>
        <v>0</v>
      </c>
      <c r="AZ48" s="344">
        <f t="shared" si="16"/>
        <v>0</v>
      </c>
      <c r="BA48" s="345">
        <f t="shared" si="16"/>
        <v>0</v>
      </c>
      <c r="BB48" s="345">
        <f t="shared" si="16"/>
        <v>0</v>
      </c>
      <c r="BK48" s="414"/>
    </row>
    <row r="49" spans="2:63" s="304" customFormat="1" x14ac:dyDescent="0.25">
      <c r="B49" s="347" t="s">
        <v>412</v>
      </c>
      <c r="C49" s="456">
        <f>IF($C$25=0,"CHECK INPUT DATA!",IF(OR(SUM(C9:H9)=0,SUM(I9:N9)=0),0,ROUND(SUMPRODUCT(C9:N9,C44:N44)/O9,2)))</f>
        <v>0</v>
      </c>
      <c r="D49" s="456"/>
      <c r="E49" s="337"/>
      <c r="G49" s="87"/>
      <c r="H49" s="87"/>
      <c r="M49" s="87"/>
      <c r="N49" s="87"/>
      <c r="O49" s="308"/>
      <c r="P49" s="309"/>
      <c r="Q49" s="47"/>
      <c r="R49" s="329">
        <v>0</v>
      </c>
      <c r="S49" s="329">
        <v>0.85</v>
      </c>
      <c r="T49" s="329" t="s">
        <v>420</v>
      </c>
      <c r="U49" s="307"/>
      <c r="V49" s="309"/>
      <c r="X49" s="47"/>
      <c r="Y49" s="45"/>
      <c r="Z49" s="45"/>
      <c r="AA49" s="45"/>
      <c r="AB49" s="45"/>
      <c r="AC49" s="241"/>
      <c r="AD49" s="241"/>
      <c r="AE49" s="241"/>
      <c r="AF49" s="241"/>
      <c r="AG49" s="241"/>
      <c r="AH49" s="47"/>
      <c r="AI49" s="241"/>
      <c r="AJ49" s="241"/>
      <c r="AK49" s="241"/>
      <c r="AL49" s="241"/>
      <c r="AM49" s="87"/>
      <c r="AN49" s="87"/>
      <c r="AO49" s="87"/>
      <c r="AP49" s="3"/>
      <c r="AQ49" s="3"/>
      <c r="AR49" s="3"/>
      <c r="AS49" s="3"/>
      <c r="AT49" s="3"/>
      <c r="AU49" s="3"/>
      <c r="AV49" s="3"/>
      <c r="AW49" s="3"/>
      <c r="AX49" s="3"/>
      <c r="AY49" s="3"/>
      <c r="AZ49" s="3"/>
      <c r="BA49" s="3"/>
      <c r="BB49" s="3"/>
      <c r="BK49" s="414"/>
    </row>
    <row r="50" spans="2:63" s="304" customFormat="1" x14ac:dyDescent="0.25">
      <c r="B50" s="161" t="s">
        <v>413</v>
      </c>
      <c r="C50" s="451" t="str">
        <f>IF($C$25=0,"CHECK INPUT DATA",IF(C49=0,"N/A",VLOOKUP(C49,'LOS table'!$B$3:$D$8,3)))</f>
        <v>N/A</v>
      </c>
      <c r="D50" s="451"/>
      <c r="E50" s="87"/>
      <c r="F50" s="87"/>
      <c r="G50" s="87"/>
      <c r="H50" s="87"/>
      <c r="I50" s="87"/>
      <c r="J50" s="87"/>
      <c r="K50" s="87"/>
      <c r="L50" s="87"/>
      <c r="M50" s="87"/>
      <c r="N50" s="87"/>
      <c r="O50" s="308"/>
      <c r="P50" s="309"/>
      <c r="Q50" s="47"/>
      <c r="R50" s="329">
        <v>0.85</v>
      </c>
      <c r="S50" s="329">
        <v>0.95</v>
      </c>
      <c r="T50" s="329" t="s">
        <v>421</v>
      </c>
      <c r="U50" s="307"/>
      <c r="V50" s="309"/>
      <c r="X50" s="47"/>
      <c r="Y50" s="45"/>
      <c r="Z50" s="45"/>
      <c r="AA50" s="45"/>
      <c r="AB50" s="45"/>
      <c r="AC50" s="241"/>
      <c r="AD50" s="241"/>
      <c r="AE50" s="241"/>
      <c r="AF50" s="241"/>
      <c r="AG50" s="241"/>
      <c r="AH50" s="47"/>
      <c r="AI50" s="241"/>
      <c r="AJ50" s="241"/>
      <c r="AK50" s="241"/>
      <c r="AL50" s="241"/>
      <c r="AM50" s="87"/>
      <c r="AN50" s="87"/>
      <c r="AO50" s="87"/>
      <c r="AP50" s="69"/>
      <c r="AQ50" s="69"/>
      <c r="AR50" s="69"/>
      <c r="AS50" s="69"/>
      <c r="AT50" s="69"/>
      <c r="AU50" s="69"/>
      <c r="AV50" s="69"/>
      <c r="AW50" s="69"/>
      <c r="AX50" s="69"/>
      <c r="AY50" s="69"/>
      <c r="AZ50" s="69"/>
      <c r="BA50" s="69"/>
      <c r="BB50" s="69"/>
      <c r="BK50" s="414"/>
    </row>
    <row r="51" spans="2:63" s="304" customFormat="1" x14ac:dyDescent="0.25">
      <c r="B51" s="347" t="s">
        <v>414</v>
      </c>
      <c r="C51" s="457">
        <f>IF($C$25=0,"CHECK INPUT DATA",ROUND(O17/(1700*O4*'Input sheet'!W7*(1-C23/C25)),2))</f>
        <v>0</v>
      </c>
      <c r="D51" s="457"/>
      <c r="E51" s="87"/>
      <c r="F51" s="87"/>
      <c r="G51" s="87"/>
      <c r="H51" s="87"/>
      <c r="I51" s="87"/>
      <c r="J51" s="87"/>
      <c r="K51" s="87"/>
      <c r="L51" s="87"/>
      <c r="M51" s="87"/>
      <c r="N51" s="87"/>
      <c r="O51" s="308"/>
      <c r="P51" s="309"/>
      <c r="Q51" s="47"/>
      <c r="R51" s="329">
        <v>0.95</v>
      </c>
      <c r="S51" s="329">
        <v>1</v>
      </c>
      <c r="T51" s="329" t="s">
        <v>422</v>
      </c>
      <c r="U51" s="307"/>
      <c r="V51" s="309"/>
      <c r="X51" s="47"/>
      <c r="Y51" s="45"/>
      <c r="Z51" s="45"/>
      <c r="AA51" s="45"/>
      <c r="AB51" s="45"/>
      <c r="AC51" s="241"/>
      <c r="AD51" s="241"/>
      <c r="AE51" s="241"/>
      <c r="AF51" s="241"/>
      <c r="AG51" s="241"/>
      <c r="AH51" s="47"/>
      <c r="AI51" s="241"/>
      <c r="AJ51" s="241"/>
      <c r="AK51" s="241"/>
      <c r="AL51" s="241"/>
      <c r="AM51" s="87"/>
      <c r="AN51" s="87"/>
      <c r="AO51" s="87"/>
      <c r="AP51" s="87"/>
      <c r="AQ51" s="309"/>
      <c r="AR51" s="47"/>
      <c r="AS51" s="87"/>
      <c r="AT51" s="87"/>
      <c r="AU51" s="87"/>
      <c r="AV51" s="87"/>
      <c r="AX51" s="62"/>
      <c r="BK51" s="414"/>
    </row>
    <row r="52" spans="2:63" s="304" customFormat="1" x14ac:dyDescent="0.25">
      <c r="B52" s="161" t="s">
        <v>419</v>
      </c>
      <c r="C52" s="451" t="str">
        <f>IF($C$25=0,"CHECK INPUT DATA",VLOOKUP(C51,R49:T52,3))</f>
        <v>Under Capacity</v>
      </c>
      <c r="D52" s="451"/>
      <c r="E52" s="87"/>
      <c r="F52" s="87"/>
      <c r="G52" s="87"/>
      <c r="H52" s="87"/>
      <c r="I52" s="87"/>
      <c r="J52" s="87"/>
      <c r="K52" s="87"/>
      <c r="L52" s="87"/>
      <c r="M52" s="87"/>
      <c r="N52" s="87"/>
      <c r="O52" s="308"/>
      <c r="P52" s="309"/>
      <c r="Q52" s="47"/>
      <c r="R52" s="329">
        <v>1</v>
      </c>
      <c r="S52" s="329">
        <v>100</v>
      </c>
      <c r="T52" s="329" t="s">
        <v>423</v>
      </c>
      <c r="U52" s="307"/>
      <c r="V52" s="309"/>
      <c r="X52" s="47"/>
      <c r="Y52" s="45"/>
      <c r="Z52" s="45"/>
      <c r="AA52" s="45"/>
      <c r="AB52" s="45"/>
      <c r="AC52" s="241"/>
      <c r="AD52" s="241"/>
      <c r="AE52" s="241"/>
      <c r="AF52" s="241"/>
      <c r="AG52" s="241"/>
      <c r="AH52" s="47"/>
      <c r="AI52" s="241"/>
      <c r="AJ52" s="241"/>
      <c r="AK52" s="241"/>
      <c r="AL52" s="241"/>
      <c r="AM52" s="87"/>
      <c r="AN52" s="87"/>
      <c r="AO52" s="87"/>
      <c r="AP52" s="87"/>
      <c r="AQ52" s="309"/>
      <c r="AR52" s="47"/>
      <c r="AS52" s="87"/>
      <c r="AT52" s="87"/>
      <c r="AU52" s="87"/>
      <c r="AV52" s="87"/>
      <c r="AX52" s="62"/>
      <c r="BK52" s="414"/>
    </row>
    <row r="53" spans="2:63" s="304" customFormat="1" x14ac:dyDescent="0.25">
      <c r="B53" s="309"/>
      <c r="C53" s="87"/>
      <c r="D53" s="87"/>
      <c r="E53" s="87"/>
      <c r="F53" s="87"/>
      <c r="G53" s="87"/>
      <c r="H53" s="87"/>
      <c r="I53" s="87"/>
      <c r="J53" s="87"/>
      <c r="K53" s="87"/>
      <c r="L53" s="87"/>
      <c r="M53" s="87"/>
      <c r="N53" s="87"/>
      <c r="O53" s="308"/>
      <c r="P53" s="309"/>
      <c r="Q53" s="47"/>
      <c r="R53" s="307"/>
      <c r="S53" s="307"/>
      <c r="T53" s="307"/>
      <c r="U53" s="307"/>
      <c r="V53" s="309"/>
      <c r="X53" s="47"/>
      <c r="Y53" s="45"/>
      <c r="Z53" s="45"/>
      <c r="AA53" s="45"/>
      <c r="AB53" s="45"/>
      <c r="AC53" s="241"/>
      <c r="AD53" s="241"/>
      <c r="AE53" s="241"/>
      <c r="AF53" s="241"/>
      <c r="AG53" s="241"/>
      <c r="AH53" s="47"/>
      <c r="AI53" s="241"/>
      <c r="AJ53" s="241"/>
      <c r="AK53" s="241"/>
      <c r="AL53" s="241"/>
      <c r="AM53" s="87"/>
      <c r="AN53" s="87"/>
      <c r="AO53" s="87"/>
      <c r="AP53" s="87"/>
      <c r="AQ53" s="309"/>
      <c r="AR53" s="47"/>
      <c r="AS53" s="87"/>
      <c r="AT53" s="87"/>
      <c r="AU53" s="87"/>
      <c r="AV53" s="87"/>
      <c r="AX53" s="62"/>
      <c r="BK53" s="414"/>
    </row>
    <row r="54" spans="2:63" hidden="1" x14ac:dyDescent="0.25">
      <c r="B54" s="238" t="s">
        <v>354</v>
      </c>
      <c r="C54" s="3" t="e">
        <f>ROUND(SUMPRODUCT(C66:C68,D66:D68),0)</f>
        <v>#N/A</v>
      </c>
      <c r="D54" s="85" t="e">
        <f>IF($C$25=0,0,IF(D41=0,0,D11))</f>
        <v>#N/A</v>
      </c>
      <c r="E54" s="238" t="e">
        <f>IF($C$25=0,0,IF(AND(E6=0,E3&gt;0),ROUND(0.25*D54,0),E11))</f>
        <v>#N/A</v>
      </c>
      <c r="F54" s="355" t="e">
        <f>ROUND(SUMPRODUCT(F66:F68,G66:G68),0)</f>
        <v>#N/A</v>
      </c>
      <c r="G54" s="238" t="e">
        <f>IF($C$25=0,0,IF(G41=0,0,G11))</f>
        <v>#N/A</v>
      </c>
      <c r="H54" s="238" t="e">
        <f>IF($C$25=0,0,IF(AND(H6=0,H3&gt;0),ROUND(0.25*G54,0),H11))</f>
        <v>#N/A</v>
      </c>
      <c r="I54" s="355" t="e">
        <f>ROUND(SUMPRODUCT(I66:I68,J66:J68),0)</f>
        <v>#N/A</v>
      </c>
      <c r="J54" s="238" t="e">
        <f>IF($C$25=0,0,IF(J41=0,0,J11))</f>
        <v>#N/A</v>
      </c>
      <c r="K54" s="238" t="e">
        <f>IF($C$25=0,0,IF(AND(K6=0,K3&gt;0),ROUND(0.25*J54,0),K11))</f>
        <v>#N/A</v>
      </c>
      <c r="L54" s="355" t="e">
        <f>ROUND(SUMPRODUCT(L66:L68,M66:M68),0)</f>
        <v>#N/A</v>
      </c>
      <c r="M54" s="238" t="e">
        <f>IF($C$25=0,0,IF(M41=0,0,M11))</f>
        <v>#N/A</v>
      </c>
      <c r="N54" s="238" t="e">
        <f>IF($C$25=0,0,IF(AND(N6=0,N3&gt;0),ROUND(0.25*M54,0),N11))</f>
        <v>#N/A</v>
      </c>
      <c r="Y54" s="78"/>
      <c r="Z54" s="78"/>
      <c r="AA54" s="78"/>
      <c r="AB54" s="78"/>
      <c r="AC54" s="78"/>
      <c r="AD54" s="78"/>
    </row>
    <row r="55" spans="2:63" hidden="1" x14ac:dyDescent="0.25">
      <c r="B55" s="238" t="s">
        <v>355</v>
      </c>
      <c r="C55" s="3" t="e">
        <f t="shared" ref="C55:N55" si="17">IF($C$25=0,0,C38/$C$25)</f>
        <v>#N/A</v>
      </c>
      <c r="D55" s="238" t="e">
        <f t="shared" si="17"/>
        <v>#N/A</v>
      </c>
      <c r="E55" s="238" t="e">
        <f t="shared" si="17"/>
        <v>#N/A</v>
      </c>
      <c r="F55" s="238" t="e">
        <f t="shared" si="17"/>
        <v>#N/A</v>
      </c>
      <c r="G55" s="238" t="e">
        <f t="shared" si="17"/>
        <v>#N/A</v>
      </c>
      <c r="H55" s="238" t="e">
        <f t="shared" si="17"/>
        <v>#N/A</v>
      </c>
      <c r="I55" s="238" t="e">
        <f t="shared" si="17"/>
        <v>#N/A</v>
      </c>
      <c r="J55" s="238" t="e">
        <f t="shared" si="17"/>
        <v>#N/A</v>
      </c>
      <c r="K55" s="238" t="e">
        <f t="shared" si="17"/>
        <v>#N/A</v>
      </c>
      <c r="L55" s="238" t="e">
        <f t="shared" si="17"/>
        <v>#N/A</v>
      </c>
      <c r="M55" s="238" t="e">
        <f t="shared" si="17"/>
        <v>#N/A</v>
      </c>
      <c r="N55" s="238" t="e">
        <f t="shared" si="17"/>
        <v>#N/A</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25">
      <c r="C56" s="516" t="s">
        <v>13</v>
      </c>
      <c r="D56" s="516"/>
      <c r="F56" s="516" t="s">
        <v>18</v>
      </c>
      <c r="G56" s="516"/>
      <c r="I56" s="516" t="s">
        <v>3</v>
      </c>
      <c r="J56" s="516"/>
      <c r="L56" s="516" t="s">
        <v>8</v>
      </c>
      <c r="M56" s="516"/>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2"/>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25">
      <c r="B57" s="164" t="s">
        <v>224</v>
      </c>
      <c r="C57" s="164" t="e">
        <f>C97</f>
        <v>#N/A</v>
      </c>
      <c r="D57" s="163">
        <f>IF('Phase designation'!B22=2,1,0)</f>
        <v>1</v>
      </c>
      <c r="F57" s="238" t="e">
        <f>F97</f>
        <v>#N/A</v>
      </c>
      <c r="G57" s="164">
        <f>IF('Phase designation'!D22=2,1,0)</f>
        <v>1</v>
      </c>
      <c r="I57" s="238" t="e">
        <f>I97</f>
        <v>#N/A</v>
      </c>
      <c r="J57" s="164">
        <f>IF('Phase designation'!F22=2,1,0)</f>
        <v>1</v>
      </c>
      <c r="L57" s="238" t="e">
        <f>L97</f>
        <v>#N/A</v>
      </c>
      <c r="M57" s="164">
        <f>IF('Phase designation'!H22=2,1,0)</f>
        <v>1</v>
      </c>
      <c r="W57" s="65" t="e">
        <f>MAX(AC45,MAX(W55:W56))</f>
        <v>#N/A</v>
      </c>
      <c r="X57" s="65" t="e">
        <f>MAX(AD45,MAX(X55:X56))</f>
        <v>#N/A</v>
      </c>
      <c r="Y57" s="212"/>
      <c r="Z57" s="62" t="s">
        <v>105</v>
      </c>
      <c r="AA57" s="193" t="e">
        <f>AA55</f>
        <v>#N/A</v>
      </c>
      <c r="AB57" s="193" t="e">
        <f t="shared" ref="AB57:AD58" si="18">AB55</f>
        <v>#N/A</v>
      </c>
      <c r="AC57" s="193" t="e">
        <f t="shared" si="18"/>
        <v>#N/A</v>
      </c>
      <c r="AD57" s="193" t="e">
        <f t="shared" si="18"/>
        <v>#N/A</v>
      </c>
    </row>
    <row r="58" spans="2:63" ht="15.75" hidden="1" thickBot="1" x14ac:dyDescent="0.3">
      <c r="B58" s="164" t="s">
        <v>225</v>
      </c>
      <c r="C58" s="3" t="e">
        <f>C96</f>
        <v>#N/A</v>
      </c>
      <c r="D58" s="164">
        <f>IF('Phase designation'!B22=1,1,0)</f>
        <v>0</v>
      </c>
      <c r="F58" s="238" t="e">
        <f>F96</f>
        <v>#N/A</v>
      </c>
      <c r="G58" s="164">
        <f>IF('Phase designation'!D22=1,1,0)</f>
        <v>0</v>
      </c>
      <c r="I58" s="238" t="e">
        <f>I96</f>
        <v>#N/A</v>
      </c>
      <c r="J58" s="164">
        <f>IF('Phase designation'!F22=1,1,0)</f>
        <v>0</v>
      </c>
      <c r="L58" s="238" t="e">
        <f>L96</f>
        <v>#N/A</v>
      </c>
      <c r="M58" s="164">
        <f>IF('Phase designation'!H22=1,1,0)</f>
        <v>0</v>
      </c>
      <c r="W58" s="76" t="e">
        <f>C25-MIN(W57:X57)</f>
        <v>#N/A</v>
      </c>
      <c r="X58" s="76" t="e">
        <f>C25-W58</f>
        <v>#N/A</v>
      </c>
      <c r="Y58" s="47"/>
      <c r="Z58" s="47" t="s">
        <v>106</v>
      </c>
      <c r="AA58" s="193" t="e">
        <f>AA56</f>
        <v>#N/A</v>
      </c>
      <c r="AB58" s="193" t="e">
        <f t="shared" si="18"/>
        <v>#N/A</v>
      </c>
      <c r="AC58" s="193" t="e">
        <f t="shared" si="18"/>
        <v>#N/A</v>
      </c>
      <c r="AD58" s="193" t="e">
        <f t="shared" si="18"/>
        <v>#N/A</v>
      </c>
      <c r="AE58" s="197" t="s">
        <v>223</v>
      </c>
    </row>
    <row r="59" spans="2:63" s="77" customFormat="1" hidden="1" x14ac:dyDescent="0.25">
      <c r="B59" s="77" t="s">
        <v>226</v>
      </c>
      <c r="C59" s="77" t="e">
        <f>C104</f>
        <v>#N/A</v>
      </c>
      <c r="D59" s="77">
        <f>IF('Phase designation'!B22=3,1,0)</f>
        <v>0</v>
      </c>
      <c r="F59" s="278" t="e">
        <f>F104</f>
        <v>#N/A</v>
      </c>
      <c r="G59" s="77">
        <f>IF('Phase designation'!D22=3,1,0)</f>
        <v>0</v>
      </c>
      <c r="I59" s="278" t="e">
        <f>I104</f>
        <v>#N/A</v>
      </c>
      <c r="J59" s="77">
        <f>IF('Phase designation'!F22=3,1,0)</f>
        <v>0</v>
      </c>
      <c r="L59" s="278" t="e">
        <f>L104</f>
        <v>#N/A</v>
      </c>
      <c r="M59" s="77">
        <f>IF('Phase designation'!H22=3,1,0)</f>
        <v>0</v>
      </c>
      <c r="P59" s="278"/>
      <c r="Q59" s="172"/>
      <c r="R59" s="173"/>
      <c r="S59" s="173"/>
      <c r="T59" s="173"/>
      <c r="U59" s="173"/>
      <c r="V59" s="174" t="s">
        <v>132</v>
      </c>
      <c r="W59" s="175" t="s">
        <v>237</v>
      </c>
      <c r="X59" s="176" t="s">
        <v>238</v>
      </c>
      <c r="Y59" s="47"/>
      <c r="AA59" s="78"/>
      <c r="AB59" s="78"/>
      <c r="AC59" s="78"/>
      <c r="AD59" s="78"/>
      <c r="AE59" s="78"/>
      <c r="AF59" s="78"/>
      <c r="AG59" s="78"/>
      <c r="AH59" s="78"/>
      <c r="AI59" s="78"/>
      <c r="AJ59" s="78"/>
      <c r="BK59" s="415"/>
    </row>
    <row r="60" spans="2:63" s="77" customFormat="1" hidden="1" x14ac:dyDescent="0.25">
      <c r="B60" s="238" t="s">
        <v>353</v>
      </c>
      <c r="C60" s="3" t="e">
        <f>C103</f>
        <v>#N/A</v>
      </c>
      <c r="D60" s="77">
        <f>IF(AND(C6=0,C3&gt;0),1,0)</f>
        <v>0</v>
      </c>
      <c r="F60" s="238" t="e">
        <f>F103</f>
        <v>#N/A</v>
      </c>
      <c r="G60" s="278">
        <f>IF(AND(F6=0,F3&gt;0),1,0)</f>
        <v>0</v>
      </c>
      <c r="I60" s="238" t="e">
        <f>I103</f>
        <v>#N/A</v>
      </c>
      <c r="J60" s="278">
        <f>IF(AND(I6=0,I3&gt;0),1,0)</f>
        <v>0</v>
      </c>
      <c r="L60" s="238" t="e">
        <f>L103</f>
        <v>#N/A</v>
      </c>
      <c r="M60" s="278">
        <f>IF(AND(L6=0,L3&gt;0),1,0)</f>
        <v>0</v>
      </c>
      <c r="P60" s="278"/>
      <c r="Q60" s="177" t="s">
        <v>105</v>
      </c>
      <c r="R60" s="169" t="e">
        <f t="shared" ref="R60:U61" si="19">AG55</f>
        <v>#N/A</v>
      </c>
      <c r="S60" s="169" t="e">
        <f t="shared" si="19"/>
        <v>#N/A</v>
      </c>
      <c r="T60" s="169" t="e">
        <f t="shared" si="19"/>
        <v>#N/A</v>
      </c>
      <c r="U60" s="169" t="e">
        <f t="shared" si="19"/>
        <v>#N/A</v>
      </c>
      <c r="V60" s="167" t="e">
        <f>SUM(R60:U60)</f>
        <v>#N/A</v>
      </c>
      <c r="W60" s="170" t="e">
        <f>R60+S60</f>
        <v>#N/A</v>
      </c>
      <c r="X60" s="178" t="e">
        <f>T60+U60</f>
        <v>#N/A</v>
      </c>
      <c r="Y60" s="47"/>
      <c r="Z60" s="62" t="s">
        <v>105</v>
      </c>
      <c r="AA60" s="214" t="e">
        <f t="shared" ref="AA60:AD61" si="20">IF(R60&lt;Y44,1,0)</f>
        <v>#N/A</v>
      </c>
      <c r="AB60" s="214" t="e">
        <f t="shared" si="20"/>
        <v>#N/A</v>
      </c>
      <c r="AC60" s="214" t="e">
        <f t="shared" si="20"/>
        <v>#N/A</v>
      </c>
      <c r="AD60" s="214" t="e">
        <f t="shared" si="20"/>
        <v>#N/A</v>
      </c>
      <c r="AE60" s="78"/>
      <c r="AF60" s="45"/>
      <c r="AG60" s="45"/>
      <c r="AH60" s="45"/>
      <c r="AI60" s="45"/>
      <c r="AJ60" s="78"/>
      <c r="BK60" s="415"/>
    </row>
    <row r="61" spans="2:63" s="77" customFormat="1" ht="15.75" hidden="1" thickBot="1" x14ac:dyDescent="0.3">
      <c r="P61" s="278"/>
      <c r="Q61" s="179" t="s">
        <v>106</v>
      </c>
      <c r="R61" s="180" t="e">
        <f t="shared" si="19"/>
        <v>#N/A</v>
      </c>
      <c r="S61" s="180" t="e">
        <f t="shared" si="19"/>
        <v>#N/A</v>
      </c>
      <c r="T61" s="180" t="e">
        <f t="shared" si="19"/>
        <v>#N/A</v>
      </c>
      <c r="U61" s="180" t="e">
        <f t="shared" si="19"/>
        <v>#N/A</v>
      </c>
      <c r="V61" s="181" t="e">
        <f>SUM(R61:U61)</f>
        <v>#N/A</v>
      </c>
      <c r="W61" s="182" t="e">
        <f>R61+S61</f>
        <v>#N/A</v>
      </c>
      <c r="X61" s="183" t="e">
        <f>T61+U61</f>
        <v>#N/A</v>
      </c>
      <c r="Y61" s="47"/>
      <c r="Z61" s="47" t="s">
        <v>106</v>
      </c>
      <c r="AA61" s="214" t="e">
        <f t="shared" si="20"/>
        <v>#N/A</v>
      </c>
      <c r="AB61" s="214" t="e">
        <f t="shared" si="20"/>
        <v>#N/A</v>
      </c>
      <c r="AC61" s="214" t="e">
        <f t="shared" si="20"/>
        <v>#N/A</v>
      </c>
      <c r="AD61" s="214" t="e">
        <f t="shared" si="20"/>
        <v>#N/A</v>
      </c>
      <c r="AE61" s="215" t="e">
        <f>SUM(AA60:AD61)</f>
        <v>#N/A</v>
      </c>
      <c r="AF61" s="45"/>
      <c r="AG61" s="45"/>
      <c r="AH61" s="45"/>
      <c r="AI61" s="45"/>
      <c r="AJ61" s="78"/>
      <c r="BK61" s="415"/>
    </row>
    <row r="62" spans="2:63" hidden="1" x14ac:dyDescent="0.25">
      <c r="B62" s="233" t="s">
        <v>322</v>
      </c>
      <c r="C62" s="77" t="e">
        <f>MAX(0,D37)</f>
        <v>#N/A</v>
      </c>
      <c r="D62" s="77">
        <f>D57</f>
        <v>1</v>
      </c>
      <c r="E62" s="77"/>
      <c r="F62" s="278" t="e">
        <f>MAX(0,G37)</f>
        <v>#N/A</v>
      </c>
      <c r="G62" s="77">
        <f>G57</f>
        <v>1</v>
      </c>
      <c r="H62" s="77"/>
      <c r="I62" s="278" t="e">
        <f>MAX(0,J37)</f>
        <v>#N/A</v>
      </c>
      <c r="J62" s="77">
        <f>J57</f>
        <v>1</v>
      </c>
      <c r="K62" s="77"/>
      <c r="L62" s="278" t="e">
        <f>MAX(0,M37)</f>
        <v>#N/A</v>
      </c>
      <c r="M62" s="77">
        <f>M57</f>
        <v>1</v>
      </c>
      <c r="N62" s="77"/>
      <c r="X62" s="77"/>
      <c r="Z62" s="197"/>
      <c r="AA62" s="197"/>
      <c r="AB62" s="197"/>
      <c r="AC62" s="197"/>
      <c r="AD62" s="197"/>
      <c r="AE62" s="199"/>
      <c r="AF62" s="199"/>
      <c r="AG62" s="199"/>
      <c r="AH62" s="199"/>
      <c r="AI62" s="199"/>
    </row>
    <row r="63" spans="2:63" hidden="1" x14ac:dyDescent="0.25">
      <c r="B63" s="233" t="s">
        <v>323</v>
      </c>
      <c r="C63" s="233" t="e">
        <f>MAX(0,C34-C35-C36)</f>
        <v>#N/A</v>
      </c>
      <c r="D63" s="77">
        <f>D58</f>
        <v>0</v>
      </c>
      <c r="E63" s="77"/>
      <c r="F63" s="238" t="e">
        <f>MAX(0,F34-F35-F36)</f>
        <v>#N/A</v>
      </c>
      <c r="G63" s="77">
        <f>G58</f>
        <v>0</v>
      </c>
      <c r="H63" s="77"/>
      <c r="I63" s="238" t="e">
        <f>MAX(0,I34-I35-I36)</f>
        <v>#N/A</v>
      </c>
      <c r="J63" s="77">
        <f>J58</f>
        <v>0</v>
      </c>
      <c r="K63" s="77"/>
      <c r="L63" s="238" t="e">
        <f>MAX(0,L34-L35-L36)</f>
        <v>#N/A</v>
      </c>
      <c r="M63" s="77">
        <f>M58</f>
        <v>0</v>
      </c>
      <c r="N63" s="77"/>
      <c r="Q63" s="3">
        <f>R29</f>
        <v>0</v>
      </c>
      <c r="R63" s="69">
        <f>S29</f>
        <v>2</v>
      </c>
      <c r="S63" s="69">
        <f>T29</f>
        <v>0</v>
      </c>
      <c r="T63" s="69">
        <f>U29</f>
        <v>4</v>
      </c>
      <c r="U63" s="69">
        <f>R30</f>
        <v>0</v>
      </c>
      <c r="V63" s="69">
        <f>S30</f>
        <v>6</v>
      </c>
      <c r="W63" s="69">
        <f>T30</f>
        <v>0</v>
      </c>
      <c r="X63" s="69">
        <f>U30</f>
        <v>8</v>
      </c>
    </row>
    <row r="64" spans="2:63" hidden="1" x14ac:dyDescent="0.25">
      <c r="B64" s="77" t="s">
        <v>324</v>
      </c>
      <c r="C64" s="3" t="e">
        <f>MAX(0,C63+C62-C35-C36)</f>
        <v>#N/A</v>
      </c>
      <c r="D64" s="77">
        <f>D59</f>
        <v>0</v>
      </c>
      <c r="E64" s="77"/>
      <c r="F64" s="238" t="e">
        <f>MAX(0,F63+F62-F35-F36)</f>
        <v>#N/A</v>
      </c>
      <c r="G64" s="77">
        <f>G59</f>
        <v>0</v>
      </c>
      <c r="H64" s="77"/>
      <c r="I64" s="238" t="e">
        <f>MAX(0,I63+I62-I35-I36)</f>
        <v>#N/A</v>
      </c>
      <c r="J64" s="77">
        <f>J59</f>
        <v>0</v>
      </c>
      <c r="K64" s="77"/>
      <c r="L64" s="238" t="e">
        <f>MAX(0,L63+L62-L35-L36)</f>
        <v>#N/A</v>
      </c>
      <c r="M64" s="77">
        <f>M59</f>
        <v>0</v>
      </c>
      <c r="Q64" s="3" t="e">
        <f>C83</f>
        <v>#N/A</v>
      </c>
      <c r="R64" s="213" t="e">
        <f>D83</f>
        <v>#N/A</v>
      </c>
      <c r="S64" s="213" t="e">
        <f>E83</f>
        <v>#N/A</v>
      </c>
      <c r="T64" s="213" t="e">
        <f>F83</f>
        <v>#N/A</v>
      </c>
      <c r="U64" s="3" t="e">
        <f>C84</f>
        <v>#N/A</v>
      </c>
      <c r="V64" s="213" t="e">
        <f>D84</f>
        <v>#N/A</v>
      </c>
      <c r="W64" s="213" t="e">
        <f>E84</f>
        <v>#N/A</v>
      </c>
      <c r="X64" s="213" t="e">
        <f>F84</f>
        <v>#N/A</v>
      </c>
    </row>
    <row r="65" spans="2:63" hidden="1" x14ac:dyDescent="0.25">
      <c r="D65" s="238"/>
      <c r="F65" s="238"/>
      <c r="G65" s="238"/>
      <c r="I65" s="238"/>
      <c r="J65" s="238"/>
      <c r="L65" s="238"/>
      <c r="M65" s="238"/>
      <c r="Q65" s="3">
        <f>C33</f>
        <v>4</v>
      </c>
      <c r="R65" s="163">
        <f>D33</f>
        <v>4</v>
      </c>
      <c r="S65" s="163">
        <f>F33</f>
        <v>8</v>
      </c>
      <c r="T65" s="163">
        <f>G33</f>
        <v>8</v>
      </c>
      <c r="U65" s="163">
        <f>I33</f>
        <v>2</v>
      </c>
      <c r="V65" s="163">
        <f>J33</f>
        <v>2</v>
      </c>
      <c r="W65" s="163">
        <f>L33</f>
        <v>6</v>
      </c>
      <c r="X65" s="163">
        <f>M33</f>
        <v>6</v>
      </c>
    </row>
    <row r="66" spans="2:63" s="355" customFormat="1" hidden="1" x14ac:dyDescent="0.25">
      <c r="B66" s="355" t="s">
        <v>432</v>
      </c>
      <c r="C66" s="355">
        <f>C14</f>
        <v>1345</v>
      </c>
      <c r="D66" s="355">
        <f>D62</f>
        <v>1</v>
      </c>
      <c r="F66" s="355">
        <f>F14</f>
        <v>1345</v>
      </c>
      <c r="G66" s="355">
        <f>G62</f>
        <v>1</v>
      </c>
      <c r="I66" s="355">
        <f>I14</f>
        <v>1345</v>
      </c>
      <c r="J66" s="355">
        <f>J62</f>
        <v>1</v>
      </c>
      <c r="L66" s="355">
        <f>L14</f>
        <v>1345</v>
      </c>
      <c r="M66" s="355">
        <f>M62</f>
        <v>1</v>
      </c>
      <c r="P66" s="356"/>
      <c r="AE66" s="357"/>
      <c r="AF66" s="357"/>
      <c r="AG66" s="357"/>
      <c r="AH66" s="357"/>
      <c r="AI66" s="357"/>
      <c r="AJ66" s="357"/>
      <c r="AK66" s="356"/>
      <c r="AL66" s="356"/>
      <c r="AM66" s="356"/>
      <c r="AN66" s="356"/>
      <c r="AO66" s="356"/>
      <c r="AP66" s="356"/>
      <c r="AQ66" s="356"/>
      <c r="AR66" s="356"/>
      <c r="AS66" s="356"/>
      <c r="AT66" s="356"/>
      <c r="AU66" s="356"/>
      <c r="AV66" s="356"/>
      <c r="BK66" s="414"/>
    </row>
    <row r="67" spans="2:63" s="355" customFormat="1" hidden="1" x14ac:dyDescent="0.25">
      <c r="B67" s="355" t="s">
        <v>433</v>
      </c>
      <c r="C67" s="355" t="e">
        <f>C11</f>
        <v>#N/A</v>
      </c>
      <c r="D67" s="355">
        <f>D63</f>
        <v>0</v>
      </c>
      <c r="F67" s="355" t="e">
        <f>F11</f>
        <v>#N/A</v>
      </c>
      <c r="G67" s="355">
        <f>G63</f>
        <v>0</v>
      </c>
      <c r="I67" s="355" t="e">
        <f>I11</f>
        <v>#N/A</v>
      </c>
      <c r="J67" s="355">
        <f>J63</f>
        <v>0</v>
      </c>
      <c r="L67" s="355" t="e">
        <f>L11</f>
        <v>#N/A</v>
      </c>
      <c r="M67" s="355">
        <f>M63</f>
        <v>0</v>
      </c>
      <c r="P67" s="356"/>
      <c r="AE67" s="357"/>
      <c r="AF67" s="357"/>
      <c r="AG67" s="357"/>
      <c r="AH67" s="357"/>
      <c r="AI67" s="357"/>
      <c r="AJ67" s="357"/>
      <c r="AK67" s="356"/>
      <c r="AL67" s="356"/>
      <c r="AM67" s="356"/>
      <c r="AN67" s="356"/>
      <c r="AO67" s="356"/>
      <c r="AP67" s="356"/>
      <c r="AQ67" s="356"/>
      <c r="AR67" s="356"/>
      <c r="AS67" s="356"/>
      <c r="AT67" s="356"/>
      <c r="AU67" s="356"/>
      <c r="AV67" s="356"/>
      <c r="BK67" s="414"/>
    </row>
    <row r="68" spans="2:63" s="355" customFormat="1" hidden="1" x14ac:dyDescent="0.25">
      <c r="B68" s="355" t="s">
        <v>434</v>
      </c>
      <c r="C68" s="333" t="e">
        <f>IF(C64=0,0,(C67*C63+C66*C62)/C64)</f>
        <v>#N/A</v>
      </c>
      <c r="D68" s="355">
        <f>D64</f>
        <v>0</v>
      </c>
      <c r="F68" s="333" t="e">
        <f>IF(F64=0,0,(F67*F63+F66*F62)/F64)</f>
        <v>#N/A</v>
      </c>
      <c r="G68" s="355">
        <f>G64</f>
        <v>0</v>
      </c>
      <c r="I68" s="333" t="e">
        <f>IF(I64=0,0,(I67*I63+I66*I62)/I64)</f>
        <v>#N/A</v>
      </c>
      <c r="J68" s="355">
        <f>J64</f>
        <v>0</v>
      </c>
      <c r="L68" s="333" t="e">
        <f>IF(L64=0,0,(L67*L63+L66*L62)/L64)</f>
        <v>#N/A</v>
      </c>
      <c r="M68" s="355">
        <f>M64</f>
        <v>0</v>
      </c>
      <c r="P68" s="356"/>
      <c r="AE68" s="357"/>
      <c r="AF68" s="357"/>
      <c r="AG68" s="357"/>
      <c r="AH68" s="357"/>
      <c r="AI68" s="357"/>
      <c r="AJ68" s="357"/>
      <c r="AK68" s="356"/>
      <c r="AL68" s="356"/>
      <c r="AM68" s="356"/>
      <c r="AN68" s="356"/>
      <c r="AO68" s="356"/>
      <c r="AP68" s="356"/>
      <c r="AQ68" s="356"/>
      <c r="AR68" s="356"/>
      <c r="AS68" s="356"/>
      <c r="AT68" s="356"/>
      <c r="AU68" s="356"/>
      <c r="AV68" s="356"/>
      <c r="BK68" s="414"/>
    </row>
    <row r="69" spans="2:63" hidden="1" x14ac:dyDescent="0.25">
      <c r="Q69" s="77">
        <f>IF(Q65=0,0,MATCH(Q65,$Q$63:$X$63,0))</f>
        <v>4</v>
      </c>
      <c r="R69" s="77">
        <f t="shared" ref="R69:X69" si="21">IF(R65=0,0,MATCH(R65,$Q$63:$X$63,0))</f>
        <v>4</v>
      </c>
      <c r="S69" s="77">
        <f t="shared" si="21"/>
        <v>8</v>
      </c>
      <c r="T69" s="77">
        <f t="shared" si="21"/>
        <v>8</v>
      </c>
      <c r="U69" s="77">
        <f t="shared" si="21"/>
        <v>2</v>
      </c>
      <c r="V69" s="77">
        <f t="shared" si="21"/>
        <v>2</v>
      </c>
      <c r="W69" s="77">
        <f t="shared" si="21"/>
        <v>6</v>
      </c>
      <c r="X69" s="77">
        <f t="shared" si="21"/>
        <v>6</v>
      </c>
    </row>
    <row r="70" spans="2:63" s="238" customFormat="1" hidden="1" x14ac:dyDescent="0.25">
      <c r="C70" s="238" t="s">
        <v>13</v>
      </c>
      <c r="D70" s="3"/>
      <c r="E70" s="235"/>
      <c r="F70" s="238" t="s">
        <v>18</v>
      </c>
      <c r="G70" s="3"/>
      <c r="H70" s="235"/>
      <c r="I70" s="238" t="s">
        <v>3</v>
      </c>
      <c r="J70" s="3"/>
      <c r="K70" s="235"/>
      <c r="L70" s="238" t="s">
        <v>8</v>
      </c>
      <c r="P70" s="278"/>
      <c r="Q70" s="278"/>
      <c r="R70" s="278"/>
      <c r="S70" s="278"/>
      <c r="T70" s="278"/>
      <c r="U70" s="278"/>
      <c r="V70" s="278"/>
      <c r="W70" s="278"/>
      <c r="X70" s="278"/>
      <c r="AE70" s="241"/>
      <c r="AF70" s="241"/>
      <c r="AG70" s="241"/>
      <c r="AH70" s="241"/>
      <c r="AI70" s="241"/>
      <c r="AJ70" s="241"/>
      <c r="AK70" s="278"/>
      <c r="AL70" s="278"/>
      <c r="AM70" s="278"/>
      <c r="AN70" s="278"/>
      <c r="AO70" s="278"/>
      <c r="AP70" s="278"/>
      <c r="AQ70" s="278"/>
      <c r="AR70" s="278"/>
      <c r="AS70" s="278"/>
      <c r="AT70" s="278"/>
      <c r="AU70" s="278"/>
      <c r="AV70" s="278"/>
      <c r="BK70" s="414"/>
    </row>
    <row r="71" spans="2:63" s="238" customFormat="1" hidden="1" x14ac:dyDescent="0.25">
      <c r="B71" s="238" t="s">
        <v>333</v>
      </c>
      <c r="C71" s="238" t="e">
        <f>IF(C34&lt;F34,MAX(0,MIN(C34+G34-F34-D35-D36,G34-D35-D36-G37)),G34-D35-D36-G37)</f>
        <v>#N/A</v>
      </c>
      <c r="F71" s="238" t="e">
        <f>IF(F34&lt;C34,MAX(0,MIN(F34+D34-C34-G35-G36,D34-G35-G36-D37)),D34-G35-G36-D37)</f>
        <v>#N/A</v>
      </c>
      <c r="I71" s="238" t="e">
        <f>IF(I34&lt;L34,MAX(0,MIN(I34+M34-L34-J35-J36,M34-J35-J36-M37)),M34-J35-J36-M37)</f>
        <v>#N/A</v>
      </c>
      <c r="L71" s="238" t="e">
        <f>IF(L34&lt;I34,MAX(0,MIN(L34+J34-I34-M35-M36,J34-M35-M36-J37)),J34-M35-M36-J37)</f>
        <v>#N/A</v>
      </c>
      <c r="P71" s="278"/>
      <c r="Q71" s="278"/>
      <c r="R71" s="278"/>
      <c r="S71" s="278"/>
      <c r="T71" s="278"/>
      <c r="U71" s="278"/>
      <c r="V71" s="278"/>
      <c r="W71" s="278"/>
      <c r="X71" s="278"/>
      <c r="AE71" s="241"/>
      <c r="AF71" s="241"/>
      <c r="AG71" s="241"/>
      <c r="AH71" s="241"/>
      <c r="AI71" s="241"/>
      <c r="AJ71" s="241"/>
      <c r="AK71" s="278"/>
      <c r="AL71" s="278"/>
      <c r="AM71" s="278"/>
      <c r="AN71" s="278"/>
      <c r="AO71" s="278"/>
      <c r="AP71" s="278"/>
      <c r="AQ71" s="278"/>
      <c r="AR71" s="278"/>
      <c r="AS71" s="278"/>
      <c r="AT71" s="278"/>
      <c r="AU71" s="278"/>
      <c r="AV71" s="278"/>
      <c r="BK71" s="414"/>
    </row>
    <row r="72" spans="2:63" s="238" customFormat="1" hidden="1" x14ac:dyDescent="0.25">
      <c r="B72" s="238" t="s">
        <v>334</v>
      </c>
      <c r="C72" s="238" t="e">
        <f>IF(C34&lt;F34,MAX(0,MIN(C34+G34-F34-D35-D36,G34-D35-D36)),G34-D35-D36)</f>
        <v>#N/A</v>
      </c>
      <c r="F72" s="238" t="e">
        <f>IF(F34&lt;C34,MAX(0,MIN(F34+D34-C34-G35-G36,D34-G35-G36)),D34-G35-G36)</f>
        <v>#N/A</v>
      </c>
      <c r="I72" s="238" t="e">
        <f>IF(I34&lt;L34,MAX(0,MIN(I34+M34-L34-J35-J36,M34-J35-J36)),M34-J35-J36)</f>
        <v>#N/A</v>
      </c>
      <c r="L72" s="238" t="e">
        <f>IF(L34&lt;I34,MAX(0,MIN(L34+J34-I34-M35-M36,J34-M35-M36)),J34-M35-M36)</f>
        <v>#N/A</v>
      </c>
      <c r="P72" s="278"/>
      <c r="Q72" s="278"/>
      <c r="R72" s="278"/>
      <c r="S72" s="278"/>
      <c r="T72" s="278"/>
      <c r="U72" s="278"/>
      <c r="V72" s="278"/>
      <c r="W72" s="278"/>
      <c r="X72" s="278"/>
      <c r="AE72" s="241"/>
      <c r="AF72" s="241"/>
      <c r="AG72" s="241"/>
      <c r="AH72" s="241"/>
      <c r="AI72" s="241"/>
      <c r="AJ72" s="241"/>
      <c r="AK72" s="278"/>
      <c r="AL72" s="278"/>
      <c r="AM72" s="278"/>
      <c r="AN72" s="278"/>
      <c r="AO72" s="278"/>
      <c r="AP72" s="278"/>
      <c r="AQ72" s="278"/>
      <c r="AR72" s="278"/>
      <c r="AS72" s="278"/>
      <c r="AT72" s="278"/>
      <c r="AU72" s="278"/>
      <c r="AV72" s="278"/>
      <c r="BK72" s="414"/>
    </row>
    <row r="73" spans="2:63" s="238" customFormat="1" hidden="1" x14ac:dyDescent="0.25">
      <c r="B73" s="238" t="s">
        <v>337</v>
      </c>
      <c r="C73" s="238" t="e">
        <f>IF(F34&gt;(C34-C35-C36),MIN(C74,F34-(C34-C35-C36)+C74-C75),0)</f>
        <v>#N/A</v>
      </c>
      <c r="F73" s="238" t="e">
        <f>IF(C34&gt;(F34-F35-F36),MIN(F74,C34-(F34-F35-F36)+F74-F75),0)</f>
        <v>#N/A</v>
      </c>
      <c r="I73" s="238" t="e">
        <f>IF(L34&gt;(I34-I35-I36),MIN(I74,L34-(I34-I35-I36)+I74-I75),0)</f>
        <v>#N/A</v>
      </c>
      <c r="L73" s="238" t="e">
        <f>IF(I34&gt;(L34-L35-L36),MIN(L74,I34-(L34-L35-L36)+L74-L75),0)</f>
        <v>#N/A</v>
      </c>
      <c r="P73" s="278"/>
      <c r="Q73" s="278"/>
      <c r="R73" s="278"/>
      <c r="S73" s="278"/>
      <c r="T73" s="278"/>
      <c r="U73" s="278"/>
      <c r="V73" s="278"/>
      <c r="W73" s="278"/>
      <c r="X73" s="278"/>
      <c r="AE73" s="241"/>
      <c r="AF73" s="241"/>
      <c r="AG73" s="241"/>
      <c r="AH73" s="241"/>
      <c r="AI73" s="241"/>
      <c r="AJ73" s="241"/>
      <c r="AK73" s="278"/>
      <c r="AL73" s="278"/>
      <c r="AM73" s="278"/>
      <c r="AN73" s="278"/>
      <c r="AO73" s="278"/>
      <c r="AP73" s="278"/>
      <c r="AQ73" s="278"/>
      <c r="AR73" s="278"/>
      <c r="AS73" s="278"/>
      <c r="AT73" s="278"/>
      <c r="AU73" s="278"/>
      <c r="AV73" s="278"/>
      <c r="BK73" s="414"/>
    </row>
    <row r="74" spans="2:63" s="238" customFormat="1" hidden="1" x14ac:dyDescent="0.25">
      <c r="B74" s="238" t="s">
        <v>339</v>
      </c>
      <c r="C74" s="238">
        <v>2</v>
      </c>
      <c r="F74" s="238">
        <v>2</v>
      </c>
      <c r="I74" s="238">
        <v>2</v>
      </c>
      <c r="L74" s="238">
        <v>2</v>
      </c>
      <c r="P74" s="278"/>
      <c r="Q74" s="278"/>
      <c r="R74" s="278"/>
      <c r="S74" s="278"/>
      <c r="T74" s="278"/>
      <c r="U74" s="278"/>
      <c r="V74" s="278"/>
      <c r="W74" s="278"/>
      <c r="X74" s="278"/>
      <c r="AE74" s="241"/>
      <c r="AF74" s="241"/>
      <c r="AG74" s="241"/>
      <c r="AH74" s="241"/>
      <c r="AI74" s="241"/>
      <c r="AJ74" s="241"/>
      <c r="AK74" s="278"/>
      <c r="AL74" s="278"/>
      <c r="AM74" s="278"/>
      <c r="AN74" s="278"/>
      <c r="AO74" s="278"/>
      <c r="AP74" s="278"/>
      <c r="AQ74" s="278"/>
      <c r="AR74" s="278"/>
      <c r="AS74" s="278"/>
      <c r="AT74" s="278"/>
      <c r="AU74" s="278"/>
      <c r="AV74" s="278"/>
      <c r="BK74" s="414"/>
    </row>
    <row r="75" spans="2:63" s="238" customFormat="1" hidden="1" x14ac:dyDescent="0.25">
      <c r="B75" s="238" t="s">
        <v>338</v>
      </c>
      <c r="C75" s="238">
        <f>Phasing!O27</f>
        <v>2.2999999999999998</v>
      </c>
      <c r="F75" s="238">
        <f>Phasing!Q27</f>
        <v>2.2999999999999998</v>
      </c>
      <c r="I75" s="238">
        <f>Phasing!S27</f>
        <v>2.2999999999999998</v>
      </c>
      <c r="L75" s="238">
        <f>Phasing!U27</f>
        <v>2.2999999999999998</v>
      </c>
      <c r="P75" s="278"/>
      <c r="Q75" s="278"/>
      <c r="R75" s="278"/>
      <c r="S75" s="278"/>
      <c r="T75" s="278"/>
      <c r="U75" s="278"/>
      <c r="V75" s="278"/>
      <c r="W75" s="278"/>
      <c r="X75" s="278"/>
      <c r="AE75" s="241"/>
      <c r="AF75" s="241"/>
      <c r="AG75" s="241"/>
      <c r="AH75" s="241"/>
      <c r="AI75" s="241"/>
      <c r="AJ75" s="241"/>
      <c r="AK75" s="278"/>
      <c r="AL75" s="278"/>
      <c r="AM75" s="278"/>
      <c r="AN75" s="278"/>
      <c r="AO75" s="278"/>
      <c r="AP75" s="278"/>
      <c r="AQ75" s="278"/>
      <c r="AR75" s="278"/>
      <c r="AS75" s="278"/>
      <c r="AT75" s="278"/>
      <c r="AU75" s="278"/>
      <c r="AV75" s="278"/>
      <c r="BK75" s="414"/>
    </row>
    <row r="76" spans="2:63" s="238" customFormat="1" hidden="1" x14ac:dyDescent="0.25">
      <c r="B76" s="238" t="s">
        <v>335</v>
      </c>
      <c r="C76" s="238" t="e">
        <f>MIN(C71+C75,C77)</f>
        <v>#N/A</v>
      </c>
      <c r="F76" s="238" t="e">
        <f>MIN(F71+F75,F77)</f>
        <v>#N/A</v>
      </c>
      <c r="I76" s="238" t="e">
        <f>MIN(I71+I75,I77)</f>
        <v>#N/A</v>
      </c>
      <c r="L76" s="238" t="e">
        <f>MIN(L71+L75,L77)</f>
        <v>#N/A</v>
      </c>
      <c r="P76" s="278"/>
      <c r="Q76" s="278"/>
      <c r="R76" s="278"/>
      <c r="S76" s="278"/>
      <c r="T76" s="278"/>
      <c r="U76" s="278"/>
      <c r="V76" s="278"/>
      <c r="W76" s="278"/>
      <c r="X76" s="278"/>
      <c r="AE76" s="241"/>
      <c r="AF76" s="241"/>
      <c r="AG76" s="241"/>
      <c r="AH76" s="241"/>
      <c r="AI76" s="241"/>
      <c r="AJ76" s="241"/>
      <c r="AK76" s="278"/>
      <c r="AL76" s="278"/>
      <c r="AM76" s="278"/>
      <c r="AN76" s="278"/>
      <c r="AO76" s="278"/>
      <c r="AP76" s="278"/>
      <c r="AQ76" s="278"/>
      <c r="AR76" s="278"/>
      <c r="AS76" s="278"/>
      <c r="AT76" s="278"/>
      <c r="AU76" s="278"/>
      <c r="AV76" s="278"/>
      <c r="BK76" s="414"/>
    </row>
    <row r="77" spans="2:63" s="238" customFormat="1" hidden="1" x14ac:dyDescent="0.25">
      <c r="B77" s="238" t="s">
        <v>336</v>
      </c>
      <c r="C77" s="238" t="e">
        <f>MAX(0,C72-C73+C75)</f>
        <v>#N/A</v>
      </c>
      <c r="F77" s="238" t="e">
        <f>MAX(0,F72-F73+F75)</f>
        <v>#N/A</v>
      </c>
      <c r="I77" s="238" t="e">
        <f>MAX(0,I72-I73+I75)</f>
        <v>#N/A</v>
      </c>
      <c r="L77" s="238" t="e">
        <f>MAX(0,L72-L73+L75)</f>
        <v>#N/A</v>
      </c>
      <c r="P77" s="278"/>
      <c r="Q77" s="278"/>
      <c r="R77" s="278"/>
      <c r="S77" s="278"/>
      <c r="T77" s="278"/>
      <c r="U77" s="278"/>
      <c r="V77" s="278"/>
      <c r="W77" s="278"/>
      <c r="X77" s="278"/>
      <c r="AE77" s="241"/>
      <c r="AF77" s="241"/>
      <c r="AG77" s="241"/>
      <c r="AH77" s="241"/>
      <c r="AI77" s="241"/>
      <c r="AJ77" s="241"/>
      <c r="AK77" s="278"/>
      <c r="AL77" s="278"/>
      <c r="AM77" s="278"/>
      <c r="AN77" s="278"/>
      <c r="AO77" s="278"/>
      <c r="AP77" s="278"/>
      <c r="AQ77" s="278"/>
      <c r="AR77" s="278"/>
      <c r="AS77" s="278"/>
      <c r="AT77" s="278"/>
      <c r="AU77" s="278"/>
      <c r="AV77" s="278"/>
      <c r="BK77" s="414"/>
    </row>
    <row r="78" spans="2:63" s="238" customFormat="1" hidden="1" x14ac:dyDescent="0.25">
      <c r="P78" s="278"/>
      <c r="Q78" s="278"/>
      <c r="R78" s="278"/>
      <c r="S78" s="278"/>
      <c r="T78" s="278"/>
      <c r="U78" s="278"/>
      <c r="V78" s="278"/>
      <c r="W78" s="278"/>
      <c r="X78" s="278"/>
      <c r="AE78" s="241"/>
      <c r="AF78" s="241"/>
      <c r="AG78" s="241"/>
      <c r="AH78" s="241"/>
      <c r="AI78" s="241"/>
      <c r="AJ78" s="241"/>
      <c r="AK78" s="278"/>
      <c r="AL78" s="278"/>
      <c r="AM78" s="278"/>
      <c r="AN78" s="278"/>
      <c r="AO78" s="278"/>
      <c r="AP78" s="278"/>
      <c r="AQ78" s="278"/>
      <c r="AR78" s="278"/>
      <c r="AS78" s="278"/>
      <c r="AT78" s="278"/>
      <c r="AU78" s="278"/>
      <c r="AV78" s="278"/>
      <c r="BK78" s="414"/>
    </row>
    <row r="79" spans="2:63" s="238" customFormat="1" hidden="1" x14ac:dyDescent="0.25">
      <c r="P79" s="278"/>
      <c r="Q79" s="278"/>
      <c r="R79" s="278"/>
      <c r="S79" s="278"/>
      <c r="T79" s="278"/>
      <c r="U79" s="278"/>
      <c r="V79" s="278"/>
      <c r="W79" s="278"/>
      <c r="X79" s="278"/>
      <c r="AE79" s="241"/>
      <c r="AF79" s="241"/>
      <c r="AG79" s="241"/>
      <c r="AH79" s="241"/>
      <c r="AI79" s="241"/>
      <c r="AJ79" s="241"/>
      <c r="AK79" s="278"/>
      <c r="AL79" s="278"/>
      <c r="AM79" s="278"/>
      <c r="AN79" s="278"/>
      <c r="AO79" s="278"/>
      <c r="AP79" s="278"/>
      <c r="AQ79" s="278"/>
      <c r="AR79" s="278"/>
      <c r="AS79" s="278"/>
      <c r="AT79" s="278"/>
      <c r="AU79" s="278"/>
      <c r="AV79" s="278"/>
      <c r="BK79" s="414"/>
    </row>
    <row r="80" spans="2:63" s="238" customFormat="1" hidden="1" x14ac:dyDescent="0.25">
      <c r="P80" s="278"/>
      <c r="Q80" s="278"/>
      <c r="R80" s="278"/>
      <c r="S80" s="278"/>
      <c r="T80" s="278"/>
      <c r="U80" s="278"/>
      <c r="V80" s="278"/>
      <c r="W80" s="278"/>
      <c r="X80" s="278"/>
      <c r="AE80" s="241"/>
      <c r="AF80" s="241"/>
      <c r="AG80" s="241"/>
      <c r="AH80" s="241"/>
      <c r="AI80" s="241"/>
      <c r="AJ80" s="241"/>
      <c r="AK80" s="278"/>
      <c r="AL80" s="278"/>
      <c r="AM80" s="278"/>
      <c r="AN80" s="278"/>
      <c r="AO80" s="278"/>
      <c r="AP80" s="278"/>
      <c r="AQ80" s="278"/>
      <c r="AR80" s="278"/>
      <c r="AS80" s="278"/>
      <c r="AT80" s="278"/>
      <c r="AU80" s="278"/>
      <c r="AV80" s="278"/>
      <c r="BK80" s="414"/>
    </row>
    <row r="81" spans="2:63" hidden="1" x14ac:dyDescent="0.25">
      <c r="B81" s="278"/>
      <c r="C81" s="278"/>
      <c r="Q81" s="88"/>
      <c r="R81" s="88"/>
      <c r="S81" s="88"/>
      <c r="T81" s="88"/>
      <c r="U81" s="88"/>
      <c r="V81" s="77"/>
      <c r="W81" s="77"/>
    </row>
    <row r="82" spans="2:63" x14ac:dyDescent="0.25">
      <c r="B82" s="168"/>
      <c r="C82" s="189" t="str">
        <f>R28</f>
        <v/>
      </c>
      <c r="D82" s="189" t="str">
        <f>S28</f>
        <v>b</v>
      </c>
      <c r="E82" s="189"/>
      <c r="F82" s="189" t="str">
        <f>T28</f>
        <v/>
      </c>
      <c r="G82" s="167" t="s">
        <v>132</v>
      </c>
      <c r="H82" s="170" t="s">
        <v>241</v>
      </c>
      <c r="I82" s="170" t="s">
        <v>242</v>
      </c>
      <c r="Q82" s="62"/>
      <c r="R82" s="87"/>
      <c r="S82" s="87"/>
      <c r="T82" s="308">
        <f>IF($C$25=0,"CHECK INPUT DATA",ROUND(O17/(1700*O4*'Input sheet'!W7*(1-C23/C25)),2))</f>
        <v>0</v>
      </c>
      <c r="U82" s="87"/>
      <c r="V82" s="77"/>
      <c r="W82" s="77"/>
    </row>
    <row r="83" spans="2:63" x14ac:dyDescent="0.25">
      <c r="B83" s="188" t="s">
        <v>105</v>
      </c>
      <c r="C83" s="188" t="e">
        <f t="shared" ref="C83:F84" si="22">IF($C$25=0,0,IF($AE$61=0,R60,AI44))</f>
        <v>#N/A</v>
      </c>
      <c r="D83" s="188" t="e">
        <f t="shared" si="22"/>
        <v>#N/A</v>
      </c>
      <c r="E83" s="188" t="e">
        <f t="shared" si="22"/>
        <v>#N/A</v>
      </c>
      <c r="F83" s="188" t="e">
        <f t="shared" si="22"/>
        <v>#N/A</v>
      </c>
      <c r="G83" s="190" t="e">
        <f>SUM(C83:F83)</f>
        <v>#N/A</v>
      </c>
      <c r="H83" s="191" t="e">
        <f>C83+D83</f>
        <v>#N/A</v>
      </c>
      <c r="I83" s="191" t="e">
        <f>E83+F83</f>
        <v>#N/A</v>
      </c>
      <c r="Q83" s="47"/>
      <c r="R83" s="87"/>
      <c r="S83" s="87"/>
      <c r="T83" s="87"/>
      <c r="U83" s="87"/>
      <c r="V83" s="77"/>
      <c r="W83" s="77"/>
    </row>
    <row r="84" spans="2:63" x14ac:dyDescent="0.25">
      <c r="B84" s="188" t="s">
        <v>106</v>
      </c>
      <c r="C84" s="188" t="e">
        <f t="shared" si="22"/>
        <v>#N/A</v>
      </c>
      <c r="D84" s="188" t="e">
        <f t="shared" si="22"/>
        <v>#N/A</v>
      </c>
      <c r="E84" s="188" t="e">
        <f t="shared" si="22"/>
        <v>#N/A</v>
      </c>
      <c r="F84" s="188" t="e">
        <f t="shared" si="22"/>
        <v>#N/A</v>
      </c>
      <c r="G84" s="190" t="e">
        <f>SUM(C84:F84)</f>
        <v>#N/A</v>
      </c>
      <c r="H84" s="191" t="e">
        <f>C84+D84</f>
        <v>#N/A</v>
      </c>
      <c r="I84" s="191" t="e">
        <f>E84+F84</f>
        <v>#N/A</v>
      </c>
      <c r="T84" s="242">
        <f>IF($C$25=0,"CHECK INPUT DATA",IF(OR(SUM(C9:H9)=0,SUM(I9:N9)=0),0,ROUND(SUMPRODUCT(C9:N9,C44:N44)/O9,2)))</f>
        <v>0</v>
      </c>
      <c r="U84" s="158" t="str">
        <f>IF($C$25=0,"CHECK INPUT DATA",IF(T84=0,"N/A",VLOOKUP(T84,'LOS table'!$B$3:$D$8,3)))</f>
        <v>N/A</v>
      </c>
    </row>
    <row r="85" spans="2:63" hidden="1" x14ac:dyDescent="0.25"/>
    <row r="86" spans="2:63" hidden="1" x14ac:dyDescent="0.25">
      <c r="C86" s="3" t="e">
        <f>IF(C83&lt;Y44,1,0)</f>
        <v>#N/A</v>
      </c>
      <c r="D86" s="209" t="e">
        <f>IF(D83&lt;Z44,1,0)</f>
        <v>#N/A</v>
      </c>
      <c r="F86" s="209" t="e">
        <f>IF(E83&lt;AA44,1,0)</f>
        <v>#N/A</v>
      </c>
      <c r="G86" s="209" t="e">
        <f>IF(F83&lt;AB44,1,0)</f>
        <v>#N/A</v>
      </c>
    </row>
    <row r="87" spans="2:63" hidden="1" x14ac:dyDescent="0.25">
      <c r="C87" s="209" t="e">
        <f>IF(C84&lt;Y45,1,0)</f>
        <v>#N/A</v>
      </c>
      <c r="D87" s="209" t="e">
        <f>IF(D84&lt;Z45,1,0)</f>
        <v>#N/A</v>
      </c>
      <c r="F87" s="209" t="e">
        <f>IF(E84&lt;AA45,1,0)</f>
        <v>#N/A</v>
      </c>
      <c r="G87" s="209" t="e">
        <f>IF(F84&lt;AB45,1,0)</f>
        <v>#N/A</v>
      </c>
    </row>
    <row r="88" spans="2:63" hidden="1" x14ac:dyDescent="0.25"/>
    <row r="89" spans="2:63" hidden="1" x14ac:dyDescent="0.25">
      <c r="B89" s="243" t="s">
        <v>73</v>
      </c>
      <c r="C89" s="247" t="s">
        <v>13</v>
      </c>
      <c r="D89" s="247" t="s">
        <v>14</v>
      </c>
      <c r="E89" s="247" t="s">
        <v>15</v>
      </c>
      <c r="F89" s="247" t="s">
        <v>18</v>
      </c>
      <c r="G89" s="247" t="s">
        <v>19</v>
      </c>
      <c r="H89" s="247" t="s">
        <v>20</v>
      </c>
      <c r="I89" s="247" t="s">
        <v>3</v>
      </c>
      <c r="J89" s="247" t="s">
        <v>4</v>
      </c>
      <c r="K89" s="247" t="s">
        <v>5</v>
      </c>
      <c r="L89" s="247" t="s">
        <v>8</v>
      </c>
      <c r="M89" s="247" t="s">
        <v>9</v>
      </c>
      <c r="N89" s="247" t="s">
        <v>10</v>
      </c>
    </row>
    <row r="90" spans="2:63" s="223" customFormat="1" hidden="1" x14ac:dyDescent="0.25">
      <c r="B90" s="285" t="s">
        <v>321</v>
      </c>
      <c r="C90" s="285" t="e">
        <f>C38</f>
        <v>#N/A</v>
      </c>
      <c r="D90" s="285" t="e">
        <f t="shared" ref="D90:N90" si="23">D38</f>
        <v>#N/A</v>
      </c>
      <c r="E90" s="285" t="e">
        <f t="shared" si="23"/>
        <v>#N/A</v>
      </c>
      <c r="F90" s="285" t="e">
        <f t="shared" si="23"/>
        <v>#N/A</v>
      </c>
      <c r="G90" s="285" t="e">
        <f t="shared" si="23"/>
        <v>#N/A</v>
      </c>
      <c r="H90" s="285" t="e">
        <f t="shared" si="23"/>
        <v>#N/A</v>
      </c>
      <c r="I90" s="285" t="e">
        <f t="shared" si="23"/>
        <v>#N/A</v>
      </c>
      <c r="J90" s="285" t="e">
        <f t="shared" si="23"/>
        <v>#N/A</v>
      </c>
      <c r="K90" s="285" t="e">
        <f t="shared" si="23"/>
        <v>#N/A</v>
      </c>
      <c r="L90" s="285" t="e">
        <f t="shared" si="23"/>
        <v>#N/A</v>
      </c>
      <c r="M90" s="285" t="e">
        <f t="shared" si="23"/>
        <v>#N/A</v>
      </c>
      <c r="N90" s="285" t="e">
        <f t="shared" si="23"/>
        <v>#N/A</v>
      </c>
      <c r="P90" s="286"/>
      <c r="AE90" s="287"/>
      <c r="AF90" s="287"/>
      <c r="AG90" s="287"/>
      <c r="AH90" s="287"/>
      <c r="AI90" s="287"/>
      <c r="AJ90" s="287"/>
      <c r="AK90" s="286"/>
      <c r="AL90" s="286"/>
      <c r="AM90" s="286"/>
      <c r="AN90" s="286"/>
      <c r="AO90" s="286"/>
      <c r="AP90" s="286"/>
      <c r="AQ90" s="286"/>
      <c r="AR90" s="286"/>
      <c r="AS90" s="286"/>
      <c r="AT90" s="286"/>
      <c r="AU90" s="286"/>
      <c r="AV90" s="286"/>
    </row>
    <row r="91" spans="2:63" hidden="1" x14ac:dyDescent="0.25">
      <c r="B91" s="238" t="s">
        <v>342</v>
      </c>
      <c r="C91" s="3">
        <f>C3*$C$25/3600</f>
        <v>0</v>
      </c>
      <c r="E91" s="238"/>
      <c r="F91" s="238">
        <f>F3*$C$25/3600</f>
        <v>0</v>
      </c>
      <c r="G91" s="238"/>
      <c r="I91" s="238">
        <f>I3*$C$25/3600</f>
        <v>0</v>
      </c>
      <c r="L91" s="238">
        <f>L3*$C$25/3600</f>
        <v>0</v>
      </c>
    </row>
    <row r="92" spans="2:63" hidden="1" x14ac:dyDescent="0.25">
      <c r="B92" s="238" t="s">
        <v>341</v>
      </c>
      <c r="C92" s="3" t="e">
        <f>MAX(C90*EXP(-0.86*(C91^0.629)-C73),0)</f>
        <v>#N/A</v>
      </c>
      <c r="F92" s="238" t="e">
        <f>MAX(F90*EXP(-0.86*(F91^0.629)-F73),0)</f>
        <v>#N/A</v>
      </c>
      <c r="I92" s="238" t="e">
        <f>MAX(I90*EXP(-0.86*(I91^0.629)-I73),0)</f>
        <v>#N/A</v>
      </c>
      <c r="L92" s="238" t="e">
        <f>MAX(L90*EXP(-0.86*(L91^0.629)-L73),0)</f>
        <v>#N/A</v>
      </c>
    </row>
    <row r="93" spans="2:63" hidden="1" x14ac:dyDescent="0.25">
      <c r="B93" s="238" t="s">
        <v>343</v>
      </c>
      <c r="C93" s="238" t="e">
        <f>MAX(C90*EXP(-0.882*(C91^0.717)-C73),0)</f>
        <v>#N/A</v>
      </c>
      <c r="F93" s="238" t="e">
        <f>MAX(F90*EXP(-0.882*(F91^0.717)-F73),0)</f>
        <v>#N/A</v>
      </c>
      <c r="I93" s="238" t="e">
        <f>MAX(I90*EXP(-0.882*(I91^0.717)-I73),0)</f>
        <v>#N/A</v>
      </c>
      <c r="L93" s="238" t="e">
        <f>MAX(L90*EXP(-0.882*(L91^0.717)-L73),0)</f>
        <v>#N/A</v>
      </c>
    </row>
    <row r="94" spans="2:63" hidden="1" x14ac:dyDescent="0.25">
      <c r="B94" s="238" t="s">
        <v>340</v>
      </c>
      <c r="C94" s="3" t="e">
        <f>IF(SUM(C6:E6)=1,C92,C93)</f>
        <v>#N/A</v>
      </c>
      <c r="F94" s="238" t="e">
        <f>IF(SUM(F6:H6)=1,F92,F93)</f>
        <v>#N/A</v>
      </c>
      <c r="I94" s="238" t="e">
        <f>IF(SUM(I6:K6)=1,I92,I93)</f>
        <v>#N/A</v>
      </c>
      <c r="L94" s="238" t="e">
        <f>IF(SUM(L6:N6)=1,L92,L93)</f>
        <v>#N/A</v>
      </c>
    </row>
    <row r="95" spans="2:63" hidden="1" x14ac:dyDescent="0.25"/>
    <row r="96" spans="2:63" s="238" customFormat="1" hidden="1" x14ac:dyDescent="0.25">
      <c r="B96" s="246" t="s">
        <v>349</v>
      </c>
      <c r="C96" s="246" t="e">
        <f>MAX(0,ROUND(C6*(C63+C35-1)*C11/$C$25,0))</f>
        <v>#N/A</v>
      </c>
      <c r="D96" s="246"/>
      <c r="E96" s="246"/>
      <c r="F96" s="246" t="e">
        <f>MAX(0,ROUND(F6*(F63+F35-1)*F11/$C$25,0))</f>
        <v>#N/A</v>
      </c>
      <c r="G96" s="246"/>
      <c r="H96" s="246"/>
      <c r="I96" s="246" t="e">
        <f>MAX(0,ROUND(I6*(I63+I35-1)*I11/$C$25,0))</f>
        <v>#N/A</v>
      </c>
      <c r="J96" s="246"/>
      <c r="K96" s="246"/>
      <c r="L96" s="246" t="e">
        <f>MAX(0,ROUND(L6*(L63+L35-1)*L11/$C$25,0))</f>
        <v>#N/A</v>
      </c>
      <c r="P96" s="278"/>
      <c r="AE96" s="241"/>
      <c r="AF96" s="241"/>
      <c r="AG96" s="241"/>
      <c r="AH96" s="241"/>
      <c r="AI96" s="241"/>
      <c r="AJ96" s="241"/>
      <c r="AK96" s="278"/>
      <c r="AL96" s="278"/>
      <c r="AM96" s="278"/>
      <c r="AN96" s="278"/>
      <c r="AO96" s="278"/>
      <c r="AP96" s="278"/>
      <c r="AQ96" s="278"/>
      <c r="AR96" s="278"/>
      <c r="AS96" s="278"/>
      <c r="AT96" s="278"/>
      <c r="AU96" s="278"/>
      <c r="AV96" s="278"/>
      <c r="BK96" s="414"/>
    </row>
    <row r="97" spans="1:13" hidden="1" x14ac:dyDescent="0.25">
      <c r="B97" s="246" t="s">
        <v>344</v>
      </c>
      <c r="C97" s="246" t="e">
        <f>ROUND(((MIN(C77-C94,C76)*C14+7200)/$C$25)*C6,0)</f>
        <v>#N/A</v>
      </c>
      <c r="D97" s="246"/>
      <c r="E97" s="246"/>
      <c r="F97" s="246" t="e">
        <f>ROUND(((MIN(F77-F94,F76)*F14+7200)/$C$25)*F6,0)</f>
        <v>#N/A</v>
      </c>
      <c r="G97" s="246"/>
      <c r="H97" s="246"/>
      <c r="I97" s="246" t="e">
        <f>ROUND(((MIN(I77-I94,I76)*I14+7200)/$C$25)*I6,0)</f>
        <v>#N/A</v>
      </c>
      <c r="J97" s="246"/>
      <c r="K97" s="246"/>
      <c r="L97" s="246" t="e">
        <f>ROUND(((MIN(L77-L94,L76)*L14+7200)/$C$25)*L6,0)</f>
        <v>#N/A</v>
      </c>
    </row>
    <row r="98" spans="1:13" hidden="1" x14ac:dyDescent="0.25">
      <c r="B98" s="238" t="s">
        <v>345</v>
      </c>
      <c r="C98" s="3">
        <f>IF(C14=0,0,$S$2/C14)</f>
        <v>1.4126394052044611</v>
      </c>
      <c r="F98" s="238">
        <f>IF(F14=0,0,$S$2/F14)</f>
        <v>1.4126394052044611</v>
      </c>
      <c r="I98" s="238">
        <f>IF(I14=0,0,$S$2/I14)</f>
        <v>1.4126394052044611</v>
      </c>
      <c r="L98" s="238">
        <f>IF(L14=0,0,$S$2/L14)</f>
        <v>1.4126394052044611</v>
      </c>
    </row>
    <row r="99" spans="1:13" hidden="1" x14ac:dyDescent="0.25">
      <c r="B99" s="238" t="s">
        <v>346</v>
      </c>
      <c r="C99" s="3" t="e">
        <f>MAX(0,0.5*(C77-C76-C94))</f>
        <v>#N/A</v>
      </c>
      <c r="F99" s="238" t="e">
        <f>MAX(0,0.5*(F77-F76-F94))</f>
        <v>#N/A</v>
      </c>
      <c r="I99" s="238" t="e">
        <f>MAX(0,0.5*(I77-I76-I94))</f>
        <v>#N/A</v>
      </c>
      <c r="L99" s="238" t="e">
        <f>MAX(0,0.5*(L77-L76-L94))</f>
        <v>#N/A</v>
      </c>
    </row>
    <row r="100" spans="1:13" hidden="1" x14ac:dyDescent="0.25">
      <c r="B100" s="238" t="s">
        <v>348</v>
      </c>
      <c r="C100" s="3">
        <f>IF(SUM(F3:H3)=0,0,F3/SUM(F3:H3))</f>
        <v>0</v>
      </c>
      <c r="F100" s="238">
        <f>IF(SUM(C3:E3)=0,0,C3/SUM(C3:E3))</f>
        <v>0</v>
      </c>
      <c r="I100" s="238">
        <f>IF(SUM(L3:N3)=0,0,L3/SUM(L3:N3))</f>
        <v>0</v>
      </c>
      <c r="L100" s="238">
        <f>IF(SUM(I3:K3)=0,0,I3/SUM(I3:K3))</f>
        <v>0</v>
      </c>
    </row>
    <row r="101" spans="1:13" hidden="1" x14ac:dyDescent="0.25">
      <c r="B101" s="238" t="s">
        <v>347</v>
      </c>
      <c r="C101" s="3">
        <f>IF(C100=0,0,MAX(1,(1-(1-C100)^C99)/C100))</f>
        <v>0</v>
      </c>
      <c r="F101" s="238">
        <f>IF(F100=0,0,MAX(1,(1-(1-F100)^F99)/F100))</f>
        <v>0</v>
      </c>
      <c r="I101" s="238">
        <f>IF(I100=0,0,MAX(1,(1-(1-I100)^I99)/I100))</f>
        <v>0</v>
      </c>
      <c r="L101" s="238">
        <f>IF(L100=0,0,MAX(1,(1-(1-L100)^L99)/L100))</f>
        <v>0</v>
      </c>
    </row>
    <row r="102" spans="1:13" hidden="1" x14ac:dyDescent="0.25">
      <c r="B102" s="238" t="s">
        <v>351</v>
      </c>
      <c r="C102" s="3">
        <f>IF(SUM(C3:E3)=0,0,C3/SUM(C3:E3))</f>
        <v>0</v>
      </c>
      <c r="F102" s="238">
        <f>IF(SUM(F3:H3)=0,0,F3/SUM(F3:H3))</f>
        <v>0</v>
      </c>
      <c r="I102" s="238">
        <f>IF(SUM(I3:K3)=0,0,I3/SUM(I3:K3))</f>
        <v>0</v>
      </c>
      <c r="L102" s="238">
        <f>IF(SUM(L3:N3)=0,0,L3/SUM(L3:N3))</f>
        <v>0</v>
      </c>
    </row>
    <row r="103" spans="1:13" hidden="1" x14ac:dyDescent="0.25">
      <c r="B103" s="246" t="s">
        <v>350</v>
      </c>
      <c r="C103" s="246" t="e">
        <f>ROUND((C77*C14+3600*(1+C102))/$C$25,0)</f>
        <v>#N/A</v>
      </c>
      <c r="D103" s="246"/>
      <c r="E103" s="246"/>
      <c r="F103" s="246" t="e">
        <f>ROUND((F77*F14+3600*(1+F102))/$C$25,0)</f>
        <v>#N/A</v>
      </c>
      <c r="G103" s="246"/>
      <c r="H103" s="246"/>
      <c r="I103" s="246" t="e">
        <f>ROUND((I77*I14+3600*(1+I102))/$C$25,0)</f>
        <v>#N/A</v>
      </c>
      <c r="J103" s="246"/>
      <c r="K103" s="246"/>
      <c r="L103" s="246" t="e">
        <f>ROUND((L77*L14+3600*(1+L102))/$C$25,0)</f>
        <v>#N/A</v>
      </c>
    </row>
    <row r="104" spans="1:13" hidden="1" x14ac:dyDescent="0.25">
      <c r="B104" s="246" t="s">
        <v>352</v>
      </c>
      <c r="C104" s="246" t="e">
        <f>MAX(0,ROUND(((C63+C35-1)*C11/$C$25+(MIN(C77-C94,C76)*C14+7200)/$C$25)*C6,0))</f>
        <v>#N/A</v>
      </c>
      <c r="D104" s="246"/>
      <c r="E104" s="246"/>
      <c r="F104" s="246" t="e">
        <f>MAX(0,ROUND(((F63+F35-1)*F11/$C$25+(MIN(F77-F94,F76)*F14+7200)/$C$25)*F6,0))</f>
        <v>#N/A</v>
      </c>
      <c r="G104" s="246"/>
      <c r="H104" s="246"/>
      <c r="I104" s="246" t="e">
        <f>MAX(0,ROUND(((I63+I35-1)*I11/$C$25+(MIN(I77-I94,I76)*I14+7200)/$C$25)*I6,0))</f>
        <v>#N/A</v>
      </c>
      <c r="J104" s="246"/>
      <c r="K104" s="246"/>
      <c r="L104" s="246" t="e">
        <f>MAX(0,ROUND(((L63+L35-1)*L11/$C$25+(MIN(L77-L94,L76)*L14+7200)/$C$25)*L6,0))</f>
        <v>#N/A</v>
      </c>
    </row>
    <row r="105" spans="1:13" hidden="1" x14ac:dyDescent="0.25"/>
    <row r="106" spans="1:13" hidden="1" x14ac:dyDescent="0.25">
      <c r="A106" s="546" t="s">
        <v>479</v>
      </c>
      <c r="B106" s="318" t="s">
        <v>73</v>
      </c>
      <c r="C106" s="318"/>
      <c r="D106" s="318" t="s">
        <v>14</v>
      </c>
      <c r="E106" s="318"/>
      <c r="F106" s="318"/>
      <c r="G106" s="318" t="s">
        <v>19</v>
      </c>
      <c r="H106" s="318"/>
      <c r="I106" s="318"/>
      <c r="J106" s="318" t="s">
        <v>4</v>
      </c>
      <c r="K106" s="318"/>
      <c r="L106" s="318"/>
      <c r="M106" s="422" t="s">
        <v>9</v>
      </c>
    </row>
    <row r="107" spans="1:13" hidden="1" x14ac:dyDescent="0.25">
      <c r="A107" s="547"/>
      <c r="B107" s="168" t="s">
        <v>470</v>
      </c>
      <c r="C107" s="168"/>
      <c r="D107" s="168" t="e">
        <f>D37-Phasing!P19</f>
        <v>#N/A</v>
      </c>
      <c r="E107" s="168"/>
      <c r="F107" s="168"/>
      <c r="G107" s="168" t="e">
        <f>G37-Phasing!R19</f>
        <v>#N/A</v>
      </c>
      <c r="H107" s="168"/>
      <c r="I107" s="168"/>
      <c r="J107" s="168" t="e">
        <f>J37-Phasing!T19</f>
        <v>#N/A</v>
      </c>
      <c r="K107" s="168"/>
      <c r="L107" s="168"/>
      <c r="M107" s="423" t="e">
        <f>M37-Phasing!V19</f>
        <v>#N/A</v>
      </c>
    </row>
    <row r="108" spans="1:13" hidden="1" x14ac:dyDescent="0.25">
      <c r="A108" s="547"/>
      <c r="B108" s="168" t="s">
        <v>471</v>
      </c>
      <c r="C108" s="168"/>
      <c r="D108" s="168" t="e">
        <f>D107+4</f>
        <v>#N/A</v>
      </c>
      <c r="E108" s="168"/>
      <c r="F108" s="168"/>
      <c r="G108" s="168" t="e">
        <f>G107+4</f>
        <v>#N/A</v>
      </c>
      <c r="H108" s="168"/>
      <c r="I108" s="168"/>
      <c r="J108" s="168" t="e">
        <f>J107+4</f>
        <v>#N/A</v>
      </c>
      <c r="K108" s="168"/>
      <c r="L108" s="168"/>
      <c r="M108" s="423" t="e">
        <f>M107+4</f>
        <v>#N/A</v>
      </c>
    </row>
    <row r="109" spans="1:13" hidden="1" x14ac:dyDescent="0.25">
      <c r="A109" s="547"/>
      <c r="B109" s="168" t="s">
        <v>472</v>
      </c>
      <c r="C109" s="424"/>
      <c r="D109" s="424" t="e">
        <f>(($C$25-D108)^2)/(2*$C$25)</f>
        <v>#N/A</v>
      </c>
      <c r="E109" s="424"/>
      <c r="F109" s="424"/>
      <c r="G109" s="424" t="e">
        <f>(($C$25-G108)^2)/(2*$C$25)</f>
        <v>#N/A</v>
      </c>
      <c r="H109" s="424"/>
      <c r="I109" s="424"/>
      <c r="J109" s="424" t="e">
        <f>(($C$25-J108)^2)/(2*$C$25)</f>
        <v>#N/A</v>
      </c>
      <c r="K109" s="424"/>
      <c r="L109" s="424"/>
      <c r="M109" s="425" t="e">
        <f>(($C$25-M108)^2)/(2*$C$25)</f>
        <v>#N/A</v>
      </c>
    </row>
    <row r="110" spans="1:13" hidden="1" x14ac:dyDescent="0.25">
      <c r="A110" s="547"/>
      <c r="B110" s="168" t="s">
        <v>476</v>
      </c>
      <c r="C110" s="168"/>
      <c r="D110" s="168">
        <f>'Input sheet'!E17</f>
        <v>0</v>
      </c>
      <c r="E110" s="168"/>
      <c r="F110" s="168"/>
      <c r="G110" s="168">
        <f>'Input sheet'!Q17</f>
        <v>0</v>
      </c>
      <c r="H110" s="168"/>
      <c r="I110" s="168"/>
      <c r="J110" s="168">
        <f>'Input sheet'!O21</f>
        <v>0</v>
      </c>
      <c r="K110" s="168"/>
      <c r="L110" s="168"/>
      <c r="M110" s="423">
        <f>'Input sheet'!M6</f>
        <v>0</v>
      </c>
    </row>
    <row r="111" spans="1:13" hidden="1" x14ac:dyDescent="0.25">
      <c r="A111" s="547"/>
      <c r="B111" s="168" t="s">
        <v>478</v>
      </c>
      <c r="C111" s="168"/>
      <c r="D111" s="426" t="e">
        <f>D109*D110/3600</f>
        <v>#N/A</v>
      </c>
      <c r="E111" s="426"/>
      <c r="F111" s="426"/>
      <c r="G111" s="426" t="e">
        <f>G109*G110/3600</f>
        <v>#N/A</v>
      </c>
      <c r="H111" s="426"/>
      <c r="I111" s="426"/>
      <c r="J111" s="426" t="e">
        <f>J109*J110/3600</f>
        <v>#N/A</v>
      </c>
      <c r="K111" s="426"/>
      <c r="L111" s="426"/>
      <c r="M111" s="427" t="e">
        <f>M109*M110/3600</f>
        <v>#N/A</v>
      </c>
    </row>
    <row r="112" spans="1:13" hidden="1" x14ac:dyDescent="0.25">
      <c r="A112" s="547"/>
      <c r="B112" s="168" t="s">
        <v>477</v>
      </c>
      <c r="C112" s="168"/>
      <c r="D112" s="426" t="e">
        <f>D111+G111+J111+M111</f>
        <v>#N/A</v>
      </c>
      <c r="E112" s="426"/>
      <c r="F112" s="426"/>
      <c r="G112" s="426"/>
      <c r="H112" s="426"/>
      <c r="I112" s="426"/>
      <c r="J112" s="426"/>
      <c r="K112" s="426"/>
      <c r="L112" s="426"/>
      <c r="M112" s="427"/>
    </row>
    <row r="113" spans="1:58" s="416" customFormat="1" hidden="1" x14ac:dyDescent="0.25">
      <c r="A113" s="547"/>
      <c r="B113" s="168" t="s">
        <v>486</v>
      </c>
      <c r="C113" s="168"/>
      <c r="D113" s="429">
        <f>Phasing!P3</f>
        <v>0</v>
      </c>
      <c r="E113" s="429"/>
      <c r="F113" s="429"/>
      <c r="G113" s="429">
        <f>Phasing!R3</f>
        <v>0</v>
      </c>
      <c r="H113" s="429"/>
      <c r="I113" s="429"/>
      <c r="J113" s="429">
        <f>Phasing!T3</f>
        <v>0</v>
      </c>
      <c r="K113" s="429"/>
      <c r="L113" s="429"/>
      <c r="M113" s="430">
        <f>Phasing!V3</f>
        <v>0</v>
      </c>
      <c r="P113" s="417"/>
      <c r="AE113" s="418"/>
      <c r="AF113" s="418"/>
      <c r="AG113" s="418"/>
      <c r="AH113" s="418"/>
      <c r="AI113" s="418"/>
      <c r="AJ113" s="418"/>
      <c r="AK113" s="417"/>
      <c r="AL113" s="417"/>
      <c r="AM113" s="417"/>
      <c r="AN113" s="417"/>
      <c r="AO113" s="417"/>
      <c r="AP113" s="417"/>
      <c r="AQ113" s="417"/>
      <c r="AR113" s="417"/>
      <c r="AS113" s="417"/>
      <c r="AT113" s="417"/>
      <c r="AU113" s="417"/>
      <c r="AV113" s="417"/>
    </row>
    <row r="114" spans="1:58" s="416" customFormat="1" hidden="1" x14ac:dyDescent="0.25">
      <c r="A114" s="548"/>
      <c r="B114" s="321" t="s">
        <v>487</v>
      </c>
      <c r="C114" s="321"/>
      <c r="D114" s="432">
        <f>MAX(D113:M113)</f>
        <v>0</v>
      </c>
      <c r="E114" s="432"/>
      <c r="F114" s="432"/>
      <c r="G114" s="432"/>
      <c r="H114" s="432"/>
      <c r="I114" s="432"/>
      <c r="J114" s="432"/>
      <c r="K114" s="432"/>
      <c r="L114" s="432"/>
      <c r="M114" s="433"/>
      <c r="P114" s="417"/>
      <c r="AE114" s="418"/>
      <c r="AF114" s="418"/>
      <c r="AG114" s="418"/>
      <c r="AH114" s="418"/>
      <c r="AI114" s="418"/>
      <c r="AJ114" s="418"/>
      <c r="AK114" s="417"/>
      <c r="AL114" s="417"/>
      <c r="AM114" s="417"/>
      <c r="AN114" s="417"/>
      <c r="AO114" s="417"/>
      <c r="AP114" s="417"/>
      <c r="AQ114" s="417"/>
      <c r="AR114" s="417"/>
      <c r="AS114" s="417"/>
      <c r="AT114" s="417"/>
      <c r="AU114" s="417"/>
      <c r="AV114" s="417"/>
    </row>
    <row r="115" spans="1:58" hidden="1" x14ac:dyDescent="0.25"/>
    <row r="116" spans="1:58" hidden="1" x14ac:dyDescent="0.25">
      <c r="A116" s="546" t="s">
        <v>485</v>
      </c>
      <c r="B116" s="318" t="s">
        <v>73</v>
      </c>
      <c r="C116" s="318"/>
      <c r="D116" s="318" t="s">
        <v>14</v>
      </c>
      <c r="E116" s="318"/>
      <c r="F116" s="318"/>
      <c r="G116" s="318" t="s">
        <v>19</v>
      </c>
      <c r="H116" s="318"/>
      <c r="I116" s="318"/>
      <c r="J116" s="318" t="s">
        <v>4</v>
      </c>
      <c r="K116" s="318"/>
      <c r="L116" s="318"/>
      <c r="M116" s="422" t="s">
        <v>9</v>
      </c>
    </row>
    <row r="117" spans="1:58" hidden="1" x14ac:dyDescent="0.25">
      <c r="A117" s="547"/>
      <c r="B117" s="168" t="s">
        <v>480</v>
      </c>
      <c r="C117" s="168"/>
      <c r="D117" s="429" t="e">
        <f>2000*D38/$C$25</f>
        <v>#N/A</v>
      </c>
      <c r="E117" s="429"/>
      <c r="F117" s="429"/>
      <c r="G117" s="429" t="e">
        <f>2000*G38/$C$25</f>
        <v>#N/A</v>
      </c>
      <c r="H117" s="429"/>
      <c r="I117" s="429"/>
      <c r="J117" s="429" t="e">
        <f>2000*J38/$C$25</f>
        <v>#N/A</v>
      </c>
      <c r="K117" s="429"/>
      <c r="L117" s="429"/>
      <c r="M117" s="430" t="e">
        <f>2000*M38/$C$25</f>
        <v>#N/A</v>
      </c>
    </row>
    <row r="118" spans="1:58" s="416" customFormat="1" hidden="1" x14ac:dyDescent="0.25">
      <c r="A118" s="547"/>
      <c r="B118" s="168" t="s">
        <v>482</v>
      </c>
      <c r="C118" s="168"/>
      <c r="D118" s="429">
        <f>'Input sheet'!E18</f>
        <v>0</v>
      </c>
      <c r="E118" s="429"/>
      <c r="F118" s="429"/>
      <c r="G118" s="429">
        <f>'Input sheet'!Q18</f>
        <v>0</v>
      </c>
      <c r="H118" s="429"/>
      <c r="I118" s="429"/>
      <c r="J118" s="429">
        <f>'Input sheet'!P21</f>
        <v>0</v>
      </c>
      <c r="K118" s="429"/>
      <c r="L118" s="429"/>
      <c r="M118" s="430">
        <f>'Input sheet'!N6</f>
        <v>0</v>
      </c>
      <c r="P118" s="417"/>
      <c r="AE118" s="418"/>
      <c r="AF118" s="418"/>
      <c r="AG118" s="418"/>
      <c r="AH118" s="418"/>
      <c r="AI118" s="418"/>
      <c r="AJ118" s="418"/>
      <c r="AK118" s="417"/>
      <c r="AL118" s="417"/>
      <c r="AM118" s="417"/>
      <c r="AN118" s="417"/>
      <c r="AO118" s="417"/>
      <c r="AP118" s="417"/>
      <c r="AQ118" s="417"/>
      <c r="AR118" s="417"/>
      <c r="AS118" s="417"/>
      <c r="AT118" s="417"/>
      <c r="AU118" s="417"/>
      <c r="AV118" s="417"/>
    </row>
    <row r="119" spans="1:58" s="416" customFormat="1" hidden="1" x14ac:dyDescent="0.25">
      <c r="A119" s="547"/>
      <c r="B119" s="168" t="s">
        <v>483</v>
      </c>
      <c r="C119" s="168"/>
      <c r="D119" s="429" t="e">
        <f>D38</f>
        <v>#N/A</v>
      </c>
      <c r="E119" s="429"/>
      <c r="F119" s="429"/>
      <c r="G119" s="429" t="e">
        <f>G38</f>
        <v>#N/A</v>
      </c>
      <c r="H119" s="429"/>
      <c r="I119" s="429"/>
      <c r="J119" s="429" t="e">
        <f>J38</f>
        <v>#N/A</v>
      </c>
      <c r="K119" s="429"/>
      <c r="L119" s="429"/>
      <c r="M119" s="430" t="e">
        <f>M38</f>
        <v>#N/A</v>
      </c>
      <c r="P119" s="417"/>
      <c r="AE119" s="418"/>
      <c r="AF119" s="418"/>
      <c r="AG119" s="418"/>
      <c r="AH119" s="418"/>
      <c r="AI119" s="418"/>
      <c r="AJ119" s="418"/>
      <c r="AK119" s="417"/>
      <c r="AL119" s="417"/>
      <c r="AM119" s="417"/>
      <c r="AN119" s="417"/>
      <c r="AO119" s="417"/>
      <c r="AP119" s="417"/>
      <c r="AQ119" s="417"/>
      <c r="AR119" s="417"/>
      <c r="AS119" s="417"/>
      <c r="AT119" s="417"/>
      <c r="AU119" s="417"/>
      <c r="AV119" s="417"/>
    </row>
    <row r="120" spans="1:58" hidden="1" x14ac:dyDescent="0.25">
      <c r="A120" s="547"/>
      <c r="B120" s="168" t="s">
        <v>481</v>
      </c>
      <c r="C120" s="168"/>
      <c r="D120" s="424" t="e">
        <f>(0.5*$C$25*(1-D119/$C$25)^2)/(1-(D118/D117)*(D119/$C$25))</f>
        <v>#N/A</v>
      </c>
      <c r="E120" s="424"/>
      <c r="F120" s="424"/>
      <c r="G120" s="424" t="e">
        <f>(0.5*$C$25*(1-G119/$C$25)^2)/(1-(G118/G117)*(G119/$C$25))</f>
        <v>#N/A</v>
      </c>
      <c r="H120" s="424"/>
      <c r="I120" s="424"/>
      <c r="J120" s="424" t="e">
        <f>(0.5*$C$25*(1-J119/$C$25)^2)/(1-(J118/J117)*(J119/$C$25))</f>
        <v>#N/A</v>
      </c>
      <c r="K120" s="424"/>
      <c r="L120" s="424"/>
      <c r="M120" s="425" t="e">
        <f>(0.5*$C$25*(1-M119/$C$25)^2)/(1-(M118/M117)*(M119/$C$25))</f>
        <v>#N/A</v>
      </c>
    </row>
    <row r="121" spans="1:58" hidden="1" x14ac:dyDescent="0.25">
      <c r="A121" s="548"/>
      <c r="B121" s="321" t="s">
        <v>484</v>
      </c>
      <c r="C121" s="321"/>
      <c r="D121" s="428" t="e">
        <f>(D118*D120+G118*G120+J118*J120+M118*M120)/3600</f>
        <v>#N/A</v>
      </c>
      <c r="E121" s="321"/>
      <c r="F121" s="321"/>
      <c r="G121" s="321"/>
      <c r="H121" s="321"/>
      <c r="I121" s="321"/>
      <c r="J121" s="321"/>
      <c r="K121" s="321"/>
      <c r="L121" s="321"/>
      <c r="M121" s="431"/>
    </row>
    <row r="122" spans="1:58" hidden="1" x14ac:dyDescent="0.25"/>
    <row r="123" spans="1:58" hidden="1" x14ac:dyDescent="0.25">
      <c r="A123" s="546" t="s">
        <v>496</v>
      </c>
      <c r="B123" s="318" t="s">
        <v>492</v>
      </c>
      <c r="C123" s="267" t="s">
        <v>13</v>
      </c>
      <c r="D123" s="267" t="s">
        <v>14</v>
      </c>
      <c r="E123" s="374" t="s">
        <v>15</v>
      </c>
      <c r="F123" s="267" t="s">
        <v>18</v>
      </c>
      <c r="G123" s="267" t="s">
        <v>19</v>
      </c>
      <c r="H123" s="374" t="s">
        <v>20</v>
      </c>
      <c r="I123" s="267" t="s">
        <v>3</v>
      </c>
      <c r="J123" s="267" t="s">
        <v>4</v>
      </c>
      <c r="K123" s="374" t="s">
        <v>5</v>
      </c>
      <c r="L123" s="267" t="s">
        <v>8</v>
      </c>
      <c r="M123" s="267" t="s">
        <v>9</v>
      </c>
      <c r="N123" s="374" t="s">
        <v>10</v>
      </c>
      <c r="O123" s="318"/>
      <c r="P123" s="374"/>
      <c r="Q123" s="318"/>
      <c r="R123" s="318"/>
      <c r="S123" s="318"/>
      <c r="T123" s="318"/>
      <c r="U123" s="318"/>
      <c r="V123" s="318"/>
      <c r="W123" s="318"/>
      <c r="X123" s="318"/>
      <c r="Y123" s="318"/>
      <c r="Z123" s="318"/>
      <c r="AA123" s="318"/>
      <c r="AB123" s="318"/>
      <c r="AC123" s="318"/>
      <c r="AD123" s="318"/>
      <c r="AE123" s="374"/>
      <c r="AF123" s="374"/>
      <c r="AG123" s="374"/>
      <c r="AH123" s="374"/>
      <c r="AI123" s="374"/>
      <c r="AJ123" s="374"/>
      <c r="AK123" s="374"/>
      <c r="AL123" s="374"/>
      <c r="AM123" s="374"/>
      <c r="AN123" s="374"/>
      <c r="AO123" s="374"/>
      <c r="AP123" s="374"/>
      <c r="AQ123" s="374"/>
      <c r="AR123" s="374"/>
      <c r="AS123" s="374"/>
      <c r="AT123" s="374"/>
      <c r="AU123" s="374"/>
      <c r="AV123" s="374"/>
      <c r="AW123" s="318"/>
      <c r="AX123" s="318"/>
      <c r="AY123" s="318"/>
      <c r="AZ123" s="318"/>
      <c r="BA123" s="318"/>
      <c r="BB123" s="318"/>
      <c r="BC123" s="318"/>
      <c r="BD123" s="318"/>
      <c r="BE123" s="318"/>
      <c r="BF123" s="422" t="s">
        <v>494</v>
      </c>
    </row>
    <row r="124" spans="1:58" hidden="1" x14ac:dyDescent="0.25">
      <c r="A124" s="547"/>
      <c r="B124" s="168" t="s">
        <v>489</v>
      </c>
      <c r="C124" s="426">
        <f>(((100-'Input sheet'!$B$4)/100)*'Phase calculation'!C3*'Phase calculation'!C44*'Input sheet'!$B$2)/3600</f>
        <v>0</v>
      </c>
      <c r="D124" s="426">
        <f>(((100-'Input sheet'!$B$4)/100)*'Phase calculation'!D3*'Phase calculation'!D44*'Input sheet'!$B$2)/3600</f>
        <v>0</v>
      </c>
      <c r="E124" s="426">
        <f>(((100-'Input sheet'!$B$4)/100)*'Phase calculation'!E3*'Phase calculation'!E44*'Input sheet'!$B$2)/3600</f>
        <v>0</v>
      </c>
      <c r="F124" s="426">
        <f>(((100-'Input sheet'!$B$4)/100)*'Phase calculation'!F3*'Phase calculation'!F44*'Input sheet'!$B$2)/3600</f>
        <v>0</v>
      </c>
      <c r="G124" s="426">
        <f>(((100-'Input sheet'!$B$4)/100)*'Phase calculation'!G3*'Phase calculation'!G44*'Input sheet'!$B$2)/3600</f>
        <v>0</v>
      </c>
      <c r="H124" s="426">
        <f>(((100-'Input sheet'!$B$4)/100)*'Phase calculation'!H3*'Phase calculation'!H44*'Input sheet'!$B$2)/3600</f>
        <v>0</v>
      </c>
      <c r="I124" s="426">
        <f>(((100-'Input sheet'!$B$4)/100)*'Phase calculation'!I3*'Phase calculation'!I44*'Input sheet'!$B$2)/3600</f>
        <v>0</v>
      </c>
      <c r="J124" s="426">
        <f>(((100-'Input sheet'!$B$4)/100)*'Phase calculation'!J3*'Phase calculation'!J44*'Input sheet'!$B$2)/3600</f>
        <v>0</v>
      </c>
      <c r="K124" s="426">
        <f>(((100-'Input sheet'!$B$4)/100)*'Phase calculation'!K3*'Phase calculation'!K44*'Input sheet'!$B$2)/3600</f>
        <v>0</v>
      </c>
      <c r="L124" s="426">
        <f>(((100-'Input sheet'!$B$4)/100)*'Phase calculation'!L3*'Phase calculation'!L44*'Input sheet'!$B$2)/3600</f>
        <v>0</v>
      </c>
      <c r="M124" s="426">
        <f>(((100-'Input sheet'!$B$4)/100)*'Phase calculation'!M3*'Phase calculation'!M44*'Input sheet'!$B$2)/3600</f>
        <v>0</v>
      </c>
      <c r="N124" s="426">
        <f>(((100-'Input sheet'!$B$4)/100)*'Phase calculation'!N3*'Phase calculation'!N44*'Input sheet'!$B$2)/3600</f>
        <v>0</v>
      </c>
      <c r="O124" s="168"/>
      <c r="P124" s="418"/>
      <c r="Q124" s="168"/>
      <c r="R124" s="168"/>
      <c r="S124" s="168"/>
      <c r="T124" s="168"/>
      <c r="U124" s="168"/>
      <c r="V124" s="168"/>
      <c r="W124" s="168"/>
      <c r="X124" s="168"/>
      <c r="Y124" s="168"/>
      <c r="Z124" s="168"/>
      <c r="AA124" s="168"/>
      <c r="AB124" s="168"/>
      <c r="AC124" s="168"/>
      <c r="AD124" s="168"/>
      <c r="AE124" s="418"/>
      <c r="AF124" s="418"/>
      <c r="AG124" s="418"/>
      <c r="AH124" s="418"/>
      <c r="AI124" s="418"/>
      <c r="AJ124" s="418"/>
      <c r="AK124" s="418"/>
      <c r="AL124" s="418"/>
      <c r="AM124" s="418"/>
      <c r="AN124" s="418"/>
      <c r="AO124" s="418"/>
      <c r="AP124" s="418"/>
      <c r="AQ124" s="418"/>
      <c r="AR124" s="418"/>
      <c r="AS124" s="418"/>
      <c r="AT124" s="418"/>
      <c r="AU124" s="418"/>
      <c r="AV124" s="418"/>
      <c r="AW124" s="168"/>
      <c r="AX124" s="168"/>
      <c r="AY124" s="168"/>
      <c r="AZ124" s="168"/>
      <c r="BA124" s="168"/>
      <c r="BB124" s="168"/>
      <c r="BC124" s="168"/>
      <c r="BD124" s="168"/>
      <c r="BE124" s="168"/>
      <c r="BF124" s="427">
        <f>SUM(C124:N124)</f>
        <v>0</v>
      </c>
    </row>
    <row r="125" spans="1:58" hidden="1" x14ac:dyDescent="0.25">
      <c r="A125" s="547"/>
      <c r="B125" s="168" t="s">
        <v>490</v>
      </c>
      <c r="C125" s="426">
        <f>(('Input sheet'!$B$4/100)*'Phase calculation'!C3*'Phase calculation'!C44*'Input sheet'!$B$3)/3600</f>
        <v>0</v>
      </c>
      <c r="D125" s="426">
        <f>(('Input sheet'!$B$4/100)*'Phase calculation'!D3*'Phase calculation'!D44*'Input sheet'!$B$3)/3600</f>
        <v>0</v>
      </c>
      <c r="E125" s="426">
        <f>(('Input sheet'!$B$4/100)*'Phase calculation'!E3*'Phase calculation'!E44*'Input sheet'!$B$3)/3600</f>
        <v>0</v>
      </c>
      <c r="F125" s="426">
        <f>(('Input sheet'!$B$4/100)*'Phase calculation'!F3*'Phase calculation'!F44*'Input sheet'!$B$3)/3600</f>
        <v>0</v>
      </c>
      <c r="G125" s="426">
        <f>(('Input sheet'!$B$4/100)*'Phase calculation'!G3*'Phase calculation'!G44*'Input sheet'!$B$3)/3600</f>
        <v>0</v>
      </c>
      <c r="H125" s="426">
        <f>(('Input sheet'!$B$4/100)*'Phase calculation'!H3*'Phase calculation'!H44*'Input sheet'!$B$3)/3600</f>
        <v>0</v>
      </c>
      <c r="I125" s="426">
        <f>(('Input sheet'!$B$4/100)*'Phase calculation'!I3*'Phase calculation'!I44*'Input sheet'!$B$3)/3600</f>
        <v>0</v>
      </c>
      <c r="J125" s="426">
        <f>(('Input sheet'!$B$4/100)*'Phase calculation'!J3*'Phase calculation'!J44*'Input sheet'!$B$3)/3600</f>
        <v>0</v>
      </c>
      <c r="K125" s="426">
        <f>(('Input sheet'!$B$4/100)*'Phase calculation'!K3*'Phase calculation'!K44*'Input sheet'!$B$3)/3600</f>
        <v>0</v>
      </c>
      <c r="L125" s="426">
        <f>(('Input sheet'!$B$4/100)*'Phase calculation'!L3*'Phase calculation'!L44*'Input sheet'!$B$3)/3600</f>
        <v>0</v>
      </c>
      <c r="M125" s="426">
        <f>(('Input sheet'!$B$4/100)*'Phase calculation'!M3*'Phase calculation'!M44*'Input sheet'!$B$3)/3600</f>
        <v>0</v>
      </c>
      <c r="N125" s="426">
        <f>(('Input sheet'!$B$4/100)*'Phase calculation'!N3*'Phase calculation'!N44*'Input sheet'!$B$3)/3600</f>
        <v>0</v>
      </c>
      <c r="O125" s="426">
        <f>(('Input sheet'!$B$4/100)*'Phase calculation'!O3*'Phase calculation'!O44*'Input sheet'!$B$3)/3600</f>
        <v>0</v>
      </c>
      <c r="P125" s="426">
        <f>(('Input sheet'!$B$4/100)*'Phase calculation'!P3*'Phase calculation'!P44*'Input sheet'!$B$3)/3600</f>
        <v>0</v>
      </c>
      <c r="Q125" s="426" t="e">
        <f>(('Input sheet'!$B$4/100)*'Phase calculation'!Q3*'Phase calculation'!Q44*'Input sheet'!$B$3)/3600</f>
        <v>#VALUE!</v>
      </c>
      <c r="R125" s="426" t="e">
        <f>(('Input sheet'!$B$4/100)*'Phase calculation'!R3*'Phase calculation'!R44*'Input sheet'!$B$3)/3600</f>
        <v>#VALUE!</v>
      </c>
      <c r="S125" s="426">
        <f>(('Input sheet'!$B$4/100)*'Phase calculation'!S3*'Phase calculation'!S44*'Input sheet'!$B$3)/3600</f>
        <v>2.1437500000000002E-2</v>
      </c>
      <c r="T125" s="426" t="e">
        <f>(('Input sheet'!$B$4/100)*'Phase calculation'!T3*'Phase calculation'!T44*'Input sheet'!$B$3)/3600</f>
        <v>#N/A</v>
      </c>
      <c r="U125" s="426">
        <f>(('Input sheet'!$B$4/100)*'Phase calculation'!U3*'Phase calculation'!U44*'Input sheet'!$B$3)/3600</f>
        <v>0</v>
      </c>
      <c r="V125" s="426" t="e">
        <f>(('Input sheet'!$B$4/100)*'Phase calculation'!V3*'Phase calculation'!V44*'Input sheet'!$B$3)/3600</f>
        <v>#N/A</v>
      </c>
      <c r="W125" s="426">
        <f>(('Input sheet'!$B$4/100)*'Phase calculation'!W3*'Phase calculation'!W44*'Input sheet'!$B$3)/3600</f>
        <v>0</v>
      </c>
      <c r="X125" s="426" t="e">
        <f>(('Input sheet'!$B$4/100)*'Phase calculation'!X3*'Phase calculation'!X44*'Input sheet'!$B$3)/3600</f>
        <v>#VALUE!</v>
      </c>
      <c r="Y125" s="426" t="e">
        <f>(('Input sheet'!$B$4/100)*'Phase calculation'!Y3*'Phase calculation'!Y44*'Input sheet'!$B$3)/3600</f>
        <v>#VALUE!</v>
      </c>
      <c r="Z125" s="426" t="e">
        <f>(('Input sheet'!$B$4/100)*'Phase calculation'!Z3*'Phase calculation'!Z44*'Input sheet'!$B$3)/3600</f>
        <v>#VALUE!</v>
      </c>
      <c r="AA125" s="426" t="e">
        <f>(('Input sheet'!$B$4/100)*'Phase calculation'!AA3*'Phase calculation'!AA44*'Input sheet'!$B$3)/3600</f>
        <v>#VALUE!</v>
      </c>
      <c r="AB125" s="426" t="e">
        <f>(('Input sheet'!$B$4/100)*'Phase calculation'!AB3*'Phase calculation'!AB44*'Input sheet'!$B$3)/3600</f>
        <v>#VALUE!</v>
      </c>
      <c r="AC125" s="426" t="e">
        <f>(('Input sheet'!$B$4/100)*'Phase calculation'!AC3*'Phase calculation'!AC44*'Input sheet'!$B$3)/3600</f>
        <v>#VALUE!</v>
      </c>
      <c r="AD125" s="426" t="e">
        <f>(('Input sheet'!$B$4/100)*'Phase calculation'!AD3*'Phase calculation'!AD44*'Input sheet'!$B$3)/3600</f>
        <v>#VALUE!</v>
      </c>
      <c r="AE125" s="426" t="e">
        <f>(('Input sheet'!$B$4/100)*'Phase calculation'!AE3*'Phase calculation'!AE44*'Input sheet'!$B$3)/3600</f>
        <v>#VALUE!</v>
      </c>
      <c r="AF125" s="426" t="e">
        <f>(('Input sheet'!$B$4/100)*'Phase calculation'!AF3*'Phase calculation'!AF44*'Input sheet'!$B$3)/3600</f>
        <v>#VALUE!</v>
      </c>
      <c r="AG125" s="426">
        <f>(('Input sheet'!$B$4/100)*'Phase calculation'!AG3*'Phase calculation'!AG44*'Input sheet'!$B$3)/3600</f>
        <v>0</v>
      </c>
      <c r="AH125" s="426" t="e">
        <f>(('Input sheet'!$B$4/100)*'Phase calculation'!AH3*'Phase calculation'!AH44*'Input sheet'!$B$3)/3600</f>
        <v>#VALUE!</v>
      </c>
      <c r="AI125" s="426" t="e">
        <f>(('Input sheet'!$B$4/100)*'Phase calculation'!AI3*'Phase calculation'!AI44*'Input sheet'!$B$3)/3600</f>
        <v>#VALUE!</v>
      </c>
      <c r="AJ125" s="426">
        <f>(('Input sheet'!$B$4/100)*'Phase calculation'!AJ3*'Phase calculation'!AJ44*'Input sheet'!$B$3)/3600</f>
        <v>1.225E-2</v>
      </c>
      <c r="AK125" s="426">
        <f>(('Input sheet'!$B$4/100)*'Phase calculation'!AK3*'Phase calculation'!AK44*'Input sheet'!$B$3)/3600</f>
        <v>0</v>
      </c>
      <c r="AL125" s="426">
        <f>(('Input sheet'!$B$4/100)*'Phase calculation'!AL3*'Phase calculation'!AL44*'Input sheet'!$B$3)/3600</f>
        <v>3.6750000000000005E-2</v>
      </c>
      <c r="AM125" s="426">
        <f>(('Input sheet'!$B$4/100)*'Phase calculation'!AM3*'Phase calculation'!AM44*'Input sheet'!$B$3)/3600</f>
        <v>0</v>
      </c>
      <c r="AN125" s="426" t="e">
        <f>(('Input sheet'!$B$4/100)*'Phase calculation'!AN3*'Phase calculation'!AN44*'Input sheet'!$B$3)/3600</f>
        <v>#VALUE!</v>
      </c>
      <c r="AO125" s="426">
        <f>(('Input sheet'!$B$4/100)*'Phase calculation'!AO3*'Phase calculation'!AO44*'Input sheet'!$B$3)/3600</f>
        <v>0</v>
      </c>
      <c r="AP125" s="426" t="e">
        <f>(('Input sheet'!$B$4/100)*'Phase calculation'!AP3*'Phase calculation'!AP44*'Input sheet'!$B$3)/3600</f>
        <v>#VALUE!</v>
      </c>
      <c r="AQ125" s="426">
        <f>(('Input sheet'!$B$4/100)*'Phase calculation'!AQ3*'Phase calculation'!AQ44*'Input sheet'!$B$3)/3600</f>
        <v>0</v>
      </c>
      <c r="AR125" s="426">
        <f>(('Input sheet'!$B$4/100)*'Phase calculation'!AR3*'Phase calculation'!AR44*'Input sheet'!$B$3)/3600</f>
        <v>0</v>
      </c>
      <c r="AS125" s="426" t="e">
        <f>(('Input sheet'!$B$4/100)*'Phase calculation'!AS3*'Phase calculation'!AS44*'Input sheet'!$B$3)/3600</f>
        <v>#VALUE!</v>
      </c>
      <c r="AT125" s="426">
        <f>(('Input sheet'!$B$4/100)*'Phase calculation'!AT3*'Phase calculation'!AT44*'Input sheet'!$B$3)/3600</f>
        <v>0</v>
      </c>
      <c r="AU125" s="426">
        <f>(('Input sheet'!$B$4/100)*'Phase calculation'!AU3*'Phase calculation'!AU44*'Input sheet'!$B$3)/3600</f>
        <v>0</v>
      </c>
      <c r="AV125" s="426">
        <f>(('Input sheet'!$B$4/100)*'Phase calculation'!AV3*'Phase calculation'!AV44*'Input sheet'!$B$3)/3600</f>
        <v>0</v>
      </c>
      <c r="AW125" s="426">
        <f>(('Input sheet'!$B$4/100)*'Phase calculation'!AW3*'Phase calculation'!AW44*'Input sheet'!$B$3)/3600</f>
        <v>0</v>
      </c>
      <c r="AX125" s="426">
        <f>(('Input sheet'!$B$4/100)*'Phase calculation'!AX3*'Phase calculation'!AX44*'Input sheet'!$B$3)/3600</f>
        <v>0</v>
      </c>
      <c r="AY125" s="426">
        <f>(('Input sheet'!$B$4/100)*'Phase calculation'!AY3*'Phase calculation'!AY44*'Input sheet'!$B$3)/3600</f>
        <v>0</v>
      </c>
      <c r="AZ125" s="426">
        <f>(('Input sheet'!$B$4/100)*'Phase calculation'!AZ3*'Phase calculation'!AZ44*'Input sheet'!$B$3)/3600</f>
        <v>0</v>
      </c>
      <c r="BA125" s="426">
        <f>(('Input sheet'!$B$4/100)*'Phase calculation'!BA3*'Phase calculation'!BA44*'Input sheet'!$B$3)/3600</f>
        <v>0</v>
      </c>
      <c r="BB125" s="426">
        <f>(('Input sheet'!$B$4/100)*'Phase calculation'!BB3*'Phase calculation'!BB44*'Input sheet'!$B$3)/3600</f>
        <v>0</v>
      </c>
      <c r="BC125" s="426">
        <f>(('Input sheet'!$B$4/100)*'Phase calculation'!BC3*'Phase calculation'!BC44*'Input sheet'!$B$3)/3600</f>
        <v>0</v>
      </c>
      <c r="BD125" s="426">
        <f>(('Input sheet'!$B$4/100)*'Phase calculation'!BD3*'Phase calculation'!BD44*'Input sheet'!$B$3)/3600</f>
        <v>0</v>
      </c>
      <c r="BE125" s="426">
        <f>(('Input sheet'!$B$4/100)*'Phase calculation'!BE3*'Phase calculation'!BE44*'Input sheet'!$B$3)/3600</f>
        <v>0</v>
      </c>
      <c r="BF125" s="427">
        <f>SUM(C125:N125)</f>
        <v>0</v>
      </c>
    </row>
    <row r="126" spans="1:58" hidden="1" x14ac:dyDescent="0.25">
      <c r="A126" s="547"/>
      <c r="B126" s="168" t="s">
        <v>54</v>
      </c>
      <c r="C126" s="168"/>
      <c r="D126" s="426" t="e">
        <f>D111*'Input sheet'!$B$2</f>
        <v>#N/A</v>
      </c>
      <c r="E126" s="168"/>
      <c r="F126" s="168"/>
      <c r="G126" s="426" t="e">
        <f>G111*'Input sheet'!$B$2</f>
        <v>#N/A</v>
      </c>
      <c r="H126" s="168"/>
      <c r="I126" s="168"/>
      <c r="J126" s="426" t="e">
        <f>J111*'Input sheet'!$B$2</f>
        <v>#N/A</v>
      </c>
      <c r="K126" s="168"/>
      <c r="L126" s="168"/>
      <c r="M126" s="426" t="e">
        <f>M111*'Input sheet'!$B$2</f>
        <v>#N/A</v>
      </c>
      <c r="N126" s="168"/>
      <c r="O126" s="168"/>
      <c r="P126" s="418"/>
      <c r="Q126" s="168"/>
      <c r="R126" s="168"/>
      <c r="S126" s="168"/>
      <c r="T126" s="168"/>
      <c r="U126" s="168"/>
      <c r="V126" s="168"/>
      <c r="W126" s="168"/>
      <c r="X126" s="168"/>
      <c r="Y126" s="168"/>
      <c r="Z126" s="168"/>
      <c r="AA126" s="168"/>
      <c r="AB126" s="168"/>
      <c r="AC126" s="168"/>
      <c r="AD126" s="168"/>
      <c r="AE126" s="418"/>
      <c r="AF126" s="418"/>
      <c r="AG126" s="418"/>
      <c r="AH126" s="418"/>
      <c r="AI126" s="418"/>
      <c r="AJ126" s="418"/>
      <c r="AK126" s="418"/>
      <c r="AL126" s="418"/>
      <c r="AM126" s="418"/>
      <c r="AN126" s="418"/>
      <c r="AO126" s="418"/>
      <c r="AP126" s="418"/>
      <c r="AQ126" s="418"/>
      <c r="AR126" s="418"/>
      <c r="AS126" s="418"/>
      <c r="AT126" s="418"/>
      <c r="AU126" s="418"/>
      <c r="AV126" s="418"/>
      <c r="AW126" s="168"/>
      <c r="AX126" s="168"/>
      <c r="AY126" s="168"/>
      <c r="AZ126" s="168"/>
      <c r="BA126" s="168"/>
      <c r="BB126" s="168"/>
      <c r="BC126" s="168"/>
      <c r="BD126" s="168"/>
      <c r="BE126" s="168"/>
      <c r="BF126" s="427" t="e">
        <f>SUM(C126:N126)</f>
        <v>#N/A</v>
      </c>
    </row>
    <row r="127" spans="1:58" hidden="1" x14ac:dyDescent="0.25">
      <c r="A127" s="547"/>
      <c r="B127" s="168" t="s">
        <v>493</v>
      </c>
      <c r="C127" s="168"/>
      <c r="D127" s="426" t="e">
        <f>(D118*D120/3600)*'Input sheet'!$B$2</f>
        <v>#N/A</v>
      </c>
      <c r="E127" s="168"/>
      <c r="F127" s="168"/>
      <c r="G127" s="426" t="e">
        <f>(G118*G120/3600)*'Input sheet'!$B$2</f>
        <v>#N/A</v>
      </c>
      <c r="H127" s="168"/>
      <c r="I127" s="168"/>
      <c r="J127" s="426" t="e">
        <f>(J118*J120/3600)*'Input sheet'!$B$2</f>
        <v>#N/A</v>
      </c>
      <c r="K127" s="168"/>
      <c r="L127" s="168"/>
      <c r="M127" s="426" t="e">
        <f>(M118*M120/3600)*'Input sheet'!$B$2</f>
        <v>#N/A</v>
      </c>
      <c r="N127" s="168"/>
      <c r="O127" s="168"/>
      <c r="P127" s="418"/>
      <c r="Q127" s="168"/>
      <c r="R127" s="168"/>
      <c r="S127" s="168"/>
      <c r="T127" s="168"/>
      <c r="U127" s="168"/>
      <c r="V127" s="168"/>
      <c r="W127" s="168"/>
      <c r="X127" s="168"/>
      <c r="Y127" s="168"/>
      <c r="Z127" s="168"/>
      <c r="AA127" s="168"/>
      <c r="AB127" s="168"/>
      <c r="AC127" s="168"/>
      <c r="AD127" s="168"/>
      <c r="AE127" s="418"/>
      <c r="AF127" s="418"/>
      <c r="AG127" s="418"/>
      <c r="AH127" s="418"/>
      <c r="AI127" s="418"/>
      <c r="AJ127" s="418"/>
      <c r="AK127" s="418"/>
      <c r="AL127" s="418"/>
      <c r="AM127" s="418"/>
      <c r="AN127" s="418"/>
      <c r="AO127" s="418"/>
      <c r="AP127" s="418"/>
      <c r="AQ127" s="418"/>
      <c r="AR127" s="418"/>
      <c r="AS127" s="418"/>
      <c r="AT127" s="418"/>
      <c r="AU127" s="418"/>
      <c r="AV127" s="418"/>
      <c r="AW127" s="168"/>
      <c r="AX127" s="168"/>
      <c r="AY127" s="168"/>
      <c r="AZ127" s="168"/>
      <c r="BA127" s="168"/>
      <c r="BB127" s="168"/>
      <c r="BC127" s="168"/>
      <c r="BD127" s="168"/>
      <c r="BE127" s="168"/>
      <c r="BF127" s="427" t="e">
        <f>SUM(C127:N127)</f>
        <v>#N/A</v>
      </c>
    </row>
    <row r="128" spans="1:58" hidden="1" x14ac:dyDescent="0.25">
      <c r="A128" s="548"/>
      <c r="B128" s="444" t="s">
        <v>495</v>
      </c>
      <c r="C128" s="445" t="e">
        <f>SUM(BF124:BF127)</f>
        <v>#N/A</v>
      </c>
      <c r="D128" s="321"/>
      <c r="E128" s="321"/>
      <c r="F128" s="321"/>
      <c r="G128" s="321"/>
      <c r="H128" s="321"/>
      <c r="I128" s="321"/>
      <c r="J128" s="321"/>
      <c r="K128" s="321"/>
      <c r="L128" s="321"/>
      <c r="M128" s="321"/>
      <c r="N128" s="321"/>
      <c r="O128" s="321"/>
      <c r="P128" s="375"/>
      <c r="Q128" s="321"/>
      <c r="R128" s="321"/>
      <c r="S128" s="321"/>
      <c r="T128" s="321"/>
      <c r="U128" s="321"/>
      <c r="V128" s="321"/>
      <c r="W128" s="321"/>
      <c r="X128" s="321"/>
      <c r="Y128" s="321"/>
      <c r="Z128" s="321"/>
      <c r="AA128" s="321"/>
      <c r="AB128" s="321"/>
      <c r="AC128" s="321"/>
      <c r="AD128" s="321"/>
      <c r="AE128" s="375"/>
      <c r="AF128" s="375"/>
      <c r="AG128" s="375"/>
      <c r="AH128" s="375"/>
      <c r="AI128" s="375"/>
      <c r="AJ128" s="375"/>
      <c r="AK128" s="375"/>
      <c r="AL128" s="375"/>
      <c r="AM128" s="375"/>
      <c r="AN128" s="375"/>
      <c r="AO128" s="375"/>
      <c r="AP128" s="375"/>
      <c r="AQ128" s="375"/>
      <c r="AR128" s="375"/>
      <c r="AS128" s="375"/>
      <c r="AT128" s="375"/>
      <c r="AU128" s="375"/>
      <c r="AV128" s="375"/>
      <c r="AW128" s="321"/>
      <c r="AX128" s="321"/>
      <c r="AY128" s="321"/>
      <c r="AZ128" s="321"/>
      <c r="BA128" s="321"/>
      <c r="BB128" s="321"/>
      <c r="BC128" s="321"/>
      <c r="BD128" s="321"/>
      <c r="BE128" s="321"/>
      <c r="BF128" s="431"/>
    </row>
    <row r="129" spans="1:63" hidden="1" x14ac:dyDescent="0.25"/>
    <row r="130" spans="1:63" hidden="1" x14ac:dyDescent="0.25"/>
    <row r="131" spans="1:63" hidden="1" x14ac:dyDescent="0.25">
      <c r="B131" s="446"/>
      <c r="C131" s="318" t="s">
        <v>498</v>
      </c>
      <c r="D131" s="318" t="s">
        <v>499</v>
      </c>
      <c r="E131" s="318" t="s">
        <v>500</v>
      </c>
      <c r="F131" s="318" t="s">
        <v>501</v>
      </c>
      <c r="G131" s="422"/>
      <c r="BI131" s="416" t="s">
        <v>502</v>
      </c>
      <c r="BJ131" s="416" t="s">
        <v>503</v>
      </c>
      <c r="BK131" s="416" t="s">
        <v>504</v>
      </c>
    </row>
    <row r="132" spans="1:63" hidden="1" x14ac:dyDescent="0.25">
      <c r="B132" s="319" t="s">
        <v>497</v>
      </c>
      <c r="C132" s="168">
        <f>Phasing!P3</f>
        <v>0</v>
      </c>
      <c r="D132" s="168">
        <f>Phasing!R3</f>
        <v>0</v>
      </c>
      <c r="E132" s="168">
        <f>Phasing!T3</f>
        <v>0</v>
      </c>
      <c r="F132" s="168">
        <f>Phasing!V3</f>
        <v>0</v>
      </c>
      <c r="G132" s="423"/>
      <c r="BI132" s="416">
        <v>8</v>
      </c>
      <c r="BJ132" s="416" t="s">
        <v>508</v>
      </c>
      <c r="BK132" s="416">
        <v>300</v>
      </c>
    </row>
    <row r="133" spans="1:63" hidden="1" x14ac:dyDescent="0.25">
      <c r="B133" s="319" t="s">
        <v>42</v>
      </c>
      <c r="C133" s="168">
        <f>'Input sheet'!D13</f>
        <v>40</v>
      </c>
      <c r="D133" s="168">
        <f>'Input sheet'!P13</f>
        <v>40</v>
      </c>
      <c r="E133" s="168">
        <f>'Input sheet'!J24</f>
        <v>40</v>
      </c>
      <c r="F133" s="168">
        <f>'Input sheet'!J4</f>
        <v>40</v>
      </c>
      <c r="G133" s="423"/>
      <c r="BI133" s="416">
        <v>6</v>
      </c>
      <c r="BJ133" s="416" t="s">
        <v>507</v>
      </c>
      <c r="BK133" s="416">
        <v>350</v>
      </c>
    </row>
    <row r="134" spans="1:63" hidden="1" x14ac:dyDescent="0.25">
      <c r="B134" s="319" t="s">
        <v>509</v>
      </c>
      <c r="C134" s="168" t="e">
        <f>VLOOKUP(C133,#REF!,3)</f>
        <v>#REF!</v>
      </c>
      <c r="D134" s="168" t="e">
        <f>VLOOKUP(D133,#REF!,3)</f>
        <v>#REF!</v>
      </c>
      <c r="E134" s="168" t="e">
        <f>VLOOKUP(E133,#REF!,3)</f>
        <v>#REF!</v>
      </c>
      <c r="F134" s="168" t="e">
        <f>VLOOKUP(F133,#REF!,3)</f>
        <v>#REF!</v>
      </c>
      <c r="G134" s="423"/>
      <c r="BI134" s="416">
        <v>5</v>
      </c>
      <c r="BJ134" s="416" t="s">
        <v>506</v>
      </c>
      <c r="BK134" s="416">
        <v>660</v>
      </c>
    </row>
    <row r="135" spans="1:63" hidden="1" x14ac:dyDescent="0.25">
      <c r="B135" s="319" t="s">
        <v>504</v>
      </c>
      <c r="C135" s="168" t="e">
        <f>INDEX($BK$132:$BK$134,MATCH(C134,$BJ$132:$BJ$134,0))</f>
        <v>#REF!</v>
      </c>
      <c r="D135" s="168" t="e">
        <f t="shared" ref="D135:F135" si="24">INDEX($BK$132:$BK$134,MATCH(D134,$BJ$132:$BJ$134,0))</f>
        <v>#REF!</v>
      </c>
      <c r="E135" s="168" t="e">
        <f t="shared" si="24"/>
        <v>#REF!</v>
      </c>
      <c r="F135" s="168" t="e">
        <f t="shared" si="24"/>
        <v>#REF!</v>
      </c>
      <c r="G135" s="423"/>
    </row>
    <row r="136" spans="1:63" hidden="1" x14ac:dyDescent="0.25">
      <c r="B136" s="319" t="s">
        <v>505</v>
      </c>
      <c r="C136" s="168" t="e">
        <f>INDEX(#REF!,MATCH(C134,$BJ$132:$BJ$134,0))</f>
        <v>#REF!</v>
      </c>
      <c r="D136" s="168" t="e">
        <f>INDEX(#REF!,MATCH(D134,$BJ$132:$BJ$134,0))</f>
        <v>#REF!</v>
      </c>
      <c r="E136" s="168" t="e">
        <f>INDEX(#REF!,MATCH(E134,$BJ$132:$BJ$134,0))</f>
        <v>#REF!</v>
      </c>
      <c r="F136" s="168" t="e">
        <f>INDEX(#REF!,MATCH(F134,$BJ$132:$BJ$134,0))</f>
        <v>#REF!</v>
      </c>
      <c r="G136" s="423"/>
    </row>
    <row r="137" spans="1:63" hidden="1" x14ac:dyDescent="0.25">
      <c r="B137" s="319" t="s">
        <v>512</v>
      </c>
      <c r="C137" s="168" t="e">
        <f>INDEX(#REF!,MATCH(C134,$BJ$132:$BJ$134,0))</f>
        <v>#REF!</v>
      </c>
      <c r="D137" s="168" t="e">
        <f>INDEX(#REF!,MATCH(D134,$BJ$132:$BJ$134,0))</f>
        <v>#REF!</v>
      </c>
      <c r="E137" s="168" t="e">
        <f>INDEX(#REF!,MATCH(E134,$BJ$132:$BJ$134,0))</f>
        <v>#REF!</v>
      </c>
      <c r="F137" s="168" t="e">
        <f>INDEX(#REF!,MATCH(F134,$BJ$132:$BJ$134,0))</f>
        <v>#REF!</v>
      </c>
      <c r="G137" s="448" t="s">
        <v>494</v>
      </c>
    </row>
    <row r="138" spans="1:63" hidden="1" x14ac:dyDescent="0.25">
      <c r="B138" s="319" t="s">
        <v>510</v>
      </c>
      <c r="C138" s="424" t="e">
        <f>(C137-C132)/C135</f>
        <v>#REF!</v>
      </c>
      <c r="D138" s="424" t="e">
        <f t="shared" ref="D138:F138" si="25">(D137-D132)/D135</f>
        <v>#REF!</v>
      </c>
      <c r="E138" s="424" t="e">
        <f t="shared" si="25"/>
        <v>#REF!</v>
      </c>
      <c r="F138" s="424" t="e">
        <f t="shared" si="25"/>
        <v>#REF!</v>
      </c>
      <c r="G138" s="449" t="e">
        <f>SUM(C138:F138)</f>
        <v>#REF!</v>
      </c>
    </row>
    <row r="139" spans="1:63" hidden="1" x14ac:dyDescent="0.25">
      <c r="B139" s="320" t="s">
        <v>511</v>
      </c>
      <c r="C139" s="447" t="e">
        <f>(C137-C132)/C136</f>
        <v>#REF!</v>
      </c>
      <c r="D139" s="447" t="e">
        <f t="shared" ref="D139:F139" si="26">(D137-D132)/D136</f>
        <v>#REF!</v>
      </c>
      <c r="E139" s="447" t="e">
        <f t="shared" si="26"/>
        <v>#REF!</v>
      </c>
      <c r="F139" s="447" t="e">
        <f t="shared" si="26"/>
        <v>#REF!</v>
      </c>
      <c r="G139" s="450" t="e">
        <f>SUM(C139:F139)</f>
        <v>#REF!</v>
      </c>
    </row>
    <row r="140" spans="1:63" hidden="1" x14ac:dyDescent="0.25"/>
    <row r="141" spans="1:63" hidden="1" x14ac:dyDescent="0.25"/>
    <row r="142" spans="1:63" hidden="1" x14ac:dyDescent="0.25">
      <c r="A142" s="549" t="s">
        <v>520</v>
      </c>
      <c r="B142" s="318" t="s">
        <v>73</v>
      </c>
      <c r="C142" s="318"/>
      <c r="D142" s="318" t="s">
        <v>14</v>
      </c>
      <c r="E142" s="318"/>
      <c r="F142" s="318"/>
      <c r="G142" s="318" t="s">
        <v>19</v>
      </c>
      <c r="H142" s="318"/>
      <c r="I142" s="318"/>
      <c r="J142" s="318" t="s">
        <v>4</v>
      </c>
      <c r="K142" s="318"/>
      <c r="L142" s="318"/>
      <c r="M142" s="422" t="s">
        <v>9</v>
      </c>
    </row>
    <row r="143" spans="1:63" hidden="1" x14ac:dyDescent="0.25">
      <c r="A143" s="550"/>
      <c r="B143" s="168" t="s">
        <v>521</v>
      </c>
      <c r="C143" s="168"/>
      <c r="D143" s="429">
        <f>'Input sheet'!A15</f>
        <v>0</v>
      </c>
      <c r="E143" s="429"/>
      <c r="F143" s="429"/>
      <c r="G143" s="429">
        <f>'Input sheet'!R15</f>
        <v>0</v>
      </c>
      <c r="H143" s="429"/>
      <c r="I143" s="429"/>
      <c r="J143" s="429">
        <f>'Input sheet'!M26</f>
        <v>0</v>
      </c>
      <c r="K143" s="429"/>
      <c r="L143" s="429"/>
      <c r="M143" s="430">
        <f>'Input sheet'!M2</f>
        <v>0</v>
      </c>
    </row>
    <row r="144" spans="1:63" hidden="1" x14ac:dyDescent="0.25">
      <c r="A144" s="550"/>
      <c r="B144" s="168" t="s">
        <v>522</v>
      </c>
      <c r="C144" s="168"/>
      <c r="D144" s="429" t="e">
        <f>D38</f>
        <v>#N/A</v>
      </c>
      <c r="E144" s="429"/>
      <c r="F144" s="429"/>
      <c r="G144" s="429" t="e">
        <f>G38</f>
        <v>#N/A</v>
      </c>
      <c r="H144" s="429"/>
      <c r="I144" s="429"/>
      <c r="J144" s="429" t="e">
        <f>J38</f>
        <v>#N/A</v>
      </c>
      <c r="K144" s="429"/>
      <c r="L144" s="429"/>
      <c r="M144" s="430" t="e">
        <f>M38</f>
        <v>#N/A</v>
      </c>
    </row>
    <row r="145" spans="1:64" hidden="1" x14ac:dyDescent="0.25">
      <c r="A145" s="550"/>
      <c r="B145" s="168" t="s">
        <v>523</v>
      </c>
      <c r="C145" s="168"/>
      <c r="D145" s="424">
        <f>D44</f>
        <v>0</v>
      </c>
      <c r="E145" s="424"/>
      <c r="F145" s="424"/>
      <c r="G145" s="424">
        <f>G44</f>
        <v>0</v>
      </c>
      <c r="H145" s="424"/>
      <c r="I145" s="424"/>
      <c r="J145" s="424">
        <f>J44</f>
        <v>0</v>
      </c>
      <c r="K145" s="424"/>
      <c r="L145" s="424"/>
      <c r="M145" s="425">
        <f>M44</f>
        <v>0</v>
      </c>
    </row>
    <row r="146" spans="1:64" hidden="1" x14ac:dyDescent="0.25">
      <c r="A146" s="551"/>
      <c r="B146" s="321" t="s">
        <v>524</v>
      </c>
      <c r="C146" s="321"/>
      <c r="D146" s="428">
        <f>(D143*D145+G143*G145+J143*J145+M143*M145)/3600</f>
        <v>0</v>
      </c>
      <c r="E146" s="321"/>
      <c r="F146" s="321"/>
      <c r="G146" s="321"/>
      <c r="H146" s="321"/>
      <c r="I146" s="321"/>
      <c r="J146" s="321"/>
      <c r="K146" s="321"/>
      <c r="L146" s="321"/>
      <c r="M146" s="431"/>
    </row>
    <row r="147" spans="1:64" hidden="1" x14ac:dyDescent="0.25"/>
    <row r="149" spans="1:64" x14ac:dyDescent="0.25">
      <c r="B149" s="483" t="s">
        <v>575</v>
      </c>
      <c r="C149" s="483">
        <f>IF(C33=0,D33&amp;"2",C33)</f>
        <v>4</v>
      </c>
      <c r="D149" s="483">
        <f>D33</f>
        <v>4</v>
      </c>
      <c r="E149" s="483" t="str">
        <f>E33&amp;"1"</f>
        <v>41</v>
      </c>
      <c r="F149" s="483">
        <f>IF(F33=0,G33&amp;"2",F33)</f>
        <v>8</v>
      </c>
      <c r="G149" s="483">
        <f>G33</f>
        <v>8</v>
      </c>
      <c r="H149" s="483" t="str">
        <f>H33&amp;"1"</f>
        <v>81</v>
      </c>
      <c r="I149" s="483">
        <f>IF(I33=0,J33&amp;"2",I33)</f>
        <v>2</v>
      </c>
      <c r="J149" s="483">
        <f>J33</f>
        <v>2</v>
      </c>
      <c r="K149" s="483" t="str">
        <f>K33&amp;"1"</f>
        <v>21</v>
      </c>
      <c r="L149" s="483">
        <f>IF(L33=0,M33&amp;"2",L33)</f>
        <v>6</v>
      </c>
      <c r="M149" s="483">
        <f>M33</f>
        <v>6</v>
      </c>
      <c r="N149" s="483" t="str">
        <f>N33&amp;"1"</f>
        <v>61</v>
      </c>
      <c r="O149" s="483"/>
      <c r="P149" s="484"/>
      <c r="Q149" s="483"/>
      <c r="R149" s="483"/>
      <c r="S149" s="483"/>
      <c r="T149" s="483"/>
      <c r="U149" s="483"/>
      <c r="V149" s="483"/>
      <c r="W149" s="483"/>
      <c r="X149" s="483"/>
      <c r="Y149" s="483"/>
      <c r="Z149" s="483"/>
      <c r="AA149" s="483"/>
      <c r="AB149" s="483"/>
      <c r="AC149" s="483"/>
      <c r="AD149" s="483"/>
      <c r="AE149" s="485"/>
      <c r="AF149" s="485"/>
      <c r="AG149" s="485"/>
      <c r="AH149" s="485"/>
      <c r="AI149" s="485"/>
      <c r="AJ149" s="485"/>
      <c r="AK149" s="484"/>
      <c r="AL149" s="484"/>
      <c r="AM149" s="484"/>
      <c r="AN149" s="484"/>
      <c r="AO149" s="484"/>
      <c r="AP149" s="484"/>
      <c r="AQ149" s="484"/>
      <c r="AR149" s="484"/>
      <c r="AS149" s="484"/>
      <c r="AT149" s="484"/>
      <c r="AU149" s="484"/>
      <c r="AV149" s="484"/>
      <c r="AW149" s="483"/>
      <c r="AX149" s="483"/>
      <c r="AY149" s="483"/>
      <c r="AZ149" s="483"/>
      <c r="BA149" s="483"/>
      <c r="BB149" s="483"/>
      <c r="BC149" s="483"/>
      <c r="BD149" s="483"/>
      <c r="BE149" s="483"/>
      <c r="BF149" s="483"/>
      <c r="BG149" s="483"/>
      <c r="BH149" s="483"/>
      <c r="BI149" s="483"/>
      <c r="BJ149" s="483"/>
      <c r="BK149" s="483" t="s">
        <v>82</v>
      </c>
      <c r="BL149" s="483" t="s">
        <v>82</v>
      </c>
    </row>
    <row r="150" spans="1:64" x14ac:dyDescent="0.25">
      <c r="B150" s="483" t="s">
        <v>576</v>
      </c>
      <c r="C150" s="483">
        <f>IF(C33=0,D33,C33)</f>
        <v>4</v>
      </c>
      <c r="D150" s="483">
        <f>D33</f>
        <v>4</v>
      </c>
      <c r="E150" s="483">
        <f>E33</f>
        <v>4</v>
      </c>
      <c r="F150" s="483">
        <f>IF(F33=0,G33,F33)</f>
        <v>8</v>
      </c>
      <c r="G150" s="483">
        <f>G33</f>
        <v>8</v>
      </c>
      <c r="H150" s="483">
        <f>H33</f>
        <v>8</v>
      </c>
      <c r="I150" s="483">
        <f>IF(I33=0,J33,I33)</f>
        <v>2</v>
      </c>
      <c r="J150" s="483">
        <f>J33</f>
        <v>2</v>
      </c>
      <c r="K150" s="483">
        <f>K33</f>
        <v>2</v>
      </c>
      <c r="L150" s="483">
        <f>IF(L33=0,M33,L33)</f>
        <v>6</v>
      </c>
      <c r="M150" s="483">
        <f>M33</f>
        <v>6</v>
      </c>
      <c r="N150" s="483">
        <f>N33</f>
        <v>6</v>
      </c>
      <c r="O150" s="483"/>
      <c r="P150" s="484"/>
      <c r="Q150" s="483"/>
      <c r="R150" s="483"/>
      <c r="S150" s="483"/>
      <c r="T150" s="483"/>
      <c r="U150" s="483"/>
      <c r="V150" s="483"/>
      <c r="W150" s="483"/>
      <c r="X150" s="483"/>
      <c r="Y150" s="483"/>
      <c r="Z150" s="483"/>
      <c r="AA150" s="483"/>
      <c r="AB150" s="483"/>
      <c r="AC150" s="483"/>
      <c r="AD150" s="483"/>
      <c r="AE150" s="485"/>
      <c r="AF150" s="485"/>
      <c r="AG150" s="485"/>
      <c r="AH150" s="485"/>
      <c r="AI150" s="485"/>
      <c r="AJ150" s="485"/>
      <c r="AK150" s="484"/>
      <c r="AL150" s="484"/>
      <c r="AM150" s="484"/>
      <c r="AN150" s="484"/>
      <c r="AO150" s="484"/>
      <c r="AP150" s="484"/>
      <c r="AQ150" s="484"/>
      <c r="AR150" s="484"/>
      <c r="AS150" s="484"/>
      <c r="AT150" s="484"/>
      <c r="AU150" s="484"/>
      <c r="AV150" s="484"/>
      <c r="AW150" s="483"/>
      <c r="AX150" s="483"/>
      <c r="AY150" s="483"/>
      <c r="AZ150" s="483"/>
      <c r="BA150" s="483"/>
      <c r="BB150" s="483"/>
      <c r="BC150" s="483"/>
      <c r="BD150" s="483"/>
      <c r="BE150" s="483"/>
      <c r="BF150" s="483"/>
      <c r="BG150" s="483"/>
      <c r="BH150" s="483"/>
      <c r="BI150" s="483"/>
      <c r="BJ150" s="483"/>
      <c r="BK150" s="483" t="s">
        <v>83</v>
      </c>
      <c r="BL150" s="483" t="s">
        <v>577</v>
      </c>
    </row>
    <row r="151" spans="1:64" x14ac:dyDescent="0.25">
      <c r="B151" s="483" t="s">
        <v>578</v>
      </c>
      <c r="C151" s="483" t="str">
        <f>'Phase designation'!B23</f>
        <v>Permitted</v>
      </c>
      <c r="D151" s="483"/>
      <c r="E151" s="483"/>
      <c r="F151" s="483" t="str">
        <f>'Phase designation'!D23</f>
        <v>Permitted</v>
      </c>
      <c r="G151" s="483"/>
      <c r="H151" s="483"/>
      <c r="I151" s="483" t="str">
        <f>'Phase designation'!F23</f>
        <v>Permitted</v>
      </c>
      <c r="J151" s="483"/>
      <c r="K151" s="483"/>
      <c r="L151" s="483" t="str">
        <f>'Phase designation'!H23</f>
        <v>Permitted</v>
      </c>
      <c r="M151" s="483"/>
      <c r="N151" s="483"/>
      <c r="O151" s="483"/>
      <c r="P151" s="484"/>
      <c r="Q151" s="483"/>
      <c r="R151" s="483"/>
      <c r="S151" s="483"/>
      <c r="T151" s="483"/>
      <c r="U151" s="483"/>
      <c r="V151" s="483"/>
      <c r="W151" s="483"/>
      <c r="X151" s="483"/>
      <c r="Y151" s="483"/>
      <c r="Z151" s="483"/>
      <c r="AA151" s="483"/>
      <c r="AB151" s="483"/>
      <c r="AC151" s="483"/>
      <c r="AD151" s="483"/>
      <c r="AE151" s="485"/>
      <c r="AF151" s="485"/>
      <c r="AG151" s="485"/>
      <c r="AH151" s="485"/>
      <c r="AI151" s="485"/>
      <c r="AJ151" s="485"/>
      <c r="AK151" s="484"/>
      <c r="AL151" s="484"/>
      <c r="AM151" s="484"/>
      <c r="AN151" s="484"/>
      <c r="AO151" s="484"/>
      <c r="AP151" s="484"/>
      <c r="AQ151" s="484"/>
      <c r="AR151" s="484"/>
      <c r="AS151" s="484"/>
      <c r="AT151" s="484"/>
      <c r="AU151" s="484"/>
      <c r="AV151" s="484"/>
      <c r="AW151" s="483"/>
      <c r="AX151" s="483"/>
      <c r="AY151" s="483"/>
      <c r="AZ151" s="483"/>
      <c r="BA151" s="483"/>
      <c r="BB151" s="483"/>
      <c r="BC151" s="483"/>
      <c r="BD151" s="483"/>
      <c r="BE151" s="483"/>
      <c r="BF151" s="483"/>
      <c r="BG151" s="483"/>
      <c r="BH151" s="483"/>
      <c r="BI151" s="483"/>
      <c r="BJ151" s="483"/>
      <c r="BK151" s="483" t="s">
        <v>84</v>
      </c>
      <c r="BL151" s="483" t="s">
        <v>579</v>
      </c>
    </row>
    <row r="152" spans="1:64" x14ac:dyDescent="0.25">
      <c r="B152" s="483" t="s">
        <v>580</v>
      </c>
      <c r="C152" s="483" t="str">
        <f>IFERROR(IF(C150=0,"",INDEX($BL$149:$BL$151,MATCH(C151,$BK$149:$BK$151,0))),"")</f>
        <v>Permissive</v>
      </c>
      <c r="D152" s="483" t="str">
        <f>IFERROR(IF(D150=0,"","Protected"),"")</f>
        <v>Protected</v>
      </c>
      <c r="E152" s="483" t="str">
        <f>IFERROR(IF(E150=0,"","RTOR"),"")</f>
        <v>RTOR</v>
      </c>
      <c r="F152" s="483" t="str">
        <f>IFERROR(IF(F150=0,"",INDEX($BL$149:$BL$151,MATCH(F151,$BK$149:$BK$151,0))),"")</f>
        <v>Permissive</v>
      </c>
      <c r="G152" s="483" t="str">
        <f>IFERROR(IF(G150=0,"","Protected"),"")</f>
        <v>Protected</v>
      </c>
      <c r="H152" s="483" t="str">
        <f>IFERROR(IF(H150=0,"","RTOR"),"")</f>
        <v>RTOR</v>
      </c>
      <c r="I152" s="483" t="str">
        <f>IFERROR(IF(I150=0,"",INDEX($BL$149:$BL$151,MATCH(I151,$BK$149:$BK$151,0))),"")</f>
        <v>Permissive</v>
      </c>
      <c r="J152" s="483" t="str">
        <f>IFERROR(IF(J150=0,"","Protected"),"")</f>
        <v>Protected</v>
      </c>
      <c r="K152" s="483" t="str">
        <f>IFERROR(IF(K150=0,"","RTOR"),"")</f>
        <v>RTOR</v>
      </c>
      <c r="L152" s="483" t="str">
        <f>IFERROR(IF(L150=0,"",INDEX($BL$149:$BL$151,MATCH(L151,$BK$149:$BK$151,0))),"")</f>
        <v>Permissive</v>
      </c>
      <c r="M152" s="483" t="str">
        <f>IFERROR(IF(M150=0,"","Protected"),"")</f>
        <v>Protected</v>
      </c>
      <c r="N152" s="483" t="str">
        <f>IFERROR(IF(N150=0,"","RTOR"),"")</f>
        <v>RTOR</v>
      </c>
      <c r="O152" s="483"/>
      <c r="P152" s="484"/>
      <c r="Q152" s="483"/>
      <c r="R152" s="483"/>
      <c r="S152" s="483"/>
      <c r="T152" s="483"/>
      <c r="U152" s="483"/>
      <c r="V152" s="483"/>
      <c r="W152" s="483"/>
      <c r="X152" s="483"/>
      <c r="Y152" s="483"/>
      <c r="Z152" s="483"/>
      <c r="AA152" s="483"/>
      <c r="AB152" s="483"/>
      <c r="AC152" s="483"/>
      <c r="AD152" s="483"/>
      <c r="AE152" s="485"/>
      <c r="AF152" s="485"/>
      <c r="AG152" s="485"/>
      <c r="AH152" s="485"/>
      <c r="AI152" s="485"/>
      <c r="AJ152" s="485"/>
      <c r="AK152" s="484"/>
      <c r="AL152" s="484"/>
      <c r="AM152" s="484"/>
      <c r="AN152" s="484"/>
      <c r="AO152" s="484"/>
      <c r="AP152" s="484"/>
      <c r="AQ152" s="484"/>
      <c r="AR152" s="484"/>
      <c r="AS152" s="484"/>
      <c r="AT152" s="484"/>
      <c r="AU152" s="484"/>
      <c r="AV152" s="484"/>
      <c r="AW152" s="483"/>
      <c r="AX152" s="483"/>
      <c r="AY152" s="483"/>
      <c r="AZ152" s="483"/>
      <c r="BA152" s="483"/>
      <c r="BB152" s="483"/>
      <c r="BC152" s="483"/>
      <c r="BD152" s="483"/>
      <c r="BE152" s="483"/>
      <c r="BF152" s="483"/>
      <c r="BG152" s="483"/>
      <c r="BH152" s="483"/>
      <c r="BI152" s="483"/>
      <c r="BJ152" s="483"/>
      <c r="BK152" s="483"/>
      <c r="BL152" s="483"/>
    </row>
    <row r="153" spans="1:64" x14ac:dyDescent="0.25">
      <c r="B153" s="483"/>
      <c r="C153" s="483"/>
      <c r="D153" s="483"/>
      <c r="E153" s="483"/>
      <c r="F153" s="483"/>
      <c r="G153" s="483"/>
      <c r="H153" s="483"/>
      <c r="I153" s="483"/>
      <c r="J153" s="483"/>
      <c r="K153" s="483"/>
      <c r="L153" s="483"/>
      <c r="M153" s="483"/>
      <c r="N153" s="483"/>
      <c r="O153" s="483"/>
      <c r="P153" s="484"/>
      <c r="Q153" s="483"/>
      <c r="R153" s="483"/>
      <c r="S153" s="483"/>
      <c r="T153" s="483"/>
      <c r="U153" s="483"/>
      <c r="V153" s="483"/>
      <c r="W153" s="483"/>
      <c r="X153" s="483"/>
      <c r="Y153" s="483"/>
      <c r="Z153" s="483"/>
      <c r="AA153" s="483"/>
      <c r="AB153" s="483"/>
      <c r="AC153" s="483"/>
      <c r="AD153" s="483"/>
      <c r="AE153" s="485"/>
      <c r="AF153" s="485"/>
      <c r="AG153" s="485"/>
      <c r="AH153" s="485"/>
      <c r="AI153" s="485"/>
      <c r="AJ153" s="485"/>
      <c r="AK153" s="484"/>
      <c r="AL153" s="484"/>
      <c r="AM153" s="484"/>
      <c r="AN153" s="484"/>
      <c r="AO153" s="484"/>
      <c r="AP153" s="484"/>
      <c r="AQ153" s="484"/>
      <c r="AR153" s="484"/>
      <c r="AS153" s="484"/>
      <c r="AT153" s="484"/>
      <c r="AU153" s="484"/>
      <c r="AV153" s="484"/>
      <c r="AW153" s="483"/>
      <c r="AX153" s="483"/>
      <c r="AY153" s="483"/>
      <c r="AZ153" s="483"/>
      <c r="BA153" s="483"/>
      <c r="BB153" s="483"/>
      <c r="BC153" s="483"/>
      <c r="BD153" s="483"/>
      <c r="BE153" s="483"/>
      <c r="BF153" s="483"/>
      <c r="BG153" s="483"/>
      <c r="BH153" s="483"/>
      <c r="BI153" s="483"/>
      <c r="BJ153" s="483"/>
      <c r="BK153" s="483"/>
      <c r="BL153" s="483"/>
    </row>
    <row r="154" spans="1:64" x14ac:dyDescent="0.25">
      <c r="B154" s="483" t="s">
        <v>581</v>
      </c>
      <c r="C154" s="483"/>
      <c r="D154" s="483"/>
      <c r="E154" s="483"/>
      <c r="F154" s="483"/>
      <c r="G154" s="483"/>
      <c r="H154" s="483"/>
      <c r="I154" s="483"/>
      <c r="J154" s="483"/>
      <c r="K154" s="483"/>
      <c r="L154" s="483"/>
      <c r="M154" s="483"/>
      <c r="N154" s="483"/>
      <c r="O154" s="483"/>
      <c r="P154" s="484"/>
      <c r="Q154" s="483"/>
      <c r="R154" s="483"/>
      <c r="S154" s="483"/>
      <c r="T154" s="483"/>
      <c r="U154" s="483"/>
      <c r="V154" s="483"/>
      <c r="W154" s="483"/>
      <c r="X154" s="483"/>
      <c r="Y154" s="483"/>
      <c r="Z154" s="483"/>
      <c r="AA154" s="483"/>
      <c r="AB154" s="483"/>
      <c r="AC154" s="483"/>
      <c r="AD154" s="483"/>
      <c r="AE154" s="485"/>
      <c r="AF154" s="485"/>
      <c r="AG154" s="485"/>
      <c r="AH154" s="485"/>
      <c r="AI154" s="485"/>
      <c r="AJ154" s="485"/>
      <c r="AK154" s="484"/>
      <c r="AL154" s="484"/>
      <c r="AM154" s="484"/>
      <c r="AN154" s="484"/>
      <c r="AO154" s="484"/>
      <c r="AP154" s="484"/>
      <c r="AQ154" s="484"/>
      <c r="AR154" s="484"/>
      <c r="AS154" s="484"/>
      <c r="AT154" s="484"/>
      <c r="AU154" s="484"/>
      <c r="AV154" s="484"/>
      <c r="AW154" s="483"/>
      <c r="AX154" s="483"/>
      <c r="AY154" s="483"/>
      <c r="AZ154" s="483"/>
      <c r="BA154" s="483"/>
      <c r="BB154" s="483"/>
      <c r="BC154" s="483"/>
      <c r="BD154" s="483"/>
      <c r="BE154" s="483"/>
      <c r="BF154" s="483"/>
      <c r="BG154" s="483"/>
      <c r="BH154" s="483"/>
      <c r="BI154" s="483"/>
      <c r="BJ154" s="483"/>
      <c r="BK154" s="483"/>
      <c r="BL154" s="483"/>
    </row>
    <row r="155" spans="1:64" x14ac:dyDescent="0.25">
      <c r="B155" s="329" t="s">
        <v>582</v>
      </c>
      <c r="C155" s="483" t="str">
        <f>IF(C150=0,"",Sheet1!$B$2)</f>
        <v>0 &amp; 0</v>
      </c>
      <c r="D155" s="483" t="str">
        <f>IF(D150=0,"",Sheet1!$B$2)</f>
        <v>0 &amp; 0</v>
      </c>
      <c r="E155" s="483" t="str">
        <f>IF(E150=0,"",Sheet1!$B$2)</f>
        <v>0 &amp; 0</v>
      </c>
      <c r="F155" s="483" t="str">
        <f>IF(F150=0,"",Sheet1!$B$2)</f>
        <v>0 &amp; 0</v>
      </c>
      <c r="G155" s="483" t="str">
        <f>IF(G150=0,"",Sheet1!$B$2)</f>
        <v>0 &amp; 0</v>
      </c>
      <c r="H155" s="483" t="str">
        <f>IF(H150=0,"",Sheet1!$B$2)</f>
        <v>0 &amp; 0</v>
      </c>
      <c r="I155" s="483" t="str">
        <f>IF(I150=0,"",Sheet1!$B$2)</f>
        <v>0 &amp; 0</v>
      </c>
      <c r="J155" s="483" t="str">
        <f>IF(J150=0,"",Sheet1!$B$2)</f>
        <v>0 &amp; 0</v>
      </c>
      <c r="K155" s="483" t="str">
        <f>IF(K150=0,"",Sheet1!$B$2)</f>
        <v>0 &amp; 0</v>
      </c>
      <c r="L155" s="483" t="str">
        <f>IF(L150=0,"",Sheet1!$B$2)</f>
        <v>0 &amp; 0</v>
      </c>
      <c r="M155" s="483" t="str">
        <f>IF(M150=0,"",Sheet1!$B$2)</f>
        <v>0 &amp; 0</v>
      </c>
      <c r="N155" s="483" t="str">
        <f>IF(N150=0,"",Sheet1!$B$2)</f>
        <v>0 &amp; 0</v>
      </c>
      <c r="O155" s="483"/>
      <c r="P155" s="484"/>
      <c r="Q155" s="483"/>
      <c r="R155" s="483"/>
      <c r="S155" s="483"/>
      <c r="T155" s="483"/>
      <c r="U155" s="483"/>
      <c r="V155" s="483"/>
      <c r="W155" s="483"/>
      <c r="X155" s="483"/>
      <c r="Y155" s="483"/>
      <c r="Z155" s="483"/>
      <c r="AA155" s="483"/>
      <c r="AB155" s="483"/>
      <c r="AC155" s="483"/>
      <c r="AD155" s="483"/>
      <c r="AE155" s="485"/>
      <c r="AF155" s="485"/>
      <c r="AG155" s="485"/>
      <c r="AH155" s="485"/>
      <c r="AI155" s="485"/>
      <c r="AJ155" s="485"/>
      <c r="AK155" s="484"/>
      <c r="AL155" s="484"/>
      <c r="AM155" s="484"/>
      <c r="AN155" s="484"/>
      <c r="AO155" s="484"/>
      <c r="AP155" s="484"/>
      <c r="AQ155" s="484"/>
      <c r="AR155" s="484"/>
      <c r="AS155" s="484"/>
      <c r="AT155" s="484"/>
      <c r="AU155" s="484"/>
      <c r="AV155" s="484"/>
      <c r="AW155" s="483"/>
      <c r="AX155" s="483"/>
      <c r="AY155" s="483"/>
      <c r="AZ155" s="483"/>
      <c r="BA155" s="483"/>
      <c r="BB155" s="483"/>
      <c r="BC155" s="483"/>
      <c r="BD155" s="483"/>
      <c r="BE155" s="483"/>
      <c r="BF155" s="483"/>
      <c r="BG155" s="483"/>
      <c r="BH155" s="483"/>
      <c r="BI155" s="483"/>
      <c r="BJ155" s="483"/>
      <c r="BK155" s="483"/>
      <c r="BL155" s="483"/>
    </row>
    <row r="156" spans="1:64" x14ac:dyDescent="0.25">
      <c r="B156" s="329" t="s">
        <v>583</v>
      </c>
      <c r="C156" s="483">
        <f>IF(C150=0,"",C149)</f>
        <v>4</v>
      </c>
      <c r="D156" s="483">
        <f t="shared" ref="D156:N156" si="27">IF(D150=0,"",D149)</f>
        <v>4</v>
      </c>
      <c r="E156" s="483" t="str">
        <f t="shared" si="27"/>
        <v>41</v>
      </c>
      <c r="F156" s="483">
        <f t="shared" si="27"/>
        <v>8</v>
      </c>
      <c r="G156" s="483">
        <f t="shared" si="27"/>
        <v>8</v>
      </c>
      <c r="H156" s="483" t="str">
        <f t="shared" si="27"/>
        <v>81</v>
      </c>
      <c r="I156" s="483">
        <f t="shared" si="27"/>
        <v>2</v>
      </c>
      <c r="J156" s="483">
        <f t="shared" si="27"/>
        <v>2</v>
      </c>
      <c r="K156" s="483" t="str">
        <f t="shared" si="27"/>
        <v>21</v>
      </c>
      <c r="L156" s="483">
        <f t="shared" si="27"/>
        <v>6</v>
      </c>
      <c r="M156" s="483">
        <f t="shared" si="27"/>
        <v>6</v>
      </c>
      <c r="N156" s="483" t="str">
        <f t="shared" si="27"/>
        <v>61</v>
      </c>
      <c r="O156" s="483"/>
      <c r="P156" s="484"/>
      <c r="Q156" s="483"/>
      <c r="R156" s="483"/>
      <c r="S156" s="483"/>
      <c r="T156" s="483"/>
      <c r="U156" s="483"/>
      <c r="V156" s="483"/>
      <c r="W156" s="483"/>
      <c r="X156" s="483"/>
      <c r="Y156" s="483"/>
      <c r="Z156" s="483"/>
      <c r="AA156" s="483"/>
      <c r="AB156" s="483"/>
      <c r="AC156" s="483"/>
      <c r="AD156" s="483"/>
      <c r="AE156" s="485"/>
      <c r="AF156" s="485"/>
      <c r="AG156" s="485"/>
      <c r="AH156" s="485"/>
      <c r="AI156" s="485"/>
      <c r="AJ156" s="485"/>
      <c r="AK156" s="484"/>
      <c r="AL156" s="484"/>
      <c r="AM156" s="484"/>
      <c r="AN156" s="484"/>
      <c r="AO156" s="484"/>
      <c r="AP156" s="484"/>
      <c r="AQ156" s="484"/>
      <c r="AR156" s="484"/>
      <c r="AS156" s="484"/>
      <c r="AT156" s="484"/>
      <c r="AU156" s="484"/>
      <c r="AV156" s="484"/>
      <c r="AW156" s="483"/>
      <c r="AX156" s="483"/>
      <c r="AY156" s="483"/>
      <c r="AZ156" s="483"/>
      <c r="BA156" s="483"/>
      <c r="BB156" s="483"/>
      <c r="BC156" s="483"/>
      <c r="BD156" s="483"/>
      <c r="BE156" s="483"/>
      <c r="BF156" s="483"/>
      <c r="BG156" s="483"/>
      <c r="BH156" s="483"/>
      <c r="BI156" s="483"/>
      <c r="BJ156" s="483"/>
      <c r="BK156" s="483"/>
      <c r="BL156" s="483"/>
    </row>
    <row r="157" spans="1:64" x14ac:dyDescent="0.25">
      <c r="B157" s="329" t="s">
        <v>584</v>
      </c>
      <c r="C157" s="483"/>
      <c r="D157" s="483"/>
      <c r="E157" s="483"/>
      <c r="F157" s="483"/>
      <c r="G157" s="483"/>
      <c r="H157" s="483"/>
      <c r="I157" s="483"/>
      <c r="J157" s="483"/>
      <c r="K157" s="483"/>
      <c r="L157" s="483"/>
      <c r="M157" s="483"/>
      <c r="N157" s="483"/>
      <c r="O157" s="483"/>
      <c r="P157" s="484"/>
      <c r="Q157" s="483"/>
      <c r="R157" s="483"/>
      <c r="S157" s="483"/>
      <c r="T157" s="483"/>
      <c r="U157" s="483"/>
      <c r="V157" s="483"/>
      <c r="W157" s="483"/>
      <c r="X157" s="483"/>
      <c r="Y157" s="483"/>
      <c r="Z157" s="483"/>
      <c r="AA157" s="483"/>
      <c r="AB157" s="483"/>
      <c r="AC157" s="483"/>
      <c r="AD157" s="483"/>
      <c r="AE157" s="485"/>
      <c r="AF157" s="485"/>
      <c r="AG157" s="485"/>
      <c r="AH157" s="485"/>
      <c r="AI157" s="485"/>
      <c r="AJ157" s="485"/>
      <c r="AK157" s="484"/>
      <c r="AL157" s="484"/>
      <c r="AM157" s="484"/>
      <c r="AN157" s="484"/>
      <c r="AO157" s="484"/>
      <c r="AP157" s="484"/>
      <c r="AQ157" s="484"/>
      <c r="AR157" s="484"/>
      <c r="AS157" s="484"/>
      <c r="AT157" s="484"/>
      <c r="AU157" s="484"/>
      <c r="AV157" s="484"/>
      <c r="AW157" s="483"/>
      <c r="AX157" s="483"/>
      <c r="AY157" s="483"/>
      <c r="AZ157" s="483"/>
      <c r="BA157" s="483"/>
      <c r="BB157" s="483"/>
      <c r="BC157" s="483"/>
      <c r="BD157" s="483"/>
      <c r="BE157" s="483"/>
      <c r="BF157" s="483"/>
      <c r="BG157" s="483"/>
      <c r="BH157" s="483"/>
      <c r="BI157" s="483"/>
      <c r="BJ157" s="483"/>
      <c r="BK157" s="483"/>
      <c r="BL157" s="483"/>
    </row>
    <row r="158" spans="1:64" x14ac:dyDescent="0.25">
      <c r="B158" s="329" t="s">
        <v>585</v>
      </c>
      <c r="C158" s="483">
        <f>IF(C150=0,"",C150)</f>
        <v>4</v>
      </c>
      <c r="D158" s="483">
        <f t="shared" ref="D158:N158" si="28">IF(D150=0,"",D150)</f>
        <v>4</v>
      </c>
      <c r="E158" s="483">
        <f t="shared" si="28"/>
        <v>4</v>
      </c>
      <c r="F158" s="483">
        <f t="shared" si="28"/>
        <v>8</v>
      </c>
      <c r="G158" s="483">
        <f t="shared" si="28"/>
        <v>8</v>
      </c>
      <c r="H158" s="483">
        <f t="shared" si="28"/>
        <v>8</v>
      </c>
      <c r="I158" s="483">
        <f t="shared" si="28"/>
        <v>2</v>
      </c>
      <c r="J158" s="483">
        <f t="shared" si="28"/>
        <v>2</v>
      </c>
      <c r="K158" s="483">
        <f t="shared" si="28"/>
        <v>2</v>
      </c>
      <c r="L158" s="483">
        <f t="shared" si="28"/>
        <v>6</v>
      </c>
      <c r="M158" s="483">
        <f t="shared" si="28"/>
        <v>6</v>
      </c>
      <c r="N158" s="483">
        <f t="shared" si="28"/>
        <v>6</v>
      </c>
      <c r="O158" s="483"/>
      <c r="P158" s="484"/>
      <c r="Q158" s="483"/>
      <c r="R158" s="483"/>
      <c r="S158" s="483"/>
      <c r="T158" s="483"/>
      <c r="U158" s="483"/>
      <c r="V158" s="483"/>
      <c r="W158" s="483"/>
      <c r="X158" s="483"/>
      <c r="Y158" s="483"/>
      <c r="Z158" s="483"/>
      <c r="AA158" s="483"/>
      <c r="AB158" s="483"/>
      <c r="AC158" s="483"/>
      <c r="AD158" s="483"/>
      <c r="AE158" s="485"/>
      <c r="AF158" s="485"/>
      <c r="AG158" s="485"/>
      <c r="AH158" s="485"/>
      <c r="AI158" s="485"/>
      <c r="AJ158" s="485"/>
      <c r="AK158" s="484"/>
      <c r="AL158" s="484"/>
      <c r="AM158" s="484"/>
      <c r="AN158" s="484"/>
      <c r="AO158" s="484"/>
      <c r="AP158" s="484"/>
      <c r="AQ158" s="484"/>
      <c r="AR158" s="484"/>
      <c r="AS158" s="484"/>
      <c r="AT158" s="484"/>
      <c r="AU158" s="484"/>
      <c r="AV158" s="484"/>
      <c r="AW158" s="483"/>
      <c r="AX158" s="483"/>
      <c r="AY158" s="483"/>
      <c r="AZ158" s="483"/>
      <c r="BA158" s="483"/>
      <c r="BB158" s="483"/>
      <c r="BC158" s="483"/>
      <c r="BD158" s="483"/>
      <c r="BE158" s="483"/>
      <c r="BF158" s="483"/>
      <c r="BG158" s="483"/>
      <c r="BH158" s="483"/>
      <c r="BI158" s="483"/>
      <c r="BJ158" s="483"/>
      <c r="BK158" s="483"/>
      <c r="BL158" s="483"/>
    </row>
    <row r="159" spans="1:64" x14ac:dyDescent="0.25">
      <c r="B159" s="329" t="s">
        <v>586</v>
      </c>
      <c r="C159" s="483" t="str">
        <f>C152</f>
        <v>Permissive</v>
      </c>
      <c r="D159" s="483" t="str">
        <f t="shared" ref="D159:N159" si="29">D152</f>
        <v>Protected</v>
      </c>
      <c r="E159" s="483" t="str">
        <f t="shared" si="29"/>
        <v>RTOR</v>
      </c>
      <c r="F159" s="483" t="str">
        <f t="shared" si="29"/>
        <v>Permissive</v>
      </c>
      <c r="G159" s="483" t="str">
        <f t="shared" si="29"/>
        <v>Protected</v>
      </c>
      <c r="H159" s="483" t="str">
        <f t="shared" si="29"/>
        <v>RTOR</v>
      </c>
      <c r="I159" s="483" t="str">
        <f t="shared" si="29"/>
        <v>Permissive</v>
      </c>
      <c r="J159" s="483" t="str">
        <f t="shared" si="29"/>
        <v>Protected</v>
      </c>
      <c r="K159" s="483" t="str">
        <f t="shared" si="29"/>
        <v>RTOR</v>
      </c>
      <c r="L159" s="483" t="str">
        <f t="shared" si="29"/>
        <v>Permissive</v>
      </c>
      <c r="M159" s="483" t="str">
        <f t="shared" si="29"/>
        <v>Protected</v>
      </c>
      <c r="N159" s="483" t="str">
        <f t="shared" si="29"/>
        <v>RTOR</v>
      </c>
      <c r="O159" s="483"/>
      <c r="P159" s="484"/>
      <c r="Q159" s="483"/>
      <c r="R159" s="483"/>
      <c r="S159" s="483"/>
      <c r="T159" s="483"/>
      <c r="U159" s="483"/>
      <c r="V159" s="483"/>
      <c r="W159" s="483"/>
      <c r="X159" s="483"/>
      <c r="Y159" s="483"/>
      <c r="Z159" s="483"/>
      <c r="AA159" s="483"/>
      <c r="AB159" s="483"/>
      <c r="AC159" s="483"/>
      <c r="AD159" s="483"/>
      <c r="AE159" s="485"/>
      <c r="AF159" s="485"/>
      <c r="AG159" s="485"/>
      <c r="AH159" s="485"/>
      <c r="AI159" s="485"/>
      <c r="AJ159" s="485"/>
      <c r="AK159" s="484"/>
      <c r="AL159" s="484"/>
      <c r="AM159" s="484"/>
      <c r="AN159" s="484"/>
      <c r="AO159" s="484"/>
      <c r="AP159" s="484"/>
      <c r="AQ159" s="484"/>
      <c r="AR159" s="484"/>
      <c r="AS159" s="484"/>
      <c r="AT159" s="484"/>
      <c r="AU159" s="484"/>
      <c r="AV159" s="484"/>
      <c r="AW159" s="483"/>
      <c r="AX159" s="483"/>
      <c r="AY159" s="483"/>
      <c r="AZ159" s="483"/>
      <c r="BA159" s="483"/>
      <c r="BB159" s="483"/>
      <c r="BC159" s="483"/>
      <c r="BD159" s="483"/>
      <c r="BE159" s="483"/>
      <c r="BF159" s="483"/>
      <c r="BG159" s="483"/>
      <c r="BH159" s="483"/>
      <c r="BI159" s="483"/>
      <c r="BJ159" s="483"/>
      <c r="BK159" s="483"/>
      <c r="BL159" s="483"/>
    </row>
    <row r="160" spans="1:64" x14ac:dyDescent="0.25">
      <c r="B160" s="329" t="s">
        <v>587</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483"/>
      <c r="P160" s="484"/>
      <c r="Q160" s="483"/>
      <c r="R160" s="483"/>
      <c r="S160" s="483"/>
      <c r="T160" s="483"/>
      <c r="U160" s="483"/>
      <c r="V160" s="483"/>
      <c r="W160" s="483"/>
      <c r="X160" s="483"/>
      <c r="Y160" s="483"/>
      <c r="Z160" s="483"/>
      <c r="AA160" s="483"/>
      <c r="AB160" s="483"/>
      <c r="AC160" s="483"/>
      <c r="AD160" s="483"/>
      <c r="AE160" s="485"/>
      <c r="AF160" s="485"/>
      <c r="AG160" s="485"/>
      <c r="AH160" s="485"/>
      <c r="AI160" s="485"/>
      <c r="AJ160" s="485"/>
      <c r="AK160" s="484"/>
      <c r="AL160" s="484"/>
      <c r="AM160" s="484"/>
      <c r="AN160" s="484"/>
      <c r="AO160" s="484"/>
      <c r="AP160" s="484"/>
      <c r="AQ160" s="484"/>
      <c r="AR160" s="484"/>
      <c r="AS160" s="484"/>
      <c r="AT160" s="484"/>
      <c r="AU160" s="484"/>
      <c r="AV160" s="484"/>
      <c r="AW160" s="483"/>
      <c r="AX160" s="483"/>
      <c r="AY160" s="483"/>
      <c r="AZ160" s="483"/>
      <c r="BA160" s="483"/>
      <c r="BB160" s="483"/>
      <c r="BC160" s="483"/>
      <c r="BD160" s="483"/>
      <c r="BE160" s="483"/>
      <c r="BF160" s="483"/>
      <c r="BG160" s="483"/>
      <c r="BH160" s="483"/>
      <c r="BI160" s="483"/>
      <c r="BJ160" s="483"/>
      <c r="BK160" s="483"/>
      <c r="BL160" s="483"/>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4"/>
  </cols>
  <sheetData>
    <row r="3" spans="1:14" x14ac:dyDescent="0.25">
      <c r="D3" s="516" t="s">
        <v>116</v>
      </c>
      <c r="E3" s="516"/>
      <c r="F3" s="516"/>
      <c r="G3" s="516"/>
      <c r="H3" s="516"/>
      <c r="I3" s="516"/>
      <c r="J3" s="516"/>
      <c r="K3" s="516"/>
      <c r="L3" s="516" t="s">
        <v>117</v>
      </c>
      <c r="M3" s="516"/>
      <c r="N3" s="516"/>
    </row>
    <row r="4" spans="1:14" x14ac:dyDescent="0.25">
      <c r="D4" s="516" t="s">
        <v>118</v>
      </c>
      <c r="E4" s="516"/>
      <c r="F4" s="516"/>
      <c r="G4" s="516"/>
      <c r="H4" s="516"/>
      <c r="I4" s="516"/>
      <c r="J4" s="516"/>
      <c r="K4" s="516"/>
    </row>
    <row r="5" spans="1:14" ht="45" x14ac:dyDescent="0.25">
      <c r="B5" s="63" t="s">
        <v>119</v>
      </c>
      <c r="C5" s="331">
        <v>40</v>
      </c>
      <c r="D5" s="64">
        <v>50</v>
      </c>
      <c r="E5" s="64">
        <v>60</v>
      </c>
      <c r="F5" s="64">
        <v>70</v>
      </c>
      <c r="G5" s="64">
        <v>80</v>
      </c>
      <c r="H5" s="64">
        <v>90</v>
      </c>
      <c r="I5" s="64">
        <v>100</v>
      </c>
      <c r="J5" s="64">
        <v>110</v>
      </c>
      <c r="K5" s="64">
        <v>120</v>
      </c>
      <c r="L5" s="64">
        <v>130</v>
      </c>
      <c r="M5" s="64">
        <v>140</v>
      </c>
      <c r="N5" s="64">
        <v>150</v>
      </c>
    </row>
    <row r="6" spans="1:14" x14ac:dyDescent="0.25">
      <c r="B6" s="3" t="s">
        <v>120</v>
      </c>
      <c r="D6" s="516" t="s">
        <v>121</v>
      </c>
      <c r="E6" s="516"/>
      <c r="F6" s="516"/>
      <c r="G6" s="516"/>
      <c r="H6" s="516"/>
      <c r="I6" s="516"/>
      <c r="J6" s="516"/>
      <c r="K6" s="516"/>
    </row>
    <row r="7" spans="1:14" x14ac:dyDescent="0.25">
      <c r="A7" s="520" t="s">
        <v>133</v>
      </c>
      <c r="B7" s="65">
        <v>0</v>
      </c>
      <c r="C7" s="65">
        <v>5</v>
      </c>
      <c r="D7" s="65">
        <v>5</v>
      </c>
      <c r="E7" s="65">
        <v>5</v>
      </c>
      <c r="F7" s="65">
        <v>5</v>
      </c>
      <c r="G7" s="65">
        <v>5</v>
      </c>
      <c r="H7" s="65">
        <v>5</v>
      </c>
      <c r="I7" s="65">
        <v>5</v>
      </c>
      <c r="J7" s="65">
        <v>5</v>
      </c>
      <c r="K7" s="65">
        <v>5</v>
      </c>
      <c r="L7" s="65">
        <v>5</v>
      </c>
      <c r="M7" s="65">
        <v>5</v>
      </c>
      <c r="N7" s="65">
        <v>5</v>
      </c>
    </row>
    <row r="8" spans="1:14" x14ac:dyDescent="0.25">
      <c r="A8" s="520"/>
      <c r="B8" s="65">
        <v>50</v>
      </c>
      <c r="C8" s="65">
        <v>7</v>
      </c>
      <c r="D8" s="65">
        <v>7</v>
      </c>
      <c r="E8" s="65">
        <v>7</v>
      </c>
      <c r="F8" s="65">
        <v>7</v>
      </c>
      <c r="G8" s="65">
        <v>7</v>
      </c>
      <c r="H8" s="65">
        <v>7</v>
      </c>
      <c r="I8" s="65">
        <v>7</v>
      </c>
      <c r="J8" s="65">
        <v>7</v>
      </c>
      <c r="K8" s="65">
        <v>7</v>
      </c>
      <c r="L8" s="65">
        <v>7</v>
      </c>
      <c r="M8" s="65">
        <v>7</v>
      </c>
      <c r="N8" s="65">
        <v>7</v>
      </c>
    </row>
    <row r="9" spans="1:14" x14ac:dyDescent="0.25">
      <c r="B9" s="3">
        <v>100</v>
      </c>
      <c r="C9" s="304">
        <v>15</v>
      </c>
      <c r="D9" s="3">
        <v>15</v>
      </c>
      <c r="E9" s="3">
        <v>15</v>
      </c>
      <c r="F9" s="3">
        <v>15</v>
      </c>
      <c r="G9" s="3">
        <v>15</v>
      </c>
      <c r="H9" s="3">
        <v>15</v>
      </c>
      <c r="I9" s="3">
        <v>15</v>
      </c>
      <c r="J9" s="3">
        <v>15</v>
      </c>
      <c r="K9" s="3">
        <v>15</v>
      </c>
      <c r="L9" s="3">
        <v>15</v>
      </c>
      <c r="M9" s="3">
        <v>15</v>
      </c>
      <c r="N9" s="3">
        <v>15</v>
      </c>
    </row>
    <row r="10" spans="1:14" x14ac:dyDescent="0.25">
      <c r="B10" s="3">
        <v>200</v>
      </c>
      <c r="C10" s="304">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4">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4">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4">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4">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4">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4">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4">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9" t="s">
        <v>140</v>
      </c>
      <c r="C2" s="89" t="s">
        <v>141</v>
      </c>
      <c r="D2" s="89" t="s">
        <v>139</v>
      </c>
    </row>
    <row r="3" spans="2:4" x14ac:dyDescent="0.25">
      <c r="B3" s="74">
        <v>0</v>
      </c>
      <c r="C3" s="74">
        <v>10</v>
      </c>
      <c r="D3" s="89" t="s">
        <v>142</v>
      </c>
    </row>
    <row r="4" spans="2:4" x14ac:dyDescent="0.25">
      <c r="B4" s="74">
        <v>10.1</v>
      </c>
      <c r="C4" s="74">
        <v>20</v>
      </c>
      <c r="D4" s="89" t="s">
        <v>143</v>
      </c>
    </row>
    <row r="5" spans="2:4" x14ac:dyDescent="0.25">
      <c r="B5" s="74">
        <v>20.100000000000001</v>
      </c>
      <c r="C5" s="74">
        <v>35</v>
      </c>
      <c r="D5" s="89" t="s">
        <v>144</v>
      </c>
    </row>
    <row r="6" spans="2:4" x14ac:dyDescent="0.25">
      <c r="B6" s="74">
        <v>35.1</v>
      </c>
      <c r="C6" s="74">
        <v>55</v>
      </c>
      <c r="D6" s="89" t="s">
        <v>145</v>
      </c>
    </row>
    <row r="7" spans="2:4" x14ac:dyDescent="0.25">
      <c r="B7" s="74">
        <v>55.1</v>
      </c>
      <c r="C7" s="74">
        <v>80</v>
      </c>
      <c r="D7" s="89" t="s">
        <v>146</v>
      </c>
    </row>
    <row r="8" spans="2:4" x14ac:dyDescent="0.25">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200"/>
    <col min="2" max="2" width="18.28515625" style="200" bestFit="1" customWidth="1"/>
    <col min="3" max="11" width="9.140625" style="200"/>
    <col min="12" max="13" width="9.140625" style="200" customWidth="1"/>
    <col min="14" max="14" width="15.5703125" style="200" customWidth="1"/>
    <col min="15" max="26" width="9.140625" style="200" customWidth="1"/>
    <col min="27" max="27" width="9.140625" style="361" customWidth="1"/>
    <col min="28" max="28" width="9.140625" style="200" customWidth="1"/>
    <col min="29" max="31" width="9.140625" style="200"/>
    <col min="32" max="32" width="13" style="200" bestFit="1" customWidth="1"/>
    <col min="33" max="16384" width="9.140625" style="200"/>
  </cols>
  <sheetData>
    <row r="1" spans="2:27" s="201" customFormat="1" x14ac:dyDescent="0.25">
      <c r="B1" s="201" t="s">
        <v>637</v>
      </c>
      <c r="D1" s="503">
        <v>111</v>
      </c>
      <c r="E1" s="503">
        <v>112</v>
      </c>
      <c r="F1" s="503">
        <v>212</v>
      </c>
      <c r="G1" s="503">
        <v>211</v>
      </c>
      <c r="H1" s="503">
        <v>121</v>
      </c>
      <c r="I1" s="503">
        <v>122</v>
      </c>
      <c r="J1" s="503">
        <v>221</v>
      </c>
      <c r="K1" s="503">
        <v>222</v>
      </c>
      <c r="AA1" s="361"/>
    </row>
    <row r="2" spans="2:27" x14ac:dyDescent="0.25">
      <c r="B2" s="202" t="s">
        <v>124</v>
      </c>
      <c r="D2" s="503">
        <v>1</v>
      </c>
      <c r="E2" s="503">
        <v>2</v>
      </c>
      <c r="F2" s="503">
        <v>3</v>
      </c>
      <c r="G2" s="503">
        <v>4</v>
      </c>
      <c r="H2" s="503">
        <v>5</v>
      </c>
      <c r="I2" s="503">
        <v>6</v>
      </c>
      <c r="J2" s="503">
        <v>7</v>
      </c>
      <c r="K2" s="503">
        <v>8</v>
      </c>
      <c r="N2" s="200" t="s">
        <v>278</v>
      </c>
      <c r="O2" s="66" t="s">
        <v>13</v>
      </c>
      <c r="P2" s="66" t="s">
        <v>14</v>
      </c>
      <c r="Q2" s="66" t="s">
        <v>18</v>
      </c>
      <c r="R2" s="66" t="s">
        <v>19</v>
      </c>
      <c r="S2" s="66" t="s">
        <v>3</v>
      </c>
      <c r="T2" s="66" t="s">
        <v>4</v>
      </c>
      <c r="U2" s="66" t="s">
        <v>8</v>
      </c>
      <c r="V2" s="66" t="s">
        <v>9</v>
      </c>
    </row>
    <row r="3" spans="2:27" x14ac:dyDescent="0.25">
      <c r="B3" s="200" t="s">
        <v>277</v>
      </c>
      <c r="D3" s="503" t="e">
        <f>'Phase calculation'!C83</f>
        <v>#N/A</v>
      </c>
      <c r="E3" s="503" t="e">
        <f>'Phase calculation'!D83</f>
        <v>#N/A</v>
      </c>
      <c r="F3" s="503" t="e">
        <f>'Phase calculation'!E83</f>
        <v>#N/A</v>
      </c>
      <c r="G3" s="503" t="e">
        <f>'Phase calculation'!F83</f>
        <v>#N/A</v>
      </c>
      <c r="H3" s="503" t="e">
        <f>'Phase calculation'!C84</f>
        <v>#N/A</v>
      </c>
      <c r="I3" s="503" t="e">
        <f>'Phase calculation'!D84</f>
        <v>#N/A</v>
      </c>
      <c r="J3" s="503" t="e">
        <f>'Phase calculation'!E84</f>
        <v>#N/A</v>
      </c>
      <c r="K3" s="503" t="e">
        <f>'Phase calculation'!F84</f>
        <v>#N/A</v>
      </c>
      <c r="N3" s="200" t="s">
        <v>279</v>
      </c>
      <c r="O3" s="512"/>
      <c r="P3" s="512">
        <f>IF('Summary sheet'!T15=0,0,MAX(30,12*'Summary sheet'!T15+12))</f>
        <v>0</v>
      </c>
      <c r="Q3" s="512"/>
      <c r="R3" s="512">
        <f>IF('Summary sheet'!Z15=0,0,MAX(30,12*'Summary sheet'!Z15+12))</f>
        <v>0</v>
      </c>
      <c r="S3" s="512"/>
      <c r="T3" s="512">
        <f>IF('Summary sheet'!Y17=0,0,MAX(30,12*'Summary sheet'!Y17+12))</f>
        <v>0</v>
      </c>
      <c r="U3" s="512"/>
      <c r="V3" s="512">
        <f>IF('Summary sheet'!Y4=0,0,MAX(30,12*'Summary sheet'!Y4+12))</f>
        <v>0</v>
      </c>
    </row>
    <row r="4" spans="2:27" x14ac:dyDescent="0.25">
      <c r="B4" s="200" t="s">
        <v>73</v>
      </c>
      <c r="D4" s="503" t="str">
        <f>'Phase designation'!K41</f>
        <v/>
      </c>
      <c r="E4" s="503" t="str">
        <f>'Phase designation'!L41</f>
        <v>NBT</v>
      </c>
      <c r="F4" s="503" t="str">
        <f>'Phase designation'!M41</f>
        <v/>
      </c>
      <c r="G4" s="503" t="str">
        <f>'Phase designation'!N41</f>
        <v>EBT</v>
      </c>
      <c r="H4" s="503" t="str">
        <f>'Phase designation'!K42</f>
        <v/>
      </c>
      <c r="I4" s="503" t="str">
        <f>'Phase designation'!L42</f>
        <v>SBT</v>
      </c>
      <c r="J4" s="503" t="str">
        <f>'Phase designation'!M42</f>
        <v/>
      </c>
      <c r="K4" s="503" t="str">
        <f>'Phase designation'!N42</f>
        <v>WBT</v>
      </c>
      <c r="N4" s="203" t="s">
        <v>289</v>
      </c>
      <c r="O4" s="503"/>
      <c r="P4" s="503">
        <f>MAX(Sheet1!N11:P11)</f>
        <v>40</v>
      </c>
      <c r="Q4" s="503"/>
      <c r="R4" s="503">
        <f>MAX(Sheet1!S11:U11)</f>
        <v>40</v>
      </c>
      <c r="S4" s="503"/>
      <c r="T4" s="503">
        <f>MAX(Sheet1!C11:F11,Sheet1!W11:AB11)</f>
        <v>40</v>
      </c>
      <c r="U4" s="503"/>
      <c r="V4" s="503">
        <f>MAX(Sheet1!I11:K11,Sheet1!AC11:AH11)</f>
        <v>40</v>
      </c>
    </row>
    <row r="5" spans="2:27" s="209" customFormat="1" x14ac:dyDescent="0.25">
      <c r="B5" s="209" t="s">
        <v>42</v>
      </c>
      <c r="D5" s="503"/>
      <c r="E5" s="503">
        <f>IF(E4="",0,INDEX($O$6:$V$6,1,E6))</f>
        <v>40</v>
      </c>
      <c r="F5" s="503"/>
      <c r="G5" s="503">
        <f>IF(G4="",0,INDEX($O$6:$V$6,1,G6))</f>
        <v>40</v>
      </c>
      <c r="H5" s="503"/>
      <c r="I5" s="503">
        <f>IF(I4="",0,INDEX($O$6:$V$6,1,I6))</f>
        <v>40</v>
      </c>
      <c r="J5" s="503"/>
      <c r="K5" s="503">
        <f>IF(K4="",0,INDEX($O$6:$V$6,1,K6))</f>
        <v>40</v>
      </c>
      <c r="N5" s="495" t="s">
        <v>124</v>
      </c>
      <c r="O5" s="503"/>
      <c r="P5" s="503"/>
      <c r="Q5" s="503"/>
      <c r="R5" s="503"/>
      <c r="S5" s="503"/>
      <c r="T5" s="503"/>
      <c r="U5" s="503"/>
      <c r="V5" s="503"/>
      <c r="AA5" s="361"/>
    </row>
    <row r="6" spans="2:27" x14ac:dyDescent="0.25">
      <c r="B6" s="209" t="s">
        <v>296</v>
      </c>
      <c r="D6" s="503">
        <f t="shared" ref="D6:K6" si="0">IF(D4="",0,MATCH(D4,$O$2:$V$2,0))</f>
        <v>0</v>
      </c>
      <c r="E6" s="503">
        <f t="shared" si="0"/>
        <v>6</v>
      </c>
      <c r="F6" s="503">
        <f t="shared" si="0"/>
        <v>0</v>
      </c>
      <c r="G6" s="503">
        <f t="shared" si="0"/>
        <v>2</v>
      </c>
      <c r="H6" s="503">
        <f t="shared" si="0"/>
        <v>0</v>
      </c>
      <c r="I6" s="503">
        <f t="shared" si="0"/>
        <v>8</v>
      </c>
      <c r="J6" s="503">
        <f t="shared" si="0"/>
        <v>0</v>
      </c>
      <c r="K6" s="503">
        <f t="shared" si="0"/>
        <v>4</v>
      </c>
      <c r="N6" s="203" t="s">
        <v>290</v>
      </c>
      <c r="O6" s="503"/>
      <c r="P6" s="503">
        <f>IF(P4&lt;25,25,ROUNDDOWN(P4/5,0)*5)</f>
        <v>40</v>
      </c>
      <c r="Q6" s="503"/>
      <c r="R6" s="503">
        <f>IF(R4&lt;25,25,ROUNDDOWN(R4/5,0)*5)</f>
        <v>40</v>
      </c>
      <c r="S6" s="503"/>
      <c r="T6" s="503">
        <f>IF(T4&lt;25,25,ROUNDDOWN(T4/5,0)*5)</f>
        <v>40</v>
      </c>
      <c r="U6" s="503"/>
      <c r="V6" s="503">
        <f>IF(V4&lt;25,25,ROUNDDOWN(V4/5,0)*5)</f>
        <v>40</v>
      </c>
    </row>
    <row r="7" spans="2:27" x14ac:dyDescent="0.25">
      <c r="B7" s="200" t="s">
        <v>261</v>
      </c>
      <c r="D7" s="503">
        <f>IF(D6=0,0,INDEX($O$8:$V$8,1,D6))</f>
        <v>0</v>
      </c>
      <c r="E7" s="503">
        <f t="shared" ref="E7:K7" si="1">IF(E6=0,0,INDEX($O$8:$V$8,1,E6))</f>
        <v>0</v>
      </c>
      <c r="F7" s="503">
        <f t="shared" si="1"/>
        <v>0</v>
      </c>
      <c r="G7" s="503">
        <f t="shared" si="1"/>
        <v>0</v>
      </c>
      <c r="H7" s="503">
        <f t="shared" si="1"/>
        <v>0</v>
      </c>
      <c r="I7" s="503">
        <f t="shared" si="1"/>
        <v>0</v>
      </c>
      <c r="J7" s="503">
        <f t="shared" si="1"/>
        <v>0</v>
      </c>
      <c r="K7" s="503">
        <f t="shared" si="1"/>
        <v>0</v>
      </c>
      <c r="N7" s="200" t="s">
        <v>282</v>
      </c>
      <c r="O7" s="503"/>
      <c r="P7" s="503">
        <f>IF(P6=0,0,MATCH(P6,'Y-AllRed'!$A:$A))</f>
        <v>7</v>
      </c>
      <c r="Q7" s="503"/>
      <c r="R7" s="503">
        <f>IF(R6=0,0,MATCH(R6,'Y-AllRed'!$A:$A))</f>
        <v>7</v>
      </c>
      <c r="S7" s="503"/>
      <c r="T7" s="503">
        <f>IF(T6=0,0,MATCH(T6,'Y-AllRed'!$A:$A))</f>
        <v>7</v>
      </c>
      <c r="U7" s="503"/>
      <c r="V7" s="503">
        <f>IF(V6=0,0,MATCH(V6,'Y-AllRed'!$A:$A))</f>
        <v>7</v>
      </c>
    </row>
    <row r="8" spans="2:27" x14ac:dyDescent="0.25">
      <c r="B8" s="200" t="s">
        <v>283</v>
      </c>
      <c r="D8" s="503">
        <f>IF(D6=0,0,INDEX($O$11:$V$11,1,D6))</f>
        <v>0</v>
      </c>
      <c r="E8" s="503">
        <f t="shared" ref="E8:K8" si="2">IF(E6=0,0,INDEX($O$11:$V$11,1,E6))</f>
        <v>0</v>
      </c>
      <c r="F8" s="503">
        <f t="shared" si="2"/>
        <v>0</v>
      </c>
      <c r="G8" s="503">
        <f t="shared" si="2"/>
        <v>0</v>
      </c>
      <c r="H8" s="503">
        <f t="shared" si="2"/>
        <v>0</v>
      </c>
      <c r="I8" s="503">
        <f t="shared" si="2"/>
        <v>0</v>
      </c>
      <c r="J8" s="503">
        <f t="shared" si="2"/>
        <v>0</v>
      </c>
      <c r="K8" s="503">
        <f t="shared" si="2"/>
        <v>0</v>
      </c>
      <c r="N8" s="496" t="s">
        <v>261</v>
      </c>
      <c r="O8" s="505" t="e">
        <f>IF('Phase calculation'!C34=0,P8,IF('Phase calculation'!C34&lt;11.9,3,P8))</f>
        <v>#N/A</v>
      </c>
      <c r="P8" s="505">
        <f>IF(P3=0,0,INDEX('Y-AllRed'!$B:$B,Phasing!P7))</f>
        <v>0</v>
      </c>
      <c r="Q8" s="505" t="e">
        <f>IF('Phase calculation'!F34=0,R8,IF('Phase calculation'!F34&lt;11.9,3,R8))</f>
        <v>#N/A</v>
      </c>
      <c r="R8" s="505">
        <f>IF(R3=0,0,INDEX('Y-AllRed'!$B:$B,Phasing!R7))</f>
        <v>0</v>
      </c>
      <c r="S8" s="505" t="e">
        <f>IF('Phase calculation'!I34=0,T8,IF('Phase calculation'!I34&lt;11.9,3,T8))</f>
        <v>#N/A</v>
      </c>
      <c r="T8" s="505">
        <f>IF(T3=0,0,INDEX('Y-AllRed'!$B:$B,Phasing!T7))</f>
        <v>0</v>
      </c>
      <c r="U8" s="505" t="e">
        <f>IF('Phase calculation'!L34=0,V8,IF('Phase calculation'!L34&lt;11.9,3,V8))</f>
        <v>#N/A</v>
      </c>
      <c r="V8" s="505">
        <f>IF(V3=0,0,INDEX('Y-AllRed'!$B:$B,Phasing!V7))</f>
        <v>0</v>
      </c>
    </row>
    <row r="9" spans="2:27" x14ac:dyDescent="0.25">
      <c r="B9" s="200" t="s">
        <v>264</v>
      </c>
      <c r="D9" s="503"/>
      <c r="E9" s="503">
        <f>IF(E6=0,0,INDEX($O$22:$V$22,1,E6))</f>
        <v>5</v>
      </c>
      <c r="F9" s="503"/>
      <c r="G9" s="503">
        <f>IF(G6=0,0,INDEX($O$22:$V$22,1,G6))</f>
        <v>5</v>
      </c>
      <c r="H9" s="503"/>
      <c r="I9" s="503">
        <f>IF(I6=0,0,INDEX($O$22:$V$22,1,I6))</f>
        <v>5</v>
      </c>
      <c r="J9" s="503"/>
      <c r="K9" s="503">
        <f>IF(K6=0,0,INDEX($O$22:$V$22,1,K6))</f>
        <v>5</v>
      </c>
      <c r="O9" s="503"/>
      <c r="P9" s="503">
        <f>P7</f>
        <v>7</v>
      </c>
      <c r="Q9" s="503"/>
      <c r="R9" s="503">
        <f>R7</f>
        <v>7</v>
      </c>
      <c r="S9" s="503"/>
      <c r="T9" s="503">
        <f>T7</f>
        <v>7</v>
      </c>
      <c r="U9" s="503"/>
      <c r="V9" s="503">
        <f>V7</f>
        <v>7</v>
      </c>
    </row>
    <row r="10" spans="2:27" x14ac:dyDescent="0.25">
      <c r="B10" s="200" t="s">
        <v>284</v>
      </c>
      <c r="D10" s="503"/>
      <c r="E10" s="503">
        <f>IF(E9=0,0,INDEX($O$19:$V$19,E6))</f>
        <v>0</v>
      </c>
      <c r="F10" s="503"/>
      <c r="G10" s="503">
        <f>IF(G9=0,0,INDEX($O$19:$V$19,G6))</f>
        <v>0</v>
      </c>
      <c r="H10" s="503"/>
      <c r="I10" s="503">
        <f>IF(I9=0,0,INDEX($O$19:$V$19,I6))</f>
        <v>0</v>
      </c>
      <c r="J10" s="503"/>
      <c r="K10" s="503">
        <f>IF(K9=0,0,INDEX($O$19:$V$19,K6))</f>
        <v>0</v>
      </c>
      <c r="O10" s="503"/>
      <c r="P10" s="503">
        <f>IF(P3=0,0,1+MATCH(P3,'Y-AllRed'!$3:$3))</f>
        <v>0</v>
      </c>
      <c r="Q10" s="503"/>
      <c r="R10" s="503">
        <f>IF(R3=0,0,1+MATCH(R3,'Y-AllRed'!$3:$3))</f>
        <v>0</v>
      </c>
      <c r="S10" s="503"/>
      <c r="T10" s="503">
        <f>IF(T3=0,0,1+MATCH(T3,'Y-AllRed'!$3:$3))</f>
        <v>0</v>
      </c>
      <c r="U10" s="503"/>
      <c r="V10" s="503">
        <f>IF(V3=0,0,1+MATCH(V3,'Y-AllRed'!$3:$3))</f>
        <v>0</v>
      </c>
    </row>
    <row r="11" spans="2:27" x14ac:dyDescent="0.25">
      <c r="B11" s="200" t="s">
        <v>285</v>
      </c>
      <c r="D11" s="503">
        <f>IF(D4="",0,5)</f>
        <v>0</v>
      </c>
      <c r="E11" s="503">
        <f>IF(E5&gt;40,15,10)</f>
        <v>10</v>
      </c>
      <c r="F11" s="503">
        <f>IF(F4="",0,5)</f>
        <v>0</v>
      </c>
      <c r="G11" s="503">
        <f>IF(G5&gt;40,15,10)</f>
        <v>10</v>
      </c>
      <c r="H11" s="503">
        <f>IF(H4="",0,5)</f>
        <v>0</v>
      </c>
      <c r="I11" s="503">
        <f>IF(I5&gt;40,15,10)</f>
        <v>10</v>
      </c>
      <c r="J11" s="503">
        <f>IF(J4="",0,5)</f>
        <v>0</v>
      </c>
      <c r="K11" s="503">
        <f>IF(K5&gt;40,15,10)</f>
        <v>10</v>
      </c>
      <c r="N11" s="76" t="s">
        <v>262</v>
      </c>
      <c r="O11" s="504" t="e">
        <f>IF('Phase calculation'!C34=0,P11,IF('Phase calculation'!C34&lt;11.9,'Phase calculation'!C34-O8-O12,P11))</f>
        <v>#N/A</v>
      </c>
      <c r="P11" s="504">
        <f>INDEX('Y-AllRed'!1:1048576,Phasing!P9,Phasing!P10)</f>
        <v>0</v>
      </c>
      <c r="Q11" s="504" t="e">
        <f>IF('Phase calculation'!F34=0,R11,IF('Phase calculation'!F34&lt;11.9,'Phase calculation'!F34-Q8-Q12,R11))</f>
        <v>#N/A</v>
      </c>
      <c r="R11" s="504">
        <f>INDEX('Y-AllRed'!1:1048576,Phasing!R9,Phasing!R10)</f>
        <v>0</v>
      </c>
      <c r="S11" s="504" t="e">
        <f>IF('Phase calculation'!I34=0,T11,IF('Phase calculation'!I34&lt;11.9,'Phase calculation'!I34-S8-S12,T11))</f>
        <v>#N/A</v>
      </c>
      <c r="T11" s="504">
        <f>INDEX('Y-AllRed'!1:1048576,Phasing!T9,Phasing!T10)</f>
        <v>0</v>
      </c>
      <c r="U11" s="504" t="e">
        <f>IF('Phase calculation'!L34=0,V11,IF('Phase calculation'!L34&lt;11.9,'Phase calculation'!L34-U8-U12,V11))</f>
        <v>#N/A</v>
      </c>
      <c r="V11" s="504">
        <f>INDEX('Y-AllRed'!1:1048576,Phasing!V9,Phasing!V10)</f>
        <v>0</v>
      </c>
    </row>
    <row r="12" spans="2:27" x14ac:dyDescent="0.25">
      <c r="B12" s="200" t="s">
        <v>286</v>
      </c>
      <c r="D12" s="507">
        <f>IF(D4="",0,ROUNDUP(INDEX($O$16:$V$16,D6),0))</f>
        <v>0</v>
      </c>
      <c r="E12" s="507">
        <f t="shared" ref="E12:K12" si="3">IF(E4="",0,ROUNDUP(INDEX($O$16:$V$16,E6),0))</f>
        <v>40</v>
      </c>
      <c r="F12" s="507">
        <f t="shared" si="3"/>
        <v>0</v>
      </c>
      <c r="G12" s="507">
        <f t="shared" si="3"/>
        <v>20</v>
      </c>
      <c r="H12" s="507">
        <f t="shared" si="3"/>
        <v>0</v>
      </c>
      <c r="I12" s="507">
        <f t="shared" si="3"/>
        <v>50</v>
      </c>
      <c r="J12" s="507">
        <f t="shared" si="3"/>
        <v>0</v>
      </c>
      <c r="K12" s="507">
        <f t="shared" si="3"/>
        <v>30</v>
      </c>
      <c r="L12" s="77"/>
      <c r="N12" s="200" t="s">
        <v>255</v>
      </c>
      <c r="O12" s="503" t="str">
        <f>IFERROR(INDEX($D$11:$K$11,MATCH(O2,$D$4:$K$4,0)),"")</f>
        <v/>
      </c>
      <c r="P12" s="503">
        <f t="shared" ref="P12:V12" si="4">IFERROR(INDEX($D$11:$K$11,MATCH(P2,$D$4:$K$4,0)),"")</f>
        <v>10</v>
      </c>
      <c r="Q12" s="503" t="str">
        <f t="shared" si="4"/>
        <v/>
      </c>
      <c r="R12" s="503">
        <f t="shared" si="4"/>
        <v>10</v>
      </c>
      <c r="S12" s="503" t="str">
        <f t="shared" si="4"/>
        <v/>
      </c>
      <c r="T12" s="503">
        <f t="shared" si="4"/>
        <v>10</v>
      </c>
      <c r="U12" s="503" t="str">
        <f t="shared" si="4"/>
        <v/>
      </c>
      <c r="V12" s="503">
        <f t="shared" si="4"/>
        <v>10</v>
      </c>
    </row>
    <row r="13" spans="2:27" x14ac:dyDescent="0.25">
      <c r="B13" s="494" t="s">
        <v>567</v>
      </c>
      <c r="C13" s="494"/>
      <c r="D13" s="503"/>
      <c r="E13" s="503"/>
      <c r="F13" s="503"/>
      <c r="G13" s="503"/>
      <c r="H13" s="503"/>
      <c r="I13" s="503"/>
      <c r="J13" s="503"/>
      <c r="K13" s="503"/>
      <c r="N13" s="200" t="s">
        <v>256</v>
      </c>
      <c r="O13" s="503">
        <v>1</v>
      </c>
      <c r="P13" s="503">
        <v>20</v>
      </c>
      <c r="Q13" s="503">
        <v>25</v>
      </c>
      <c r="R13" s="503">
        <v>30</v>
      </c>
      <c r="S13" s="503">
        <v>35</v>
      </c>
      <c r="T13" s="503">
        <v>40</v>
      </c>
      <c r="U13" s="503">
        <v>45</v>
      </c>
      <c r="V13" s="503">
        <v>50</v>
      </c>
    </row>
    <row r="14" spans="2:27" x14ac:dyDescent="0.25">
      <c r="B14" s="200" t="s">
        <v>258</v>
      </c>
      <c r="D14" s="503" t="e">
        <f>IF(D3=0,0,10)</f>
        <v>#N/A</v>
      </c>
      <c r="E14" s="503" t="e">
        <f t="shared" ref="E14:K14" si="5">IF(E3=0,0,10)</f>
        <v>#N/A</v>
      </c>
      <c r="F14" s="503" t="e">
        <f t="shared" si="5"/>
        <v>#N/A</v>
      </c>
      <c r="G14" s="503" t="e">
        <f t="shared" si="5"/>
        <v>#N/A</v>
      </c>
      <c r="H14" s="503" t="e">
        <f t="shared" si="5"/>
        <v>#N/A</v>
      </c>
      <c r="I14" s="503" t="e">
        <f t="shared" si="5"/>
        <v>#N/A</v>
      </c>
      <c r="J14" s="503" t="e">
        <f t="shared" si="5"/>
        <v>#N/A</v>
      </c>
      <c r="K14" s="503" t="e">
        <f t="shared" si="5"/>
        <v>#N/A</v>
      </c>
      <c r="N14" s="200" t="s">
        <v>259</v>
      </c>
      <c r="O14" s="503">
        <v>8</v>
      </c>
      <c r="P14" s="503">
        <v>8</v>
      </c>
      <c r="Q14" s="503">
        <v>10</v>
      </c>
      <c r="R14" s="503">
        <v>13</v>
      </c>
      <c r="S14" s="503">
        <v>15</v>
      </c>
      <c r="T14" s="503">
        <v>18</v>
      </c>
      <c r="U14" s="503">
        <v>20</v>
      </c>
      <c r="V14" s="503">
        <v>23</v>
      </c>
    </row>
    <row r="15" spans="2:27" x14ac:dyDescent="0.25">
      <c r="B15" s="200" t="s">
        <v>259</v>
      </c>
      <c r="D15" s="503" t="e">
        <f>IF(D3=0,0,INDEX($O$14:$Z$14,1,O17))</f>
        <v>#N/A</v>
      </c>
      <c r="E15" s="503" t="e">
        <f t="shared" ref="E15:K15" si="6">IF(E3=0,0,INDEX($O$14:$Z$14,1,P17))</f>
        <v>#N/A</v>
      </c>
      <c r="F15" s="503" t="e">
        <f t="shared" si="6"/>
        <v>#N/A</v>
      </c>
      <c r="G15" s="503" t="e">
        <f t="shared" si="6"/>
        <v>#N/A</v>
      </c>
      <c r="H15" s="503" t="e">
        <f t="shared" si="6"/>
        <v>#N/A</v>
      </c>
      <c r="I15" s="503" t="e">
        <f t="shared" si="6"/>
        <v>#N/A</v>
      </c>
      <c r="J15" s="503" t="e">
        <f t="shared" si="6"/>
        <v>#N/A</v>
      </c>
      <c r="K15" s="503" t="e">
        <f t="shared" si="6"/>
        <v>#N/A</v>
      </c>
      <c r="O15" s="503">
        <v>1</v>
      </c>
      <c r="P15" s="503">
        <v>2</v>
      </c>
      <c r="Q15" s="503">
        <v>3</v>
      </c>
      <c r="R15" s="503">
        <v>4</v>
      </c>
      <c r="S15" s="503">
        <v>5</v>
      </c>
      <c r="T15" s="503">
        <v>6</v>
      </c>
      <c r="U15" s="503">
        <v>7</v>
      </c>
      <c r="V15" s="503">
        <v>8</v>
      </c>
    </row>
    <row r="16" spans="2:27" x14ac:dyDescent="0.25">
      <c r="B16" s="200" t="s">
        <v>287</v>
      </c>
      <c r="D16" s="503">
        <f>IF(D4="",0,INDEX($O$28:$V$28,D6))</f>
        <v>0</v>
      </c>
      <c r="E16" s="503">
        <f t="shared" ref="E16:K16" si="7">IF(E4="",0,INDEX($O$28:$V$28,E6))</f>
        <v>0.3</v>
      </c>
      <c r="F16" s="503">
        <f t="shared" si="7"/>
        <v>0</v>
      </c>
      <c r="G16" s="503">
        <f t="shared" si="7"/>
        <v>0.3</v>
      </c>
      <c r="H16" s="503">
        <f t="shared" si="7"/>
        <v>0</v>
      </c>
      <c r="I16" s="503">
        <f t="shared" si="7"/>
        <v>0.3</v>
      </c>
      <c r="J16" s="503">
        <f t="shared" si="7"/>
        <v>0</v>
      </c>
      <c r="K16" s="503">
        <f t="shared" si="7"/>
        <v>0.3</v>
      </c>
      <c r="O16" s="333">
        <f>'Phase calculation'!C29</f>
        <v>1</v>
      </c>
      <c r="P16" s="333">
        <f>'Phase calculation'!D29</f>
        <v>20</v>
      </c>
      <c r="Q16" s="333">
        <f>'Phase calculation'!F29</f>
        <v>25</v>
      </c>
      <c r="R16" s="333">
        <f>'Phase calculation'!G29</f>
        <v>30</v>
      </c>
      <c r="S16" s="333">
        <f>'Phase calculation'!I29</f>
        <v>35</v>
      </c>
      <c r="T16" s="333">
        <f>'Phase calculation'!J29</f>
        <v>40</v>
      </c>
      <c r="U16" s="333">
        <f>'Phase calculation'!L29</f>
        <v>45</v>
      </c>
      <c r="V16" s="333">
        <f>'Phase calculation'!M29</f>
        <v>50</v>
      </c>
    </row>
    <row r="17" spans="1:32" x14ac:dyDescent="0.25">
      <c r="B17" s="200" t="s">
        <v>257</v>
      </c>
      <c r="D17" s="503">
        <f>IF(D4="",0,INDEX($O$27:$V$27,D6))</f>
        <v>0</v>
      </c>
      <c r="E17" s="503">
        <f t="shared" ref="E17:K17" si="8">IF(E4="",0,INDEX($O$27:$V$27,E6))</f>
        <v>2.2999999999999998</v>
      </c>
      <c r="F17" s="503">
        <f t="shared" si="8"/>
        <v>0</v>
      </c>
      <c r="G17" s="503">
        <f t="shared" si="8"/>
        <v>2.2999999999999998</v>
      </c>
      <c r="H17" s="503">
        <f t="shared" si="8"/>
        <v>0</v>
      </c>
      <c r="I17" s="503">
        <f t="shared" si="8"/>
        <v>2.2999999999999998</v>
      </c>
      <c r="J17" s="503">
        <f t="shared" si="8"/>
        <v>0</v>
      </c>
      <c r="K17" s="503">
        <f t="shared" si="8"/>
        <v>2.2999999999999998</v>
      </c>
      <c r="O17" s="503">
        <f>IF(O16=0,0,MATCH(O16,$O$13:$Z$13,1))</f>
        <v>1</v>
      </c>
      <c r="P17" s="503">
        <f t="shared" ref="P17:V17" si="9">IF(P16=0,0,MATCH(P16,$O$13:$Z$13,1))</f>
        <v>2</v>
      </c>
      <c r="Q17" s="503">
        <f t="shared" si="9"/>
        <v>3</v>
      </c>
      <c r="R17" s="503">
        <f t="shared" si="9"/>
        <v>4</v>
      </c>
      <c r="S17" s="503">
        <f t="shared" si="9"/>
        <v>5</v>
      </c>
      <c r="T17" s="503">
        <f t="shared" si="9"/>
        <v>6</v>
      </c>
      <c r="U17" s="503">
        <f t="shared" si="9"/>
        <v>7</v>
      </c>
      <c r="V17" s="503">
        <f t="shared" si="9"/>
        <v>8</v>
      </c>
    </row>
    <row r="18" spans="1:32" x14ac:dyDescent="0.25">
      <c r="B18" s="200" t="s">
        <v>267</v>
      </c>
      <c r="D18" s="503">
        <f>IF(D4="",0,9)</f>
        <v>0</v>
      </c>
      <c r="E18" s="503">
        <f>IF(E9=0,ROUNDUP(E11+E7+E8,0),ROUNDUP(E9+E10+E7+E8,0))</f>
        <v>5</v>
      </c>
      <c r="F18" s="503">
        <f>IF(F4="",0,9)</f>
        <v>0</v>
      </c>
      <c r="G18" s="503">
        <f>IF(G9=0,ROUNDUP(G11+G7+G8,0),ROUNDUP(G9+G10+G7+G8,0))</f>
        <v>5</v>
      </c>
      <c r="H18" s="503">
        <f>IF(H4="",0,9)</f>
        <v>0</v>
      </c>
      <c r="I18" s="503">
        <f>IF(I9=0,ROUNDUP(I11+I7+I8,0),ROUNDUP(I9+I10+I7+I8,0))</f>
        <v>5</v>
      </c>
      <c r="J18" s="503">
        <f>IF(J4="",0,9)</f>
        <v>0</v>
      </c>
      <c r="K18" s="503">
        <f>IF(K9=0,ROUNDUP(K11+K7+K8,0),ROUNDUP(K9+K10+K7+K8,0))</f>
        <v>5</v>
      </c>
      <c r="N18" s="202"/>
      <c r="O18" s="503"/>
      <c r="P18" s="503">
        <f>IF(E4="",0,MATCH(E4,$O$2:$V$2,0))</f>
        <v>6</v>
      </c>
      <c r="Q18" s="503"/>
      <c r="R18" s="503">
        <f>IF(G4="",0,MATCH(G4,$O$2:$V$2,0))</f>
        <v>2</v>
      </c>
      <c r="S18" s="503"/>
      <c r="T18" s="503">
        <f>IF(I4="",0,MATCH(I4,$O$2:$V$2,0))</f>
        <v>8</v>
      </c>
      <c r="U18" s="503"/>
      <c r="V18" s="503">
        <f>IF(K4="",0,MATCH(K4,$O$2:$V$2,0))</f>
        <v>4</v>
      </c>
    </row>
    <row r="19" spans="1:32" x14ac:dyDescent="0.25">
      <c r="B19" s="200" t="s">
        <v>270</v>
      </c>
      <c r="D19" s="503">
        <v>0</v>
      </c>
      <c r="E19" s="503" t="e">
        <f>IF(D3=0,0,D20)</f>
        <v>#N/A</v>
      </c>
      <c r="F19" s="503" t="e">
        <f>E20</f>
        <v>#N/A</v>
      </c>
      <c r="G19" s="503" t="e">
        <f>F20</f>
        <v>#N/A</v>
      </c>
      <c r="H19" s="503">
        <v>0</v>
      </c>
      <c r="I19" s="503" t="e">
        <f>IF(H3=0,0,H20)</f>
        <v>#N/A</v>
      </c>
      <c r="J19" s="503" t="e">
        <f>I20</f>
        <v>#N/A</v>
      </c>
      <c r="K19" s="503" t="e">
        <f>J20</f>
        <v>#N/A</v>
      </c>
      <c r="N19" s="492" t="s">
        <v>265</v>
      </c>
      <c r="O19" s="503"/>
      <c r="P19" s="503">
        <f>ROUND(T3/'Input sheet'!$V$10,0)</f>
        <v>0</v>
      </c>
      <c r="Q19" s="503"/>
      <c r="R19" s="503">
        <f>ROUND(V3/'Input sheet'!$V$10,0)</f>
        <v>0</v>
      </c>
      <c r="S19" s="503"/>
      <c r="T19" s="503">
        <f>ROUND(R3/'Input sheet'!$V$10,0)</f>
        <v>0</v>
      </c>
      <c r="U19" s="503"/>
      <c r="V19" s="503">
        <f>ROUND(P3/'Input sheet'!$V$10,0)</f>
        <v>0</v>
      </c>
    </row>
    <row r="20" spans="1:32" x14ac:dyDescent="0.25">
      <c r="B20" s="200" t="s">
        <v>271</v>
      </c>
      <c r="D20" s="503" t="e">
        <f t="shared" ref="D20:K20" si="10">D19+D3</f>
        <v>#N/A</v>
      </c>
      <c r="E20" s="503" t="e">
        <f t="shared" si="10"/>
        <v>#N/A</v>
      </c>
      <c r="F20" s="503" t="e">
        <f t="shared" si="10"/>
        <v>#N/A</v>
      </c>
      <c r="G20" s="503" t="e">
        <f t="shared" si="10"/>
        <v>#N/A</v>
      </c>
      <c r="H20" s="503" t="e">
        <f t="shared" si="10"/>
        <v>#N/A</v>
      </c>
      <c r="I20" s="503" t="e">
        <f t="shared" si="10"/>
        <v>#N/A</v>
      </c>
      <c r="J20" s="503" t="e">
        <f t="shared" si="10"/>
        <v>#N/A</v>
      </c>
      <c r="K20" s="503" t="e">
        <f t="shared" si="10"/>
        <v>#N/A</v>
      </c>
      <c r="N20" s="202"/>
      <c r="O20" s="503"/>
      <c r="P20" s="503">
        <v>4</v>
      </c>
      <c r="Q20" s="503"/>
      <c r="R20" s="503">
        <v>4</v>
      </c>
      <c r="S20" s="503"/>
      <c r="T20" s="503">
        <v>4</v>
      </c>
      <c r="U20" s="503"/>
      <c r="V20" s="503">
        <v>4</v>
      </c>
    </row>
    <row r="21" spans="1:32" x14ac:dyDescent="0.25">
      <c r="B21" s="200" t="s">
        <v>272</v>
      </c>
      <c r="D21" s="503" t="e">
        <f>ROUND(IF(D3=0,0,D20-D7-D8),0)</f>
        <v>#N/A</v>
      </c>
      <c r="E21" s="503" t="e">
        <f t="shared" ref="E21:K21" si="11">ROUND(IF(E3=0,0,E20-E7-E8),0)</f>
        <v>#N/A</v>
      </c>
      <c r="F21" s="503" t="e">
        <f t="shared" si="11"/>
        <v>#N/A</v>
      </c>
      <c r="G21" s="503" t="e">
        <f t="shared" si="11"/>
        <v>#N/A</v>
      </c>
      <c r="H21" s="503" t="e">
        <f t="shared" si="11"/>
        <v>#N/A</v>
      </c>
      <c r="I21" s="503" t="e">
        <f t="shared" si="11"/>
        <v>#N/A</v>
      </c>
      <c r="J21" s="503" t="e">
        <f t="shared" si="11"/>
        <v>#N/A</v>
      </c>
      <c r="K21" s="503" t="e">
        <f t="shared" si="11"/>
        <v>#N/A</v>
      </c>
      <c r="N21" s="202" t="s">
        <v>288</v>
      </c>
      <c r="O21" s="503"/>
      <c r="P21" s="503" t="e">
        <f>IF(E9=0,0,MIN(ROUNDDOWN(E3-E7-E8-E9,0),ROUNDUP(E9+P19+E7+E8,0)))</f>
        <v>#N/A</v>
      </c>
      <c r="Q21" s="503"/>
      <c r="R21" s="503" t="e">
        <f>IF(G9=0,0,MIN(ROUNDDOWN(G3-G7-G8-G9,0),ROUNDUP(G9+R19+G7+G8,0)))</f>
        <v>#N/A</v>
      </c>
      <c r="S21" s="503"/>
      <c r="T21" s="503" t="e">
        <f>IF(I9=0,0,MIN(ROUNDDOWN(I3-I7-I8-I9,0),ROUNDUP(I9+T19+I7+I8,0)))</f>
        <v>#N/A</v>
      </c>
      <c r="U21" s="503"/>
      <c r="V21" s="503" t="e">
        <f>IF(K9=0,0,MIN(ROUNDDOWN(K3-K7-K8-K9,0),ROUNDUP(K9+V19+K7+K8,0)))</f>
        <v>#N/A</v>
      </c>
    </row>
    <row r="22" spans="1:32" x14ac:dyDescent="0.25">
      <c r="B22" s="200" t="s">
        <v>273</v>
      </c>
      <c r="D22" s="503" t="e">
        <f>D21</f>
        <v>#N/A</v>
      </c>
      <c r="E22" s="503" t="e">
        <f t="shared" ref="E22:K22" si="12">E21</f>
        <v>#N/A</v>
      </c>
      <c r="F22" s="503" t="e">
        <f t="shared" si="12"/>
        <v>#N/A</v>
      </c>
      <c r="G22" s="503" t="e">
        <f t="shared" si="12"/>
        <v>#N/A</v>
      </c>
      <c r="H22" s="503" t="e">
        <f t="shared" si="12"/>
        <v>#N/A</v>
      </c>
      <c r="I22" s="503" t="e">
        <f t="shared" si="12"/>
        <v>#N/A</v>
      </c>
      <c r="J22" s="503" t="e">
        <f t="shared" si="12"/>
        <v>#N/A</v>
      </c>
      <c r="K22" s="503" t="e">
        <f t="shared" si="12"/>
        <v>#N/A</v>
      </c>
      <c r="N22" s="366" t="s">
        <v>264</v>
      </c>
      <c r="O22" s="503"/>
      <c r="P22" s="503">
        <f>IF('Input sheet'!T2=1,5,0)</f>
        <v>5</v>
      </c>
      <c r="Q22" s="503"/>
      <c r="R22" s="503">
        <f>IF('Input sheet'!V2=1,5,0)</f>
        <v>5</v>
      </c>
      <c r="S22" s="503"/>
      <c r="T22" s="503">
        <f>IF('Input sheet'!U2=1,5,0)</f>
        <v>5</v>
      </c>
      <c r="U22" s="503"/>
      <c r="V22" s="503">
        <f>IF('Input sheet'!W2=1,5,0)</f>
        <v>5</v>
      </c>
    </row>
    <row r="23" spans="1:32" x14ac:dyDescent="0.25">
      <c r="B23" s="200" t="s">
        <v>274</v>
      </c>
      <c r="D23" s="503">
        <f>D19</f>
        <v>0</v>
      </c>
      <c r="E23" s="503" t="e">
        <f t="shared" ref="E23:K23" si="13">E19</f>
        <v>#N/A</v>
      </c>
      <c r="F23" s="503" t="e">
        <f t="shared" si="13"/>
        <v>#N/A</v>
      </c>
      <c r="G23" s="503" t="e">
        <f t="shared" si="13"/>
        <v>#N/A</v>
      </c>
      <c r="H23" s="503">
        <f t="shared" si="13"/>
        <v>0</v>
      </c>
      <c r="I23" s="503" t="e">
        <f t="shared" si="13"/>
        <v>#N/A</v>
      </c>
      <c r="J23" s="503" t="e">
        <f t="shared" si="13"/>
        <v>#N/A</v>
      </c>
      <c r="K23" s="503" t="e">
        <f t="shared" si="13"/>
        <v>#N/A</v>
      </c>
      <c r="N23" s="219" t="s">
        <v>304</v>
      </c>
      <c r="O23" s="503"/>
      <c r="P23" s="503">
        <f>IF(P6&lt;=25,3,3.5)</f>
        <v>3.5</v>
      </c>
      <c r="Q23" s="503"/>
      <c r="R23" s="503">
        <f>IF(R6&lt;=25,3,3.5)</f>
        <v>3.5</v>
      </c>
      <c r="S23" s="503"/>
      <c r="T23" s="503">
        <f>IF(T6&lt;=25,3,3.5)</f>
        <v>3.5</v>
      </c>
      <c r="U23" s="503"/>
      <c r="V23" s="503">
        <f>IF(V6&lt;=25,3,3.5)</f>
        <v>3.5</v>
      </c>
    </row>
    <row r="24" spans="1:32" x14ac:dyDescent="0.25">
      <c r="B24" s="200" t="s">
        <v>275</v>
      </c>
      <c r="D24" s="503" t="e">
        <f>D21</f>
        <v>#N/A</v>
      </c>
      <c r="E24" s="503" t="e">
        <f t="shared" ref="E24:K24" si="14">E21</f>
        <v>#N/A</v>
      </c>
      <c r="F24" s="503" t="e">
        <f t="shared" si="14"/>
        <v>#N/A</v>
      </c>
      <c r="G24" s="503" t="e">
        <f t="shared" si="14"/>
        <v>#N/A</v>
      </c>
      <c r="H24" s="503" t="e">
        <f t="shared" si="14"/>
        <v>#N/A</v>
      </c>
      <c r="I24" s="503" t="e">
        <f t="shared" si="14"/>
        <v>#N/A</v>
      </c>
      <c r="J24" s="503" t="e">
        <f t="shared" si="14"/>
        <v>#N/A</v>
      </c>
      <c r="K24" s="503" t="e">
        <f t="shared" si="14"/>
        <v>#N/A</v>
      </c>
      <c r="N24" s="209" t="s">
        <v>294</v>
      </c>
      <c r="O24" s="503"/>
      <c r="P24" s="503">
        <f>VLOOKUP(P6,DetZone!$G$4:$H$10,2,FALSE)</f>
        <v>70</v>
      </c>
      <c r="Q24" s="503"/>
      <c r="R24" s="503">
        <f>VLOOKUP(R6,DetZone!$G$4:$H$10,2,FALSE)</f>
        <v>70</v>
      </c>
      <c r="S24" s="503"/>
      <c r="T24" s="503">
        <f>VLOOKUP(T6,DetZone!$G$4:$H$10,2,FALSE)</f>
        <v>70</v>
      </c>
      <c r="U24" s="503"/>
      <c r="V24" s="503">
        <f>VLOOKUP(V6,DetZone!$G$4:$H$10,2,FALSE)</f>
        <v>70</v>
      </c>
    </row>
    <row r="25" spans="1:32" x14ac:dyDescent="0.25">
      <c r="B25" s="200" t="s">
        <v>276</v>
      </c>
      <c r="D25" s="503" t="e">
        <f>D24</f>
        <v>#N/A</v>
      </c>
      <c r="E25" s="503" t="e">
        <f t="shared" ref="E25:K25" si="15">E24</f>
        <v>#N/A</v>
      </c>
      <c r="F25" s="503" t="e">
        <f t="shared" si="15"/>
        <v>#N/A</v>
      </c>
      <c r="G25" s="503" t="e">
        <f t="shared" si="15"/>
        <v>#N/A</v>
      </c>
      <c r="H25" s="503" t="e">
        <f t="shared" si="15"/>
        <v>#N/A</v>
      </c>
      <c r="I25" s="503" t="e">
        <f t="shared" si="15"/>
        <v>#N/A</v>
      </c>
      <c r="J25" s="503" t="e">
        <f t="shared" si="15"/>
        <v>#N/A</v>
      </c>
      <c r="K25" s="503" t="e">
        <f t="shared" si="15"/>
        <v>#N/A</v>
      </c>
      <c r="N25" s="219" t="s">
        <v>311</v>
      </c>
      <c r="O25" s="503"/>
      <c r="P25" s="503">
        <f>MATCH(P24,DetZone!$B$18:$B$22,0)</f>
        <v>4</v>
      </c>
      <c r="Q25" s="503"/>
      <c r="R25" s="503">
        <f>MATCH(R24,DetZone!$B$18:$B$22,0)</f>
        <v>4</v>
      </c>
      <c r="S25" s="503"/>
      <c r="T25" s="503">
        <f>MATCH(T24,DetZone!$B$18:$B$22,0)</f>
        <v>4</v>
      </c>
      <c r="U25" s="503"/>
      <c r="V25" s="503">
        <f>MATCH(V24,DetZone!$B$18:$B$22,0)</f>
        <v>4</v>
      </c>
    </row>
    <row r="26" spans="1:32" x14ac:dyDescent="0.25">
      <c r="G26" s="65" t="s">
        <v>298</v>
      </c>
      <c r="K26" s="65" t="s">
        <v>299</v>
      </c>
      <c r="L26" s="211" t="s">
        <v>297</v>
      </c>
      <c r="N26" s="219" t="s">
        <v>312</v>
      </c>
      <c r="O26" s="503"/>
      <c r="P26" s="503">
        <f>MATCH(P6,DetZone!$C$17:$I$17,0)</f>
        <v>4</v>
      </c>
      <c r="Q26" s="503"/>
      <c r="R26" s="503">
        <f>MATCH(R6,DetZone!$C$17:$I$17,0)</f>
        <v>4</v>
      </c>
      <c r="S26" s="503"/>
      <c r="T26" s="503">
        <f>MATCH(T6,DetZone!$C$17:$I$17,0)</f>
        <v>4</v>
      </c>
      <c r="U26" s="503"/>
      <c r="V26" s="503">
        <f>MATCH(V6,DetZone!$C$17:$I$17,0)</f>
        <v>4</v>
      </c>
    </row>
    <row r="27" spans="1:32" s="209" customFormat="1" x14ac:dyDescent="0.25">
      <c r="G27" s="65">
        <f>MAX(D43+E43,H43+I43)</f>
        <v>5</v>
      </c>
      <c r="K27" s="65">
        <f>MAX(F43+G43,J43+K43)</f>
        <v>5</v>
      </c>
      <c r="L27" s="211">
        <f>G27+K27</f>
        <v>10</v>
      </c>
      <c r="N27" s="122" t="s">
        <v>257</v>
      </c>
      <c r="O27" s="122">
        <f>P27</f>
        <v>2.2999999999999998</v>
      </c>
      <c r="P27" s="122">
        <f>INDEX(DetZone!$C$18:$I$22,Phasing!P25,Phasing!P26)</f>
        <v>2.2999999999999998</v>
      </c>
      <c r="Q27" s="122">
        <f>R27</f>
        <v>2.2999999999999998</v>
      </c>
      <c r="R27" s="122">
        <f>INDEX(DetZone!$C$18:$I$22,Phasing!R25,Phasing!R26)</f>
        <v>2.2999999999999998</v>
      </c>
      <c r="S27" s="122">
        <f>T27</f>
        <v>2.2999999999999998</v>
      </c>
      <c r="T27" s="122">
        <f>INDEX(DetZone!$C$18:$I$22,Phasing!T25,Phasing!T26)</f>
        <v>2.2999999999999998</v>
      </c>
      <c r="U27" s="122">
        <f>V27</f>
        <v>2.2999999999999998</v>
      </c>
      <c r="V27" s="122">
        <f>INDEX(DetZone!$C$18:$I$22,Phasing!V25,Phasing!V26)</f>
        <v>2.2999999999999998</v>
      </c>
      <c r="AA27" s="361"/>
    </row>
    <row r="28" spans="1:32" x14ac:dyDescent="0.25">
      <c r="A28" s="537" t="s">
        <v>204</v>
      </c>
      <c r="B28" s="537"/>
      <c r="C28" s="537"/>
      <c r="N28" s="221" t="s">
        <v>314</v>
      </c>
      <c r="O28" s="221">
        <f>P28</f>
        <v>0.3</v>
      </c>
      <c r="P28" s="221">
        <f>INDEX(DetZone!$C$27:$I$31,Phasing!P25,Phasing!P26)</f>
        <v>0.3</v>
      </c>
      <c r="Q28" s="221">
        <f>R28</f>
        <v>0.3</v>
      </c>
      <c r="R28" s="221">
        <f>INDEX(DetZone!$C$27:$I$31,Phasing!R25,Phasing!R26)</f>
        <v>0.3</v>
      </c>
      <c r="S28" s="221">
        <f>T28</f>
        <v>0.3</v>
      </c>
      <c r="T28" s="221">
        <f>INDEX(DetZone!$C$27:$I$31,Phasing!T25,Phasing!T26)</f>
        <v>0.3</v>
      </c>
      <c r="U28" s="221">
        <f>V28</f>
        <v>0.3</v>
      </c>
      <c r="V28" s="221">
        <f>INDEX(DetZone!$C$27:$I$31,Phasing!V25,Phasing!V26)</f>
        <v>0.3</v>
      </c>
    </row>
    <row r="29" spans="1:32" x14ac:dyDescent="0.25">
      <c r="B29" s="246" t="s">
        <v>0</v>
      </c>
      <c r="C29" s="246" t="s">
        <v>1</v>
      </c>
      <c r="D29" s="246" t="s">
        <v>246</v>
      </c>
      <c r="E29" s="246" t="s">
        <v>247</v>
      </c>
      <c r="F29" s="246" t="s">
        <v>248</v>
      </c>
      <c r="G29" s="246" t="s">
        <v>249</v>
      </c>
      <c r="H29" s="246" t="s">
        <v>250</v>
      </c>
      <c r="I29" s="246" t="s">
        <v>251</v>
      </c>
      <c r="J29" s="246" t="s">
        <v>252</v>
      </c>
      <c r="K29" s="246" t="s">
        <v>253</v>
      </c>
      <c r="O29" s="494"/>
      <c r="P29" s="494"/>
      <c r="Q29" s="494"/>
      <c r="R29" s="494"/>
      <c r="S29" s="494"/>
      <c r="T29" s="494"/>
      <c r="U29" s="494"/>
      <c r="V29" s="494"/>
    </row>
    <row r="30" spans="1:32" x14ac:dyDescent="0.25">
      <c r="B30" s="200" t="s">
        <v>254</v>
      </c>
      <c r="C30" s="503" t="str">
        <f>Sheet1!B2</f>
        <v>0 &amp; 0</v>
      </c>
      <c r="D30" s="503" t="e">
        <f>IF(D3=0,0,D1)</f>
        <v>#N/A</v>
      </c>
      <c r="E30" s="503" t="e">
        <f t="shared" ref="E30:K30" si="16">IF(E3=0,0,E1)</f>
        <v>#N/A</v>
      </c>
      <c r="F30" s="503" t="e">
        <f t="shared" si="16"/>
        <v>#N/A</v>
      </c>
      <c r="G30" s="503" t="e">
        <f t="shared" si="16"/>
        <v>#N/A</v>
      </c>
      <c r="H30" s="503" t="e">
        <f t="shared" si="16"/>
        <v>#N/A</v>
      </c>
      <c r="I30" s="503" t="e">
        <f t="shared" si="16"/>
        <v>#N/A</v>
      </c>
      <c r="J30" s="503" t="e">
        <f t="shared" si="16"/>
        <v>#N/A</v>
      </c>
      <c r="K30" s="503" t="e">
        <f t="shared" si="16"/>
        <v>#N/A</v>
      </c>
      <c r="N30" s="65"/>
      <c r="O30" s="65"/>
      <c r="P30" s="65"/>
      <c r="Q30" s="65"/>
      <c r="R30" s="65"/>
      <c r="S30" s="65"/>
      <c r="T30" s="65"/>
      <c r="U30" s="65"/>
      <c r="V30" s="65"/>
    </row>
    <row r="31" spans="1:32" x14ac:dyDescent="0.25">
      <c r="B31" s="246" t="s">
        <v>255</v>
      </c>
      <c r="C31" s="246" t="str">
        <f>C30</f>
        <v>0 &amp; 0</v>
      </c>
      <c r="D31" s="246">
        <f>IF(D4="",0,D11)</f>
        <v>0</v>
      </c>
      <c r="E31" s="246">
        <f t="shared" ref="E31:K31" si="17">IF(E4="",0,E11)</f>
        <v>10</v>
      </c>
      <c r="F31" s="246">
        <f t="shared" si="17"/>
        <v>0</v>
      </c>
      <c r="G31" s="246">
        <f t="shared" si="17"/>
        <v>10</v>
      </c>
      <c r="H31" s="246">
        <f t="shared" si="17"/>
        <v>0</v>
      </c>
      <c r="I31" s="246">
        <f t="shared" si="17"/>
        <v>10</v>
      </c>
      <c r="J31" s="246">
        <f t="shared" si="17"/>
        <v>0</v>
      </c>
      <c r="K31" s="246">
        <f t="shared" si="17"/>
        <v>10</v>
      </c>
      <c r="W31" s="516" t="s">
        <v>456</v>
      </c>
      <c r="X31" s="516"/>
      <c r="Y31" s="516"/>
      <c r="Z31" s="516"/>
      <c r="AA31" s="516"/>
      <c r="AB31" s="516"/>
      <c r="AC31" s="516"/>
      <c r="AD31" s="516"/>
      <c r="AE31" s="516"/>
      <c r="AF31" s="516"/>
    </row>
    <row r="32" spans="1:32" x14ac:dyDescent="0.25">
      <c r="B32" s="200" t="s">
        <v>256</v>
      </c>
      <c r="C32" s="503" t="str">
        <f t="shared" ref="C32:C52" si="18">C31</f>
        <v>0 &amp; 0</v>
      </c>
      <c r="D32" s="503">
        <f>D12</f>
        <v>0</v>
      </c>
      <c r="E32" s="503">
        <f t="shared" ref="E32:K32" si="19">E12</f>
        <v>40</v>
      </c>
      <c r="F32" s="503">
        <f t="shared" si="19"/>
        <v>0</v>
      </c>
      <c r="G32" s="503">
        <f t="shared" si="19"/>
        <v>20</v>
      </c>
      <c r="H32" s="503">
        <f t="shared" si="19"/>
        <v>0</v>
      </c>
      <c r="I32" s="503">
        <f t="shared" si="19"/>
        <v>50</v>
      </c>
      <c r="J32" s="503">
        <f t="shared" si="19"/>
        <v>0</v>
      </c>
      <c r="K32" s="503">
        <f t="shared" si="19"/>
        <v>30</v>
      </c>
      <c r="W32" s="361" t="s">
        <v>124</v>
      </c>
      <c r="X32" s="361" t="s">
        <v>446</v>
      </c>
      <c r="Y32" s="361" t="s">
        <v>261</v>
      </c>
      <c r="Z32" s="361" t="s">
        <v>451</v>
      </c>
      <c r="AA32" s="361" t="s">
        <v>283</v>
      </c>
      <c r="AB32" s="361" t="s">
        <v>124</v>
      </c>
      <c r="AC32" s="361" t="s">
        <v>452</v>
      </c>
      <c r="AD32" s="361" t="s">
        <v>453</v>
      </c>
      <c r="AE32" s="361" t="s">
        <v>454</v>
      </c>
      <c r="AF32" s="361" t="s">
        <v>455</v>
      </c>
    </row>
    <row r="33" spans="2:32" x14ac:dyDescent="0.25">
      <c r="B33" s="246" t="s">
        <v>257</v>
      </c>
      <c r="C33" s="246" t="str">
        <f t="shared" si="18"/>
        <v>0 &amp; 0</v>
      </c>
      <c r="D33" s="246">
        <f>IF(D4="",0,D17)</f>
        <v>0</v>
      </c>
      <c r="E33" s="246">
        <f t="shared" ref="E33:K33" si="20">IF(E4="",0,E17)</f>
        <v>2.2999999999999998</v>
      </c>
      <c r="F33" s="246">
        <f t="shared" si="20"/>
        <v>0</v>
      </c>
      <c r="G33" s="246">
        <f t="shared" si="20"/>
        <v>2.2999999999999998</v>
      </c>
      <c r="H33" s="246">
        <f t="shared" si="20"/>
        <v>0</v>
      </c>
      <c r="I33" s="246">
        <f t="shared" si="20"/>
        <v>2.2999999999999998</v>
      </c>
      <c r="J33" s="246">
        <f t="shared" si="20"/>
        <v>0</v>
      </c>
      <c r="K33" s="246">
        <f t="shared" si="20"/>
        <v>2.2999999999999998</v>
      </c>
      <c r="W33" s="200">
        <v>8</v>
      </c>
      <c r="X33" s="290" t="e">
        <f>K58</f>
        <v>#N/A</v>
      </c>
      <c r="Y33" s="360">
        <f>K56</f>
        <v>0</v>
      </c>
      <c r="Z33" s="362" t="e">
        <f>K59</f>
        <v>#N/A</v>
      </c>
      <c r="AA33" s="65">
        <f>K57</f>
        <v>0</v>
      </c>
      <c r="AB33" s="361">
        <v>8</v>
      </c>
      <c r="AC33" s="200" t="e">
        <f>K62</f>
        <v>#N/A</v>
      </c>
      <c r="AD33" s="200" t="e">
        <f>X33</f>
        <v>#N/A</v>
      </c>
      <c r="AE33" s="200">
        <f>Y33</f>
        <v>0</v>
      </c>
      <c r="AF33" s="367" t="e">
        <f>$C$62-AE33-AD33-AC33</f>
        <v>#N/A</v>
      </c>
    </row>
    <row r="34" spans="2:32" x14ac:dyDescent="0.25">
      <c r="B34" s="200" t="s">
        <v>258</v>
      </c>
      <c r="C34" s="503" t="str">
        <f t="shared" si="18"/>
        <v>0 &amp; 0</v>
      </c>
      <c r="D34" s="503" t="e">
        <f>D14</f>
        <v>#N/A</v>
      </c>
      <c r="E34" s="503" t="e">
        <f t="shared" ref="E34:K35" si="21">E14</f>
        <v>#N/A</v>
      </c>
      <c r="F34" s="503" t="e">
        <f t="shared" si="21"/>
        <v>#N/A</v>
      </c>
      <c r="G34" s="503" t="e">
        <f t="shared" si="21"/>
        <v>#N/A</v>
      </c>
      <c r="H34" s="503" t="e">
        <f t="shared" si="21"/>
        <v>#N/A</v>
      </c>
      <c r="I34" s="503" t="e">
        <f t="shared" si="21"/>
        <v>#N/A</v>
      </c>
      <c r="J34" s="503" t="e">
        <f t="shared" si="21"/>
        <v>#N/A</v>
      </c>
      <c r="K34" s="503" t="e">
        <f t="shared" si="21"/>
        <v>#N/A</v>
      </c>
      <c r="W34" s="200">
        <v>7</v>
      </c>
      <c r="X34" s="290" t="e">
        <f>J58</f>
        <v>#N/A</v>
      </c>
      <c r="Y34" s="360">
        <f>J56</f>
        <v>0</v>
      </c>
      <c r="Z34" s="362" t="e">
        <f>J59</f>
        <v>#N/A</v>
      </c>
      <c r="AA34" s="65">
        <f>J57</f>
        <v>0</v>
      </c>
      <c r="AB34" s="361">
        <v>7</v>
      </c>
      <c r="AC34" s="200" t="e">
        <f>J62</f>
        <v>#N/A</v>
      </c>
      <c r="AD34" s="361" t="e">
        <f t="shared" ref="AD34:AD40" si="22">X34</f>
        <v>#N/A</v>
      </c>
      <c r="AE34" s="361">
        <f t="shared" ref="AE34:AE40" si="23">Y34</f>
        <v>0</v>
      </c>
      <c r="AF34" s="367" t="e">
        <f t="shared" ref="AF34:AF40" si="24">$C$62-AE34-AD34-AC34</f>
        <v>#N/A</v>
      </c>
    </row>
    <row r="35" spans="2:32" x14ac:dyDescent="0.25">
      <c r="B35" s="246" t="s">
        <v>259</v>
      </c>
      <c r="C35" s="246" t="str">
        <f t="shared" si="18"/>
        <v>0 &amp; 0</v>
      </c>
      <c r="D35" s="246" t="e">
        <f>D15</f>
        <v>#N/A</v>
      </c>
      <c r="E35" s="246" t="e">
        <f t="shared" si="21"/>
        <v>#N/A</v>
      </c>
      <c r="F35" s="246" t="e">
        <f t="shared" si="21"/>
        <v>#N/A</v>
      </c>
      <c r="G35" s="246" t="e">
        <f t="shared" si="21"/>
        <v>#N/A</v>
      </c>
      <c r="H35" s="246" t="e">
        <f t="shared" si="21"/>
        <v>#N/A</v>
      </c>
      <c r="I35" s="246" t="e">
        <f t="shared" si="21"/>
        <v>#N/A</v>
      </c>
      <c r="J35" s="246" t="e">
        <f t="shared" si="21"/>
        <v>#N/A</v>
      </c>
      <c r="K35" s="246" t="e">
        <f t="shared" si="21"/>
        <v>#N/A</v>
      </c>
      <c r="W35" s="200">
        <v>6</v>
      </c>
      <c r="X35" s="290" t="e">
        <f>I58</f>
        <v>#N/A</v>
      </c>
      <c r="Y35" s="360">
        <f>I56</f>
        <v>0</v>
      </c>
      <c r="Z35" s="362" t="e">
        <f>I59</f>
        <v>#N/A</v>
      </c>
      <c r="AA35" s="65">
        <f>I57</f>
        <v>0</v>
      </c>
      <c r="AB35" s="361">
        <v>6</v>
      </c>
      <c r="AC35" s="200" t="e">
        <f>I62</f>
        <v>#N/A</v>
      </c>
      <c r="AD35" s="361" t="e">
        <f t="shared" si="22"/>
        <v>#N/A</v>
      </c>
      <c r="AE35" s="361">
        <f t="shared" si="23"/>
        <v>0</v>
      </c>
      <c r="AF35" s="367" t="e">
        <f t="shared" si="24"/>
        <v>#N/A</v>
      </c>
    </row>
    <row r="36" spans="2:32" x14ac:dyDescent="0.25">
      <c r="B36" s="200" t="s">
        <v>260</v>
      </c>
      <c r="C36" s="503" t="str">
        <f t="shared" si="18"/>
        <v>0 &amp; 0</v>
      </c>
      <c r="D36" s="503">
        <f>IF(D4="",0,D16)</f>
        <v>0</v>
      </c>
      <c r="E36" s="503">
        <f t="shared" ref="E36:K36" si="25">IF(E4="",0,E16)</f>
        <v>0.3</v>
      </c>
      <c r="F36" s="503">
        <f t="shared" si="25"/>
        <v>0</v>
      </c>
      <c r="G36" s="503">
        <f t="shared" si="25"/>
        <v>0.3</v>
      </c>
      <c r="H36" s="503">
        <f t="shared" si="25"/>
        <v>0</v>
      </c>
      <c r="I36" s="503">
        <f t="shared" si="25"/>
        <v>0.3</v>
      </c>
      <c r="J36" s="503">
        <f t="shared" si="25"/>
        <v>0</v>
      </c>
      <c r="K36" s="503">
        <f t="shared" si="25"/>
        <v>0.3</v>
      </c>
      <c r="W36" s="200">
        <v>5</v>
      </c>
      <c r="X36" s="290" t="e">
        <f>H58</f>
        <v>#N/A</v>
      </c>
      <c r="Y36" s="360">
        <f>H56</f>
        <v>0</v>
      </c>
      <c r="Z36" s="362" t="e">
        <f>H59</f>
        <v>#N/A</v>
      </c>
      <c r="AA36" s="65">
        <f>H57</f>
        <v>0</v>
      </c>
      <c r="AB36" s="361">
        <v>5</v>
      </c>
      <c r="AC36" s="200">
        <f>H62</f>
        <v>0</v>
      </c>
      <c r="AD36" s="361" t="e">
        <f t="shared" si="22"/>
        <v>#N/A</v>
      </c>
      <c r="AE36" s="361">
        <f t="shared" si="23"/>
        <v>0</v>
      </c>
      <c r="AF36" s="367" t="e">
        <f t="shared" si="24"/>
        <v>#N/A</v>
      </c>
    </row>
    <row r="37" spans="2:32" x14ac:dyDescent="0.25">
      <c r="B37" s="246" t="s">
        <v>261</v>
      </c>
      <c r="C37" s="246" t="str">
        <f t="shared" si="18"/>
        <v>0 &amp; 0</v>
      </c>
      <c r="D37" s="246">
        <f>D7</f>
        <v>0</v>
      </c>
      <c r="E37" s="246">
        <f t="shared" ref="E37:K38" si="26">E7</f>
        <v>0</v>
      </c>
      <c r="F37" s="246">
        <f t="shared" si="26"/>
        <v>0</v>
      </c>
      <c r="G37" s="246">
        <f t="shared" si="26"/>
        <v>0</v>
      </c>
      <c r="H37" s="246">
        <f t="shared" si="26"/>
        <v>0</v>
      </c>
      <c r="I37" s="246">
        <f t="shared" si="26"/>
        <v>0</v>
      </c>
      <c r="J37" s="246">
        <f t="shared" si="26"/>
        <v>0</v>
      </c>
      <c r="K37" s="246">
        <f t="shared" si="26"/>
        <v>0</v>
      </c>
      <c r="W37" s="200">
        <v>4</v>
      </c>
      <c r="X37" s="290" t="e">
        <f>G58</f>
        <v>#N/A</v>
      </c>
      <c r="Y37" s="360">
        <f>G56</f>
        <v>0</v>
      </c>
      <c r="Z37" s="362" t="e">
        <f>G59</f>
        <v>#N/A</v>
      </c>
      <c r="AA37" s="65">
        <f>G57</f>
        <v>0</v>
      </c>
      <c r="AB37" s="361">
        <v>4</v>
      </c>
      <c r="AC37" s="200" t="e">
        <f>G62</f>
        <v>#N/A</v>
      </c>
      <c r="AD37" s="361" t="e">
        <f t="shared" si="22"/>
        <v>#N/A</v>
      </c>
      <c r="AE37" s="361">
        <f t="shared" si="23"/>
        <v>0</v>
      </c>
      <c r="AF37" s="367" t="e">
        <f t="shared" si="24"/>
        <v>#N/A</v>
      </c>
    </row>
    <row r="38" spans="2:32" x14ac:dyDescent="0.25">
      <c r="B38" s="200" t="s">
        <v>262</v>
      </c>
      <c r="C38" s="503" t="str">
        <f t="shared" si="18"/>
        <v>0 &amp; 0</v>
      </c>
      <c r="D38" s="503">
        <f>D8</f>
        <v>0</v>
      </c>
      <c r="E38" s="503">
        <f t="shared" si="26"/>
        <v>0</v>
      </c>
      <c r="F38" s="503">
        <f t="shared" si="26"/>
        <v>0</v>
      </c>
      <c r="G38" s="503">
        <f t="shared" si="26"/>
        <v>0</v>
      </c>
      <c r="H38" s="503">
        <f t="shared" si="26"/>
        <v>0</v>
      </c>
      <c r="I38" s="503">
        <f t="shared" si="26"/>
        <v>0</v>
      </c>
      <c r="J38" s="503">
        <f t="shared" si="26"/>
        <v>0</v>
      </c>
      <c r="K38" s="503">
        <f t="shared" si="26"/>
        <v>0</v>
      </c>
      <c r="W38" s="200">
        <v>3</v>
      </c>
      <c r="X38" s="290" t="e">
        <f>F58</f>
        <v>#N/A</v>
      </c>
      <c r="Y38" s="360">
        <f>F56</f>
        <v>0</v>
      </c>
      <c r="Z38" s="362" t="e">
        <f>F59</f>
        <v>#N/A</v>
      </c>
      <c r="AA38" s="65">
        <f>F57</f>
        <v>0</v>
      </c>
      <c r="AB38" s="361">
        <v>3</v>
      </c>
      <c r="AC38" s="200" t="e">
        <f>F62</f>
        <v>#N/A</v>
      </c>
      <c r="AD38" s="361" t="e">
        <f t="shared" si="22"/>
        <v>#N/A</v>
      </c>
      <c r="AE38" s="361">
        <f t="shared" si="23"/>
        <v>0</v>
      </c>
      <c r="AF38" s="367" t="e">
        <f t="shared" si="24"/>
        <v>#N/A</v>
      </c>
    </row>
    <row r="39" spans="2:32" x14ac:dyDescent="0.25">
      <c r="B39" s="246" t="s">
        <v>263</v>
      </c>
      <c r="C39" s="246" t="str">
        <f t="shared" si="18"/>
        <v>0 &amp; 0</v>
      </c>
      <c r="D39" s="246">
        <v>0</v>
      </c>
      <c r="E39" s="246">
        <f>IF(E9=0,0,1)</f>
        <v>1</v>
      </c>
      <c r="F39" s="246">
        <v>0</v>
      </c>
      <c r="G39" s="246">
        <f>IF(G9=0,0,1)</f>
        <v>1</v>
      </c>
      <c r="H39" s="246">
        <v>0</v>
      </c>
      <c r="I39" s="246">
        <f>IF(I9=0,0,1)</f>
        <v>1</v>
      </c>
      <c r="J39" s="246">
        <v>0</v>
      </c>
      <c r="K39" s="246">
        <f>IF(K9=0,0,1)</f>
        <v>1</v>
      </c>
      <c r="W39" s="200">
        <v>2</v>
      </c>
      <c r="X39" s="290" t="e">
        <f>E58</f>
        <v>#N/A</v>
      </c>
      <c r="Y39" s="360">
        <f>E56</f>
        <v>0</v>
      </c>
      <c r="Z39" s="362" t="e">
        <f>E59</f>
        <v>#N/A</v>
      </c>
      <c r="AA39" s="65">
        <f>E57</f>
        <v>0</v>
      </c>
      <c r="AB39" s="361">
        <v>2</v>
      </c>
      <c r="AC39" s="200" t="e">
        <f>E62</f>
        <v>#N/A</v>
      </c>
      <c r="AD39" s="361" t="e">
        <f t="shared" si="22"/>
        <v>#N/A</v>
      </c>
      <c r="AE39" s="361">
        <f t="shared" si="23"/>
        <v>0</v>
      </c>
      <c r="AF39" s="367" t="e">
        <f t="shared" si="24"/>
        <v>#N/A</v>
      </c>
    </row>
    <row r="40" spans="2:32" x14ac:dyDescent="0.25">
      <c r="B40" s="200" t="s">
        <v>264</v>
      </c>
      <c r="C40" s="503" t="str">
        <f t="shared" si="18"/>
        <v>0 &amp; 0</v>
      </c>
      <c r="D40" s="503"/>
      <c r="E40" s="503">
        <f>E9</f>
        <v>5</v>
      </c>
      <c r="F40" s="503"/>
      <c r="G40" s="503">
        <f>G9</f>
        <v>5</v>
      </c>
      <c r="H40" s="503"/>
      <c r="I40" s="503">
        <f>I9</f>
        <v>5</v>
      </c>
      <c r="J40" s="503"/>
      <c r="K40" s="503">
        <f>K9</f>
        <v>5</v>
      </c>
      <c r="W40" s="200">
        <v>1</v>
      </c>
      <c r="X40" s="290" t="e">
        <f>D58</f>
        <v>#N/A</v>
      </c>
      <c r="Y40" s="360">
        <f>D56</f>
        <v>0</v>
      </c>
      <c r="Z40" s="362" t="e">
        <f>D59</f>
        <v>#N/A</v>
      </c>
      <c r="AA40" s="65">
        <f>D57</f>
        <v>0</v>
      </c>
      <c r="AB40" s="361">
        <v>1</v>
      </c>
      <c r="AC40" s="200">
        <f>D62</f>
        <v>0</v>
      </c>
      <c r="AD40" s="361" t="e">
        <f t="shared" si="22"/>
        <v>#N/A</v>
      </c>
      <c r="AE40" s="361">
        <f t="shared" si="23"/>
        <v>0</v>
      </c>
      <c r="AF40" s="367" t="e">
        <f t="shared" si="24"/>
        <v>#N/A</v>
      </c>
    </row>
    <row r="41" spans="2:32" x14ac:dyDescent="0.25">
      <c r="B41" s="246" t="s">
        <v>265</v>
      </c>
      <c r="C41" s="246" t="str">
        <f t="shared" si="18"/>
        <v>0 &amp; 0</v>
      </c>
      <c r="D41" s="246"/>
      <c r="E41" s="246">
        <f>E10</f>
        <v>0</v>
      </c>
      <c r="F41" s="246"/>
      <c r="G41" s="246">
        <f>G10</f>
        <v>0</v>
      </c>
      <c r="H41" s="246"/>
      <c r="I41" s="246">
        <f>I10</f>
        <v>0</v>
      </c>
      <c r="J41" s="246"/>
      <c r="K41" s="246">
        <f>K10</f>
        <v>0</v>
      </c>
    </row>
    <row r="42" spans="2:32" x14ac:dyDescent="0.25">
      <c r="B42" s="200" t="s">
        <v>266</v>
      </c>
      <c r="C42" s="503" t="str">
        <f t="shared" si="18"/>
        <v>0 &amp; 0</v>
      </c>
      <c r="D42" s="503"/>
      <c r="E42" s="503">
        <f>IF(E40=0,0,1)</f>
        <v>1</v>
      </c>
      <c r="F42" s="503"/>
      <c r="G42" s="503">
        <f>IF(G40=0,0,1)</f>
        <v>1</v>
      </c>
      <c r="H42" s="503"/>
      <c r="I42" s="503">
        <f>IF(I40=0,0,1)</f>
        <v>1</v>
      </c>
      <c r="J42" s="503"/>
      <c r="K42" s="503">
        <f>IF(K40=0,0,1)</f>
        <v>1</v>
      </c>
      <c r="AD42" s="361"/>
      <c r="AE42" s="361"/>
      <c r="AF42" s="367"/>
    </row>
    <row r="43" spans="2:32" x14ac:dyDescent="0.25">
      <c r="B43" s="246" t="s">
        <v>267</v>
      </c>
      <c r="C43" s="246" t="str">
        <f t="shared" si="18"/>
        <v>0 &amp; 0</v>
      </c>
      <c r="D43" s="246">
        <f>IF(D4="",0,D18)</f>
        <v>0</v>
      </c>
      <c r="E43" s="246">
        <f t="shared" ref="E43:K43" si="27">IF(E4="",0,E18)</f>
        <v>5</v>
      </c>
      <c r="F43" s="246">
        <f t="shared" si="27"/>
        <v>0</v>
      </c>
      <c r="G43" s="246">
        <f t="shared" si="27"/>
        <v>5</v>
      </c>
      <c r="H43" s="246">
        <f t="shared" si="27"/>
        <v>0</v>
      </c>
      <c r="I43" s="246">
        <f t="shared" si="27"/>
        <v>5</v>
      </c>
      <c r="J43" s="246">
        <f t="shared" si="27"/>
        <v>0</v>
      </c>
      <c r="K43" s="246">
        <f t="shared" si="27"/>
        <v>5</v>
      </c>
      <c r="AD43" s="361"/>
      <c r="AE43" s="361"/>
      <c r="AF43" s="367"/>
    </row>
    <row r="44" spans="2:32" x14ac:dyDescent="0.25">
      <c r="B44" s="200" t="s">
        <v>268</v>
      </c>
      <c r="C44" s="503" t="str">
        <f t="shared" si="18"/>
        <v>0 &amp; 0</v>
      </c>
      <c r="D44" s="503">
        <v>0</v>
      </c>
      <c r="E44" s="503" t="e">
        <f>IF(E3=0,0,1)</f>
        <v>#N/A</v>
      </c>
      <c r="F44" s="503">
        <v>0</v>
      </c>
      <c r="G44" s="503" t="e">
        <f>IF(G3=0,0,1)</f>
        <v>#N/A</v>
      </c>
      <c r="H44" s="503">
        <v>0</v>
      </c>
      <c r="I44" s="503" t="e">
        <f>IF(I3=0,0,1)</f>
        <v>#N/A</v>
      </c>
      <c r="J44" s="503">
        <v>0</v>
      </c>
      <c r="K44" s="503" t="e">
        <f>IF(K3=0,0,1)</f>
        <v>#N/A</v>
      </c>
      <c r="AD44" s="361"/>
      <c r="AE44" s="361"/>
      <c r="AF44" s="367"/>
    </row>
    <row r="45" spans="2:32" x14ac:dyDescent="0.25">
      <c r="B45" s="246" t="s">
        <v>269</v>
      </c>
      <c r="C45" s="246" t="str">
        <f t="shared" si="18"/>
        <v>0 &amp; 0</v>
      </c>
      <c r="D45" s="246" t="e">
        <f>IF(D3=0,0,1)</f>
        <v>#N/A</v>
      </c>
      <c r="E45" s="246" t="e">
        <f t="shared" ref="E45:K45" si="28">IF(E3=0,0,1)</f>
        <v>#N/A</v>
      </c>
      <c r="F45" s="246" t="e">
        <f t="shared" si="28"/>
        <v>#N/A</v>
      </c>
      <c r="G45" s="246" t="e">
        <f t="shared" si="28"/>
        <v>#N/A</v>
      </c>
      <c r="H45" s="246" t="e">
        <f t="shared" si="28"/>
        <v>#N/A</v>
      </c>
      <c r="I45" s="246" t="e">
        <f t="shared" si="28"/>
        <v>#N/A</v>
      </c>
      <c r="J45" s="246" t="e">
        <f t="shared" si="28"/>
        <v>#N/A</v>
      </c>
      <c r="K45" s="246" t="e">
        <f t="shared" si="28"/>
        <v>#N/A</v>
      </c>
      <c r="AD45" s="361"/>
      <c r="AE45" s="361"/>
      <c r="AF45" s="367"/>
    </row>
    <row r="46" spans="2:32" x14ac:dyDescent="0.25">
      <c r="B46" s="200" t="s">
        <v>270</v>
      </c>
      <c r="C46" s="503" t="str">
        <f t="shared" si="18"/>
        <v>0 &amp; 0</v>
      </c>
      <c r="D46" s="503">
        <f>IF(D4="",0,D19)</f>
        <v>0</v>
      </c>
      <c r="E46" s="503" t="e">
        <f t="shared" ref="E46:K46" si="29">IF(E4="",0,E19)</f>
        <v>#N/A</v>
      </c>
      <c r="F46" s="503">
        <f t="shared" si="29"/>
        <v>0</v>
      </c>
      <c r="G46" s="503" t="e">
        <f t="shared" si="29"/>
        <v>#N/A</v>
      </c>
      <c r="H46" s="503">
        <f t="shared" si="29"/>
        <v>0</v>
      </c>
      <c r="I46" s="503" t="e">
        <f t="shared" si="29"/>
        <v>#N/A</v>
      </c>
      <c r="J46" s="503">
        <f t="shared" si="29"/>
        <v>0</v>
      </c>
      <c r="K46" s="503" t="e">
        <f t="shared" si="29"/>
        <v>#N/A</v>
      </c>
      <c r="AD46" s="361"/>
      <c r="AE46" s="361"/>
      <c r="AF46" s="367"/>
    </row>
    <row r="47" spans="2:32" x14ac:dyDescent="0.25">
      <c r="B47" s="246" t="s">
        <v>271</v>
      </c>
      <c r="C47" s="246" t="str">
        <f t="shared" si="18"/>
        <v>0 &amp; 0</v>
      </c>
      <c r="D47" s="246">
        <f>IF(D4="",0,D20)</f>
        <v>0</v>
      </c>
      <c r="E47" s="246" t="e">
        <f t="shared" ref="E47:K47" si="30">IF(E4="",0,E20)</f>
        <v>#N/A</v>
      </c>
      <c r="F47" s="246">
        <f t="shared" si="30"/>
        <v>0</v>
      </c>
      <c r="G47" s="246" t="e">
        <f t="shared" si="30"/>
        <v>#N/A</v>
      </c>
      <c r="H47" s="246">
        <f t="shared" si="30"/>
        <v>0</v>
      </c>
      <c r="I47" s="246" t="e">
        <f t="shared" si="30"/>
        <v>#N/A</v>
      </c>
      <c r="J47" s="246">
        <f t="shared" si="30"/>
        <v>0</v>
      </c>
      <c r="K47" s="246" t="e">
        <f t="shared" si="30"/>
        <v>#N/A</v>
      </c>
      <c r="AD47" s="361"/>
      <c r="AE47" s="361"/>
      <c r="AF47" s="367"/>
    </row>
    <row r="48" spans="2:32" x14ac:dyDescent="0.25">
      <c r="B48" s="200" t="s">
        <v>272</v>
      </c>
      <c r="C48" s="503" t="str">
        <f t="shared" si="18"/>
        <v>0 &amp; 0</v>
      </c>
      <c r="D48" s="503">
        <f>IF(D4="",0,D21)</f>
        <v>0</v>
      </c>
      <c r="E48" s="503" t="e">
        <f t="shared" ref="E48:K48" si="31">IF(E4="",0,E21)</f>
        <v>#N/A</v>
      </c>
      <c r="F48" s="503">
        <f t="shared" si="31"/>
        <v>0</v>
      </c>
      <c r="G48" s="503" t="e">
        <f t="shared" si="31"/>
        <v>#N/A</v>
      </c>
      <c r="H48" s="503">
        <f t="shared" si="31"/>
        <v>0</v>
      </c>
      <c r="I48" s="503" t="e">
        <f t="shared" si="31"/>
        <v>#N/A</v>
      </c>
      <c r="J48" s="503">
        <f t="shared" si="31"/>
        <v>0</v>
      </c>
      <c r="K48" s="503" t="e">
        <f t="shared" si="31"/>
        <v>#N/A</v>
      </c>
      <c r="AD48" s="361"/>
      <c r="AE48" s="361"/>
      <c r="AF48" s="367"/>
    </row>
    <row r="49" spans="2:32" x14ac:dyDescent="0.25">
      <c r="B49" s="246" t="s">
        <v>273</v>
      </c>
      <c r="C49" s="246" t="str">
        <f t="shared" si="18"/>
        <v>0 &amp; 0</v>
      </c>
      <c r="D49" s="246">
        <f>IF(D4="",0,D22)</f>
        <v>0</v>
      </c>
      <c r="E49" s="246" t="e">
        <f t="shared" ref="E49:K49" si="32">IF(E4="",0,E22)</f>
        <v>#N/A</v>
      </c>
      <c r="F49" s="246">
        <f t="shared" si="32"/>
        <v>0</v>
      </c>
      <c r="G49" s="246" t="e">
        <f t="shared" si="32"/>
        <v>#N/A</v>
      </c>
      <c r="H49" s="246">
        <f t="shared" si="32"/>
        <v>0</v>
      </c>
      <c r="I49" s="246" t="e">
        <f t="shared" si="32"/>
        <v>#N/A</v>
      </c>
      <c r="J49" s="246">
        <f t="shared" si="32"/>
        <v>0</v>
      </c>
      <c r="K49" s="246" t="e">
        <f t="shared" si="32"/>
        <v>#N/A</v>
      </c>
      <c r="AD49" s="361"/>
      <c r="AE49" s="361"/>
      <c r="AF49" s="367"/>
    </row>
    <row r="50" spans="2:32" x14ac:dyDescent="0.25">
      <c r="B50" s="200" t="s">
        <v>274</v>
      </c>
      <c r="C50" s="503" t="str">
        <f t="shared" si="18"/>
        <v>0 &amp; 0</v>
      </c>
      <c r="D50" s="503">
        <f>IF(D4="",0,D23)</f>
        <v>0</v>
      </c>
      <c r="E50" s="503" t="e">
        <f t="shared" ref="E50:K50" si="33">IF(E4="",0,E23)</f>
        <v>#N/A</v>
      </c>
      <c r="F50" s="503">
        <f t="shared" si="33"/>
        <v>0</v>
      </c>
      <c r="G50" s="503" t="e">
        <f t="shared" si="33"/>
        <v>#N/A</v>
      </c>
      <c r="H50" s="503">
        <f t="shared" si="33"/>
        <v>0</v>
      </c>
      <c r="I50" s="503" t="e">
        <f t="shared" si="33"/>
        <v>#N/A</v>
      </c>
      <c r="J50" s="503">
        <f t="shared" si="33"/>
        <v>0</v>
      </c>
      <c r="K50" s="503" t="e">
        <f t="shared" si="33"/>
        <v>#N/A</v>
      </c>
    </row>
    <row r="51" spans="2:32" x14ac:dyDescent="0.25">
      <c r="B51" s="246" t="s">
        <v>275</v>
      </c>
      <c r="C51" s="246" t="str">
        <f t="shared" si="18"/>
        <v>0 &amp; 0</v>
      </c>
      <c r="D51" s="246">
        <f>IF(D4="",0,D24)</f>
        <v>0</v>
      </c>
      <c r="E51" s="246" t="e">
        <f t="shared" ref="E51:K51" si="34">IF(E4="",0,E24)</f>
        <v>#N/A</v>
      </c>
      <c r="F51" s="246">
        <f t="shared" si="34"/>
        <v>0</v>
      </c>
      <c r="G51" s="246" t="e">
        <f t="shared" si="34"/>
        <v>#N/A</v>
      </c>
      <c r="H51" s="246">
        <f t="shared" si="34"/>
        <v>0</v>
      </c>
      <c r="I51" s="246" t="e">
        <f t="shared" si="34"/>
        <v>#N/A</v>
      </c>
      <c r="J51" s="246">
        <f t="shared" si="34"/>
        <v>0</v>
      </c>
      <c r="K51" s="246" t="e">
        <f t="shared" si="34"/>
        <v>#N/A</v>
      </c>
    </row>
    <row r="52" spans="2:32" x14ac:dyDescent="0.25">
      <c r="B52" s="200" t="s">
        <v>276</v>
      </c>
      <c r="C52" s="503" t="str">
        <f t="shared" si="18"/>
        <v>0 &amp; 0</v>
      </c>
      <c r="D52" s="503">
        <f>IF(D4="",0,D25)</f>
        <v>0</v>
      </c>
      <c r="E52" s="503" t="e">
        <f t="shared" ref="E52:K52" si="35">IF(E4="",0,E25)</f>
        <v>#N/A</v>
      </c>
      <c r="F52" s="503">
        <f t="shared" si="35"/>
        <v>0</v>
      </c>
      <c r="G52" s="503" t="e">
        <f t="shared" si="35"/>
        <v>#N/A</v>
      </c>
      <c r="H52" s="503">
        <f t="shared" si="35"/>
        <v>0</v>
      </c>
      <c r="I52" s="503" t="e">
        <f t="shared" si="35"/>
        <v>#N/A</v>
      </c>
      <c r="J52" s="503">
        <f t="shared" si="35"/>
        <v>0</v>
      </c>
      <c r="K52" s="503" t="e">
        <f t="shared" si="35"/>
        <v>#N/A</v>
      </c>
    </row>
    <row r="53" spans="2:32" x14ac:dyDescent="0.25">
      <c r="B53" s="246" t="s">
        <v>567</v>
      </c>
      <c r="C53" s="246">
        <f>UTDF_input!B123</f>
        <v>0</v>
      </c>
      <c r="D53" s="246">
        <f>UTDF_input!C123</f>
        <v>0</v>
      </c>
      <c r="E53" s="246">
        <f>UTDF_input!D123</f>
        <v>0</v>
      </c>
      <c r="F53" s="246">
        <f>UTDF_input!E123</f>
        <v>0</v>
      </c>
      <c r="G53" s="246">
        <f>UTDF_input!F123</f>
        <v>0</v>
      </c>
      <c r="H53" s="246">
        <f>UTDF_input!G123</f>
        <v>0</v>
      </c>
      <c r="I53" s="246">
        <f>UTDF_input!H123</f>
        <v>0</v>
      </c>
      <c r="J53" s="246">
        <f>UTDF_input!I123</f>
        <v>0</v>
      </c>
      <c r="K53" s="246">
        <f>UTDF_input!J123</f>
        <v>0</v>
      </c>
    </row>
    <row r="54" spans="2:32" x14ac:dyDescent="0.25">
      <c r="D54" s="200">
        <v>1</v>
      </c>
      <c r="E54" s="200">
        <v>2</v>
      </c>
      <c r="F54" s="200">
        <v>3</v>
      </c>
      <c r="G54" s="200">
        <v>4</v>
      </c>
      <c r="H54" s="200">
        <v>5</v>
      </c>
      <c r="I54" s="200">
        <v>6</v>
      </c>
      <c r="J54" s="200">
        <v>7</v>
      </c>
      <c r="K54" s="200">
        <v>8</v>
      </c>
    </row>
    <row r="55" spans="2:32" x14ac:dyDescent="0.25">
      <c r="B55" s="246" t="s">
        <v>316</v>
      </c>
      <c r="C55" s="246"/>
      <c r="D55" s="246" t="e">
        <f>D3</f>
        <v>#N/A</v>
      </c>
      <c r="E55" s="246" t="e">
        <f t="shared" ref="E55:K55" si="36">E3</f>
        <v>#N/A</v>
      </c>
      <c r="F55" s="246" t="e">
        <f t="shared" si="36"/>
        <v>#N/A</v>
      </c>
      <c r="G55" s="246" t="e">
        <f t="shared" si="36"/>
        <v>#N/A</v>
      </c>
      <c r="H55" s="246" t="e">
        <f t="shared" si="36"/>
        <v>#N/A</v>
      </c>
      <c r="I55" s="246" t="e">
        <f t="shared" si="36"/>
        <v>#N/A</v>
      </c>
      <c r="J55" s="246" t="e">
        <f t="shared" si="36"/>
        <v>#N/A</v>
      </c>
      <c r="K55" s="246" t="e">
        <f t="shared" si="36"/>
        <v>#N/A</v>
      </c>
    </row>
    <row r="56" spans="2:32" x14ac:dyDescent="0.25">
      <c r="B56" s="358" t="s">
        <v>261</v>
      </c>
      <c r="D56" s="360">
        <f>D7</f>
        <v>0</v>
      </c>
      <c r="E56" s="360">
        <f t="shared" ref="E56:K56" si="37">E7</f>
        <v>0</v>
      </c>
      <c r="F56" s="360">
        <f t="shared" si="37"/>
        <v>0</v>
      </c>
      <c r="G56" s="360">
        <f t="shared" si="37"/>
        <v>0</v>
      </c>
      <c r="H56" s="360">
        <f t="shared" si="37"/>
        <v>0</v>
      </c>
      <c r="I56" s="360">
        <f t="shared" si="37"/>
        <v>0</v>
      </c>
      <c r="J56" s="360">
        <f t="shared" si="37"/>
        <v>0</v>
      </c>
      <c r="K56" s="360">
        <f t="shared" si="37"/>
        <v>0</v>
      </c>
    </row>
    <row r="57" spans="2:32" x14ac:dyDescent="0.25">
      <c r="B57" s="246" t="s">
        <v>283</v>
      </c>
      <c r="C57" s="246"/>
      <c r="D57" s="246">
        <f>D8</f>
        <v>0</v>
      </c>
      <c r="E57" s="246">
        <f t="shared" ref="E57:K57" si="38">E8</f>
        <v>0</v>
      </c>
      <c r="F57" s="246">
        <f t="shared" si="38"/>
        <v>0</v>
      </c>
      <c r="G57" s="246">
        <f t="shared" si="38"/>
        <v>0</v>
      </c>
      <c r="H57" s="246">
        <f t="shared" si="38"/>
        <v>0</v>
      </c>
      <c r="I57" s="246">
        <f t="shared" si="38"/>
        <v>0</v>
      </c>
      <c r="J57" s="246">
        <f t="shared" si="38"/>
        <v>0</v>
      </c>
      <c r="K57" s="246">
        <f t="shared" si="38"/>
        <v>0</v>
      </c>
    </row>
    <row r="58" spans="2:32" x14ac:dyDescent="0.25">
      <c r="B58" s="358" t="s">
        <v>446</v>
      </c>
      <c r="D58" s="290" t="e">
        <f>D55-D56-D57</f>
        <v>#N/A</v>
      </c>
      <c r="E58" s="290" t="e">
        <f t="shared" ref="E58:K58" si="39">E55-E56-E57</f>
        <v>#N/A</v>
      </c>
      <c r="F58" s="290" t="e">
        <f t="shared" si="39"/>
        <v>#N/A</v>
      </c>
      <c r="G58" s="290" t="e">
        <f t="shared" si="39"/>
        <v>#N/A</v>
      </c>
      <c r="H58" s="290" t="e">
        <f t="shared" si="39"/>
        <v>#N/A</v>
      </c>
      <c r="I58" s="290" t="e">
        <f t="shared" si="39"/>
        <v>#N/A</v>
      </c>
      <c r="J58" s="290" t="e">
        <f t="shared" si="39"/>
        <v>#N/A</v>
      </c>
      <c r="K58" s="290" t="e">
        <f t="shared" si="39"/>
        <v>#N/A</v>
      </c>
    </row>
    <row r="59" spans="2:32" s="358" customFormat="1" x14ac:dyDescent="0.25">
      <c r="B59" s="361" t="s">
        <v>451</v>
      </c>
      <c r="D59" s="358" t="e">
        <f>$C$62-D55+D57</f>
        <v>#N/A</v>
      </c>
      <c r="E59" s="361" t="e">
        <f t="shared" ref="E59:K59" si="40">$C$62-E55+E57</f>
        <v>#N/A</v>
      </c>
      <c r="F59" s="361" t="e">
        <f t="shared" si="40"/>
        <v>#N/A</v>
      </c>
      <c r="G59" s="361" t="e">
        <f t="shared" si="40"/>
        <v>#N/A</v>
      </c>
      <c r="H59" s="361" t="e">
        <f t="shared" si="40"/>
        <v>#N/A</v>
      </c>
      <c r="I59" s="361" t="e">
        <f t="shared" si="40"/>
        <v>#N/A</v>
      </c>
      <c r="J59" s="361" t="e">
        <f t="shared" si="40"/>
        <v>#N/A</v>
      </c>
      <c r="K59" s="361" t="e">
        <f t="shared" si="40"/>
        <v>#N/A</v>
      </c>
      <c r="AA59" s="361"/>
    </row>
    <row r="60" spans="2:32" s="361" customFormat="1" x14ac:dyDescent="0.25"/>
    <row r="61" spans="2:32" x14ac:dyDescent="0.25">
      <c r="C61" s="361" t="s">
        <v>144</v>
      </c>
      <c r="D61" s="321">
        <v>1</v>
      </c>
      <c r="E61" s="321">
        <v>2</v>
      </c>
      <c r="F61" s="321">
        <v>3</v>
      </c>
      <c r="G61" s="321">
        <v>4</v>
      </c>
      <c r="H61" s="320">
        <v>5</v>
      </c>
      <c r="I61" s="321">
        <v>6</v>
      </c>
      <c r="J61" s="321">
        <v>7</v>
      </c>
      <c r="K61" s="321">
        <v>8</v>
      </c>
    </row>
    <row r="62" spans="2:32" x14ac:dyDescent="0.25">
      <c r="B62" s="246" t="s">
        <v>447</v>
      </c>
      <c r="C62" s="366">
        <f>'Phase calculation'!C25</f>
        <v>40</v>
      </c>
      <c r="D62" s="290">
        <v>0</v>
      </c>
      <c r="E62" s="290" t="e">
        <f>D65</f>
        <v>#N/A</v>
      </c>
      <c r="F62" s="290" t="e">
        <f>E65</f>
        <v>#N/A</v>
      </c>
      <c r="G62" s="290" t="e">
        <f>F65</f>
        <v>#N/A</v>
      </c>
      <c r="H62" s="363">
        <v>0</v>
      </c>
      <c r="I62" s="328" t="e">
        <f>H65</f>
        <v>#N/A</v>
      </c>
      <c r="J62" s="328" t="e">
        <f>I65</f>
        <v>#N/A</v>
      </c>
      <c r="K62" s="328" t="e">
        <f>J65</f>
        <v>#N/A</v>
      </c>
    </row>
    <row r="63" spans="2:32" x14ac:dyDescent="0.25">
      <c r="B63" s="358" t="s">
        <v>448</v>
      </c>
      <c r="D63" s="360" t="e">
        <f t="shared" ref="D63:K63" si="41">D62+D58</f>
        <v>#N/A</v>
      </c>
      <c r="E63" s="360" t="e">
        <f t="shared" si="41"/>
        <v>#N/A</v>
      </c>
      <c r="F63" s="360" t="e">
        <f t="shared" si="41"/>
        <v>#N/A</v>
      </c>
      <c r="G63" s="360" t="e">
        <f t="shared" si="41"/>
        <v>#N/A</v>
      </c>
      <c r="H63" s="364" t="e">
        <f t="shared" si="41"/>
        <v>#N/A</v>
      </c>
      <c r="I63" s="167" t="e">
        <f t="shared" si="41"/>
        <v>#N/A</v>
      </c>
      <c r="J63" s="167" t="e">
        <f t="shared" si="41"/>
        <v>#N/A</v>
      </c>
      <c r="K63" s="167" t="e">
        <f t="shared" si="41"/>
        <v>#N/A</v>
      </c>
    </row>
    <row r="64" spans="2:32" x14ac:dyDescent="0.25">
      <c r="B64" s="246" t="s">
        <v>449</v>
      </c>
      <c r="C64" s="246"/>
      <c r="D64" s="362" t="e">
        <f t="shared" ref="D64:K65" si="42">D63+D56</f>
        <v>#N/A</v>
      </c>
      <c r="E64" s="362" t="e">
        <f t="shared" si="42"/>
        <v>#N/A</v>
      </c>
      <c r="F64" s="362" t="e">
        <f t="shared" si="42"/>
        <v>#N/A</v>
      </c>
      <c r="G64" s="362" t="e">
        <f t="shared" si="42"/>
        <v>#N/A</v>
      </c>
      <c r="H64" s="365" t="e">
        <f t="shared" si="42"/>
        <v>#N/A</v>
      </c>
      <c r="I64" s="216" t="e">
        <f t="shared" si="42"/>
        <v>#N/A</v>
      </c>
      <c r="J64" s="216" t="e">
        <f t="shared" si="42"/>
        <v>#N/A</v>
      </c>
      <c r="K64" s="216" t="e">
        <f t="shared" si="42"/>
        <v>#N/A</v>
      </c>
    </row>
    <row r="65" spans="2:11" x14ac:dyDescent="0.25">
      <c r="B65" s="358" t="s">
        <v>450</v>
      </c>
      <c r="D65" s="200" t="e">
        <f t="shared" si="42"/>
        <v>#N/A</v>
      </c>
      <c r="E65" s="200" t="e">
        <f t="shared" si="42"/>
        <v>#N/A</v>
      </c>
      <c r="F65" s="200" t="e">
        <f t="shared" si="42"/>
        <v>#N/A</v>
      </c>
      <c r="G65" s="200" t="e">
        <f t="shared" si="42"/>
        <v>#N/A</v>
      </c>
      <c r="H65" s="319" t="e">
        <f t="shared" si="42"/>
        <v>#N/A</v>
      </c>
      <c r="I65" s="168" t="e">
        <f t="shared" si="42"/>
        <v>#N/A</v>
      </c>
      <c r="J65" s="168" t="e">
        <f t="shared" si="42"/>
        <v>#N/A</v>
      </c>
      <c r="K65" s="168"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1" t="str">
        <f>'Phase designation'!B26</f>
        <v>EBL</v>
      </c>
      <c r="AD1" s="91" t="str">
        <f>'Phase designation'!C26</f>
        <v>EBT</v>
      </c>
      <c r="AE1" s="91" t="str">
        <f>'Phase designation'!D26</f>
        <v>WBL</v>
      </c>
      <c r="AF1" s="91" t="str">
        <f>'Phase designation'!E26</f>
        <v>WBT</v>
      </c>
      <c r="AG1" s="91" t="str">
        <f>'Phase designation'!F26</f>
        <v>NBL</v>
      </c>
      <c r="AH1" s="91" t="str">
        <f>'Phase designation'!G26</f>
        <v>NBT</v>
      </c>
      <c r="AI1" s="91" t="str">
        <f>'Phase designation'!H26</f>
        <v>SBL</v>
      </c>
      <c r="AJ1" s="91" t="str">
        <f>'Phase designation'!I26</f>
        <v>SBT</v>
      </c>
    </row>
    <row r="2" spans="1:36" x14ac:dyDescent="0.25">
      <c r="B2" s="567" t="s">
        <v>216</v>
      </c>
      <c r="C2" s="567"/>
      <c r="D2" s="567"/>
      <c r="E2" s="567"/>
      <c r="F2" s="567"/>
      <c r="G2" s="567"/>
      <c r="H2" s="567"/>
      <c r="I2" s="116"/>
      <c r="L2" s="568" t="s">
        <v>217</v>
      </c>
      <c r="M2" s="568"/>
      <c r="N2" s="568"/>
      <c r="O2" s="568"/>
      <c r="P2" s="568"/>
      <c r="Q2" s="568"/>
      <c r="R2" s="116"/>
      <c r="T2" s="567" t="s">
        <v>240</v>
      </c>
      <c r="U2" s="567"/>
      <c r="V2" s="567"/>
      <c r="W2" s="567"/>
      <c r="X2" s="567"/>
      <c r="Y2" s="567"/>
      <c r="Z2" s="567"/>
      <c r="AC2" s="91">
        <f>'Phase designation'!B27</f>
        <v>0</v>
      </c>
      <c r="AD2" s="91">
        <f>'Phase designation'!C27</f>
        <v>4</v>
      </c>
      <c r="AE2" s="91">
        <f>'Phase designation'!D27</f>
        <v>0</v>
      </c>
      <c r="AF2" s="91">
        <f>'Phase designation'!E27</f>
        <v>8</v>
      </c>
      <c r="AG2" s="91">
        <f>'Phase designation'!F27</f>
        <v>0</v>
      </c>
      <c r="AH2" s="91">
        <f>'Phase designation'!G27</f>
        <v>2</v>
      </c>
      <c r="AI2" s="91">
        <f>'Phase designation'!H27</f>
        <v>0</v>
      </c>
      <c r="AJ2" s="91">
        <f>'Phase designation'!I27</f>
        <v>6</v>
      </c>
    </row>
    <row r="3" spans="1:36" x14ac:dyDescent="0.25">
      <c r="D3" s="559">
        <f>Sheet1!J38</f>
        <v>0</v>
      </c>
      <c r="E3" s="559"/>
      <c r="F3" s="559"/>
      <c r="N3" s="559">
        <f>D3</f>
        <v>0</v>
      </c>
      <c r="O3" s="559"/>
      <c r="P3" s="559"/>
      <c r="AC3" s="91">
        <f>'Phase designation'!B28</f>
        <v>4</v>
      </c>
      <c r="AD3" s="91">
        <f>'Phase designation'!C28</f>
        <v>0</v>
      </c>
      <c r="AE3" s="91">
        <f>'Phase designation'!D28</f>
        <v>8</v>
      </c>
      <c r="AF3" s="91">
        <f>'Phase designation'!E28</f>
        <v>0</v>
      </c>
      <c r="AG3" s="91">
        <f>'Phase designation'!F28</f>
        <v>2</v>
      </c>
      <c r="AH3" s="91">
        <f>'Phase designation'!G28</f>
        <v>0</v>
      </c>
      <c r="AI3" s="91">
        <f>'Phase designation'!H28</f>
        <v>6</v>
      </c>
      <c r="AJ3" s="91">
        <f>'Phase designation'!I28</f>
        <v>0</v>
      </c>
    </row>
    <row r="4" spans="1:36" x14ac:dyDescent="0.25">
      <c r="C4" s="5"/>
      <c r="D4" s="117">
        <f>IF(Y4=0,0,Sheet1!K4+Sheet1!AE4+Sheet1!AH4)</f>
        <v>0</v>
      </c>
      <c r="E4" s="117">
        <f>IF(Y4=0,0,Sheet1!J4+Sheet1!AD4+Sheet1!AG4)</f>
        <v>0</v>
      </c>
      <c r="F4" s="117">
        <f>IF(Y4=0,0,Sheet1!I4+Sheet1!AC4+Sheet1!AF4)</f>
        <v>0</v>
      </c>
      <c r="G4" s="5"/>
      <c r="H4" s="5"/>
      <c r="I4" s="5"/>
      <c r="L4" s="5"/>
      <c r="M4" s="5"/>
      <c r="N4" s="293">
        <f>'Phase calculation'!N33</f>
        <v>6</v>
      </c>
      <c r="O4" s="130" t="str">
        <f>IF(W4=0,"N/A",AJ5)</f>
        <v>N/A</v>
      </c>
      <c r="P4" s="130" t="str">
        <f>IF(X4=0,"N/A",AI5)</f>
        <v>N/A</v>
      </c>
      <c r="Q4" s="5"/>
      <c r="R4" s="5"/>
      <c r="U4" s="5"/>
      <c r="V4" s="117">
        <f>Sheet1!K5+Sheet1!AE5+Sheet1!AH5</f>
        <v>0</v>
      </c>
      <c r="W4" s="117">
        <f>Sheet1!J5+Sheet1!AD5+Sheet1!AG5</f>
        <v>0</v>
      </c>
      <c r="X4" s="117">
        <f>Sheet1!I5+Sheet1!AC5+Sheet1!AF5</f>
        <v>0</v>
      </c>
      <c r="Y4" s="186">
        <f>SUM(V4:X4)+W17</f>
        <v>0</v>
      </c>
      <c r="Z4" s="5"/>
    </row>
    <row r="5" spans="1:36" x14ac:dyDescent="0.25">
      <c r="C5" s="5"/>
      <c r="D5" s="5"/>
      <c r="E5" s="5"/>
      <c r="F5" s="5"/>
      <c r="G5" s="5"/>
      <c r="H5" s="5"/>
      <c r="I5" s="5"/>
      <c r="L5" s="5"/>
      <c r="M5" s="5"/>
      <c r="N5" s="5"/>
      <c r="O5" s="5"/>
      <c r="P5" s="5"/>
      <c r="Q5" s="5"/>
      <c r="R5" s="5"/>
      <c r="S5" s="235"/>
      <c r="U5" s="5"/>
      <c r="V5" s="5"/>
      <c r="W5" s="5"/>
      <c r="X5" s="5"/>
      <c r="Y5" s="5"/>
      <c r="Z5" s="5"/>
      <c r="AC5" s="91">
        <f>IF(AC2=0,AC3,AC2&amp;"+"&amp;AC3)</f>
        <v>4</v>
      </c>
      <c r="AD5" s="91">
        <f>AD2</f>
        <v>4</v>
      </c>
      <c r="AE5" s="91">
        <f>IF(AE2=0,AE3,AE2&amp;"+"&amp;AE3)</f>
        <v>8</v>
      </c>
      <c r="AF5" s="91">
        <f>AF2</f>
        <v>8</v>
      </c>
      <c r="AG5" s="91">
        <f>IF(AG2=0,AG3,AG2&amp;"+"&amp;AG3)</f>
        <v>2</v>
      </c>
      <c r="AH5" s="91">
        <f>AH2</f>
        <v>2</v>
      </c>
      <c r="AI5" s="91">
        <f>IF(AI2=0,AI3,AI2&amp;"+"&amp;AI3)</f>
        <v>6</v>
      </c>
      <c r="AJ5" s="91">
        <f>AJ2</f>
        <v>6</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4">
        <f>IF(T15=0,0,Sheet1!N4)</f>
        <v>0</v>
      </c>
      <c r="C9" s="83"/>
      <c r="D9" s="5"/>
      <c r="E9" s="5"/>
      <c r="F9" s="5"/>
      <c r="G9" s="5"/>
      <c r="H9" s="118">
        <f>IF(Z15=0,0,Sheet1!U4)</f>
        <v>0</v>
      </c>
      <c r="I9" s="5"/>
      <c r="L9" s="131" t="str">
        <f>IF(T9=0,"N/A",AC5)</f>
        <v>N/A</v>
      </c>
      <c r="M9" s="5"/>
      <c r="N9" s="5"/>
      <c r="O9" s="5"/>
      <c r="P9" s="5"/>
      <c r="R9" s="292">
        <f>'Phase calculation'!H33</f>
        <v>8</v>
      </c>
      <c r="S9" s="235"/>
      <c r="T9" s="94">
        <f>Sheet1!N5</f>
        <v>0</v>
      </c>
      <c r="U9" s="83"/>
      <c r="V9" s="5"/>
      <c r="W9" s="5"/>
      <c r="X9" s="5"/>
      <c r="Y9" s="5"/>
      <c r="Z9" s="118">
        <f>Sheet1!U5</f>
        <v>0</v>
      </c>
    </row>
    <row r="10" spans="1:36" x14ac:dyDescent="0.25">
      <c r="C10" s="81"/>
      <c r="D10" s="11"/>
      <c r="E10" s="11"/>
      <c r="F10" s="11"/>
      <c r="G10" s="11"/>
      <c r="H10" s="103"/>
      <c r="I10" s="10"/>
      <c r="L10" s="5"/>
      <c r="M10" s="11"/>
      <c r="N10" s="11"/>
      <c r="O10" s="11"/>
      <c r="P10" s="11"/>
      <c r="U10" s="81"/>
      <c r="V10" s="11"/>
      <c r="W10" s="11"/>
      <c r="X10" s="11"/>
      <c r="Y10" s="11"/>
      <c r="Z10" s="103"/>
    </row>
    <row r="11" spans="1:36" x14ac:dyDescent="0.25">
      <c r="A11" s="205">
        <f>Sheet1!O38</f>
        <v>0</v>
      </c>
      <c r="B11" s="94">
        <f>IF(T15=0,0,Sheet1!O4)</f>
        <v>0</v>
      </c>
      <c r="C11" s="81"/>
      <c r="D11" s="26"/>
      <c r="E11" s="12" t="str">
        <f>Sheet1!B2</f>
        <v>0 &amp; 0</v>
      </c>
      <c r="F11" s="11"/>
      <c r="G11" s="11"/>
      <c r="H11" s="119">
        <f>IF(Z15=0,0,Sheet1!T4)</f>
        <v>0</v>
      </c>
      <c r="I11" s="204">
        <f>Sheet1!T38</f>
        <v>0</v>
      </c>
      <c r="K11" s="205">
        <f>A11</f>
        <v>0</v>
      </c>
      <c r="L11" s="131" t="str">
        <f>IF(T11=0,"N/A",AD5)</f>
        <v>N/A</v>
      </c>
      <c r="M11" s="26"/>
      <c r="N11" s="11"/>
      <c r="O11" s="11"/>
      <c r="P11" s="11"/>
      <c r="R11" s="134" t="str">
        <f>IF(Z11=0,"N/A",AF5)</f>
        <v>N/A</v>
      </c>
      <c r="T11" s="94">
        <f>Sheet1!O5</f>
        <v>0</v>
      </c>
      <c r="U11" s="81"/>
      <c r="V11" s="26"/>
      <c r="W11" s="11"/>
      <c r="X11" s="11"/>
      <c r="Y11" s="11"/>
      <c r="Z11" s="119">
        <f>Sheet1!T5</f>
        <v>0</v>
      </c>
    </row>
    <row r="12" spans="1:36" x14ac:dyDescent="0.25">
      <c r="C12" s="5"/>
      <c r="D12" s="30"/>
      <c r="E12" s="15"/>
      <c r="F12" s="15"/>
      <c r="G12" s="15"/>
      <c r="H12" s="120"/>
      <c r="I12" s="14"/>
      <c r="L12" s="5"/>
      <c r="M12" s="30"/>
      <c r="N12" s="15"/>
      <c r="O12" s="15"/>
      <c r="P12" s="15"/>
      <c r="R12" s="24"/>
      <c r="U12" s="5"/>
      <c r="V12" s="30"/>
      <c r="W12" s="15"/>
      <c r="X12" s="15"/>
      <c r="Y12" s="15"/>
      <c r="Z12" s="120"/>
    </row>
    <row r="13" spans="1:36" x14ac:dyDescent="0.25">
      <c r="B13" s="94">
        <f>IF(T15=0,0,Sheet1!P4)</f>
        <v>0</v>
      </c>
      <c r="C13" s="5"/>
      <c r="D13" s="31"/>
      <c r="E13" s="32"/>
      <c r="F13" s="32"/>
      <c r="G13" s="33"/>
      <c r="H13" s="121">
        <f>IF(Z15=0,0,Sheet1!S4)</f>
        <v>0</v>
      </c>
      <c r="I13" s="16"/>
      <c r="L13" s="291">
        <f>'Phase calculation'!E33</f>
        <v>4</v>
      </c>
      <c r="M13" s="31"/>
      <c r="N13" s="32"/>
      <c r="O13" s="32"/>
      <c r="P13" s="33"/>
      <c r="R13" s="135" t="str">
        <f>IF(Z13=0,"N/A",AE5)</f>
        <v>N/A</v>
      </c>
      <c r="T13" s="94">
        <f>Sheet1!P5</f>
        <v>0</v>
      </c>
      <c r="U13" s="5"/>
      <c r="V13" s="31"/>
      <c r="W13" s="32"/>
      <c r="X13" s="32"/>
      <c r="Y13" s="33"/>
      <c r="Z13" s="121">
        <f>Sheet1!S5</f>
        <v>0</v>
      </c>
    </row>
    <row r="14" spans="1:36" x14ac:dyDescent="0.25">
      <c r="C14" s="5"/>
      <c r="D14" s="34"/>
      <c r="E14" s="15"/>
      <c r="F14" s="15"/>
      <c r="G14" s="15"/>
      <c r="H14" s="90"/>
      <c r="I14" s="90"/>
      <c r="L14" s="5"/>
      <c r="M14" s="34"/>
      <c r="N14" s="15"/>
      <c r="O14" s="15"/>
      <c r="P14" s="15"/>
      <c r="Q14" s="90"/>
      <c r="R14" s="90"/>
      <c r="U14" s="5"/>
      <c r="V14" s="34"/>
      <c r="W14" s="15"/>
      <c r="X14" s="15"/>
      <c r="Y14" s="15"/>
      <c r="Z14" s="165"/>
    </row>
    <row r="15" spans="1:36" x14ac:dyDescent="0.25">
      <c r="C15" s="5"/>
      <c r="D15" s="35"/>
      <c r="E15" s="15"/>
      <c r="F15" s="15" t="s">
        <v>77</v>
      </c>
      <c r="G15" s="15"/>
      <c r="H15" s="15"/>
      <c r="I15" s="15"/>
      <c r="L15" s="5"/>
      <c r="M15" s="35"/>
      <c r="N15" s="15"/>
      <c r="O15" s="15" t="s">
        <v>77</v>
      </c>
      <c r="P15" s="15"/>
      <c r="Q15" s="15"/>
      <c r="R15" s="15"/>
      <c r="T15" s="185">
        <f>SUM(T9:T13)+Z11</f>
        <v>0</v>
      </c>
      <c r="U15" s="5"/>
      <c r="V15" s="35"/>
      <c r="W15" s="15"/>
      <c r="X15" s="15" t="s">
        <v>77</v>
      </c>
      <c r="Y15" s="15"/>
      <c r="Z15" s="187">
        <f>SUM(Z9:Z13)+T11</f>
        <v>0</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2">
        <f>IF(Y17=0,0,Sheet1!D4+Sheet1!Z4+Sheet1!W4)</f>
        <v>0</v>
      </c>
      <c r="E17" s="122">
        <f>IF(Y17=0,0,Sheet1!E4+Sheet1!X4+Sheet1!AA4)</f>
        <v>0</v>
      </c>
      <c r="F17" s="122">
        <f>IF(Y17=0,0,Sheet1!F4+Sheet1!Y4+Sheet1!AB4)</f>
        <v>0</v>
      </c>
      <c r="N17" s="132" t="str">
        <f>IF(V17=0,"N/A",AG5)</f>
        <v>N/A</v>
      </c>
      <c r="O17" s="133" t="str">
        <f>IF(W17=0,"N/A",AH5)</f>
        <v>N/A</v>
      </c>
      <c r="P17" s="293">
        <f>'Phase calculation'!K33</f>
        <v>2</v>
      </c>
      <c r="V17" s="122">
        <f>Sheet1!D5+Sheet1!W5+Sheet1!Z5</f>
        <v>0</v>
      </c>
      <c r="W17" s="122">
        <f>Sheet1!E5+Sheet1!X5+Sheet1!AA5</f>
        <v>0</v>
      </c>
      <c r="X17" s="122">
        <f>Sheet1!F5+Sheet1!Y5+Sheet1!AB5</f>
        <v>0</v>
      </c>
      <c r="Y17" s="185">
        <f>SUM(V17:X17)+W4</f>
        <v>0</v>
      </c>
    </row>
    <row r="18" spans="1:25" x14ac:dyDescent="0.25">
      <c r="D18" s="559">
        <f>Sheet1!E38</f>
        <v>0</v>
      </c>
      <c r="E18" s="559"/>
      <c r="F18" s="559"/>
      <c r="N18" s="559">
        <f>D18</f>
        <v>0</v>
      </c>
      <c r="O18" s="559"/>
      <c r="P18" s="559"/>
    </row>
    <row r="20" spans="1:25" x14ac:dyDescent="0.25">
      <c r="B20" s="569" t="s">
        <v>215</v>
      </c>
      <c r="C20" s="569"/>
      <c r="D20" s="569"/>
      <c r="E20" s="569"/>
      <c r="F20" s="569"/>
      <c r="G20" s="569"/>
      <c r="H20" s="116"/>
      <c r="L20" s="515" t="s">
        <v>214</v>
      </c>
      <c r="M20" s="515"/>
      <c r="N20" s="515"/>
      <c r="O20" s="515"/>
      <c r="P20" s="515"/>
      <c r="Q20" s="515"/>
    </row>
    <row r="21" spans="1:25" x14ac:dyDescent="0.25">
      <c r="D21" s="559">
        <f>D3</f>
        <v>0</v>
      </c>
      <c r="E21" s="559"/>
      <c r="F21" s="559"/>
      <c r="N21" s="559">
        <f>D3</f>
        <v>0</v>
      </c>
      <c r="O21" s="559"/>
      <c r="P21" s="559"/>
    </row>
    <row r="22" spans="1:25" x14ac:dyDescent="0.25">
      <c r="B22" s="5"/>
      <c r="C22" s="5"/>
      <c r="D22" s="290" t="e">
        <f>'Phase calculation'!N34</f>
        <v>#N/A</v>
      </c>
      <c r="E22" s="79">
        <f>IF(W4=0,0,'Phase calculation'!M34)</f>
        <v>0</v>
      </c>
      <c r="F22" s="79" t="e">
        <f>IF(Y17=0,'Phase calculation'!M34,'Phase calculation'!L34)</f>
        <v>#N/A</v>
      </c>
      <c r="G22" s="5"/>
      <c r="H22" s="5"/>
      <c r="I22" s="5"/>
      <c r="L22" s="5"/>
      <c r="M22" s="5"/>
      <c r="N22" s="237" t="e">
        <f>'Phase calculation'!N41</f>
        <v>#N/A</v>
      </c>
      <c r="O22" s="92">
        <f>IF(W4=0,0,'Phase calculation'!M41)</f>
        <v>0</v>
      </c>
      <c r="P22" s="92">
        <f>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3" t="e">
        <f>IF(Z15=0,'Phase calculation'!D34,'Phase calculation'!C34)</f>
        <v>#N/A</v>
      </c>
      <c r="C27" s="5"/>
      <c r="E27" s="129"/>
      <c r="G27" s="5"/>
      <c r="H27" s="125" t="e">
        <f>'Phase calculation'!H34</f>
        <v>#N/A</v>
      </c>
      <c r="L27" s="44">
        <f>IF(T9=0,0,'Phase calculation'!C41)</f>
        <v>0</v>
      </c>
      <c r="M27" s="5"/>
      <c r="N27" s="129"/>
      <c r="O27" s="129"/>
      <c r="P27" s="5"/>
      <c r="R27" s="294" t="e">
        <f>'Phase calculation'!H41</f>
        <v>#N/A</v>
      </c>
    </row>
    <row r="28" spans="1:25" x14ac:dyDescent="0.25">
      <c r="B28" s="5"/>
      <c r="C28" s="11"/>
      <c r="D28" s="129"/>
      <c r="E28" s="571" t="e">
        <f>IF(E22+F22+H27+H29+E35+D35+B29+B27=0,0,"C = "&amp;'Phase calculation'!C25&amp;" s")</f>
        <v>#N/A</v>
      </c>
      <c r="G28" s="11"/>
      <c r="H28" s="24"/>
      <c r="I28" s="10"/>
      <c r="L28" s="192"/>
      <c r="M28" s="11"/>
      <c r="N28" s="129"/>
      <c r="O28" s="129"/>
      <c r="P28" s="11"/>
    </row>
    <row r="29" spans="1:25" x14ac:dyDescent="0.25">
      <c r="A29" s="205">
        <f>A11</f>
        <v>0</v>
      </c>
      <c r="B29" s="124">
        <f>IF(T11=0,0,'Phase calculation'!D34)</f>
        <v>0</v>
      </c>
      <c r="C29" s="26"/>
      <c r="D29" s="11"/>
      <c r="E29" s="571"/>
      <c r="G29" s="11"/>
      <c r="H29" s="126">
        <f>IF(Z11=0,0,'Phase calculation'!G34)</f>
        <v>0</v>
      </c>
      <c r="I29" s="206">
        <f>I11</f>
        <v>0</v>
      </c>
      <c r="K29" s="205">
        <f>A11</f>
        <v>0</v>
      </c>
      <c r="L29" s="44">
        <f>IF(T11=0,0,'Phase calculation'!D41)</f>
        <v>0</v>
      </c>
      <c r="M29" s="26"/>
      <c r="N29" s="11"/>
      <c r="O29" s="11"/>
      <c r="P29" s="11"/>
      <c r="R29" s="9">
        <f>IF(Z11=0,0,'Phase calculation'!G41)</f>
        <v>0</v>
      </c>
    </row>
    <row r="30" spans="1:25" x14ac:dyDescent="0.25">
      <c r="B30" s="5"/>
      <c r="C30" s="30"/>
      <c r="D30" s="15"/>
      <c r="E30" s="571"/>
      <c r="G30" s="15"/>
      <c r="H30" s="26"/>
      <c r="I30" s="14"/>
      <c r="L30" s="5"/>
      <c r="M30" s="30"/>
      <c r="N30" s="15"/>
      <c r="O30" s="15"/>
      <c r="P30" s="15"/>
      <c r="Q30" s="26"/>
      <c r="R30" s="24"/>
    </row>
    <row r="31" spans="1:25" x14ac:dyDescent="0.25">
      <c r="B31" s="124" t="e">
        <f>'Phase calculation'!E34</f>
        <v>#N/A</v>
      </c>
      <c r="C31" s="31"/>
      <c r="D31" s="32"/>
      <c r="E31" s="32"/>
      <c r="F31" s="33"/>
      <c r="G31" s="15"/>
      <c r="H31" s="289" t="e">
        <f>IF(T15=0,'Phase calculation'!G34,'Phase calculation'!F34)</f>
        <v>#N/A</v>
      </c>
      <c r="L31" s="7" t="e">
        <f>'Phase calculation'!E41</f>
        <v>#N/A</v>
      </c>
      <c r="M31" s="31"/>
      <c r="N31" s="32"/>
      <c r="O31" s="32"/>
      <c r="P31" s="33"/>
      <c r="Q31" s="15"/>
      <c r="R31" s="27">
        <f>IF(Z13=0,0,'Phase calculation'!F41)</f>
        <v>0</v>
      </c>
    </row>
    <row r="32" spans="1:25" x14ac:dyDescent="0.25">
      <c r="B32" s="5"/>
      <c r="C32" s="34"/>
      <c r="D32" s="15"/>
      <c r="E32" s="15"/>
      <c r="F32" s="15"/>
      <c r="G32" s="90"/>
      <c r="H32" s="90"/>
      <c r="L32" s="5"/>
      <c r="M32" s="34"/>
      <c r="N32" s="15"/>
      <c r="O32" s="15"/>
      <c r="P32" s="15"/>
      <c r="Q32" s="90"/>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7" t="e">
        <f>IF(Y4=0,'Phase calculation'!J34,'Phase calculation'!I34)</f>
        <v>#N/A</v>
      </c>
      <c r="E35" s="128">
        <f>IF(W17=0,0,'Phase calculation'!J34)</f>
        <v>0</v>
      </c>
      <c r="F35" s="290" t="e">
        <f>'Phase calculation'!K34</f>
        <v>#N/A</v>
      </c>
      <c r="N35" s="36">
        <f>IF(V17=0,0,'Phase calculation'!I41)</f>
        <v>0</v>
      </c>
      <c r="O35" s="37">
        <f>IF(W17=0,0,'Phase calculation'!J41)</f>
        <v>0</v>
      </c>
      <c r="P35" s="237" t="e">
        <f>'Phase calculation'!K41</f>
        <v>#N/A</v>
      </c>
    </row>
    <row r="36" spans="2:19" x14ac:dyDescent="0.25">
      <c r="D36" s="559">
        <f>D18</f>
        <v>0</v>
      </c>
      <c r="E36" s="559"/>
      <c r="F36" s="559"/>
      <c r="G36" s="62"/>
      <c r="H36" s="62"/>
      <c r="I36" s="62"/>
      <c r="J36" s="62"/>
      <c r="K36" s="62"/>
      <c r="L36" s="62"/>
      <c r="M36" s="62"/>
      <c r="N36" s="559">
        <f>D18</f>
        <v>0</v>
      </c>
      <c r="O36" s="559"/>
      <c r="P36" s="559"/>
    </row>
    <row r="37" spans="2:19" x14ac:dyDescent="0.25">
      <c r="D37" s="278"/>
      <c r="E37" s="278"/>
      <c r="F37" s="62"/>
      <c r="G37" s="62"/>
      <c r="H37" s="62"/>
      <c r="I37" s="62"/>
      <c r="J37" s="62"/>
      <c r="K37" s="62"/>
      <c r="L37" s="62"/>
      <c r="M37" s="62"/>
    </row>
    <row r="39" spans="2:19" x14ac:dyDescent="0.25">
      <c r="M39" s="561" t="s">
        <v>219</v>
      </c>
      <c r="N39" s="561"/>
      <c r="O39" s="561"/>
      <c r="P39" s="561"/>
      <c r="Q39" s="561"/>
      <c r="R39" s="561"/>
    </row>
    <row r="40" spans="2:19" x14ac:dyDescent="0.25">
      <c r="B40" s="564" t="s">
        <v>218</v>
      </c>
      <c r="C40" s="564"/>
      <c r="D40" s="564"/>
      <c r="E40" s="564"/>
      <c r="F40" s="564"/>
      <c r="G40" s="564"/>
      <c r="L40" s="308"/>
      <c r="M40" s="308"/>
      <c r="O40" s="559">
        <f>D3</f>
        <v>0</v>
      </c>
      <c r="P40" s="559"/>
      <c r="Q40" s="559"/>
    </row>
    <row r="41" spans="2:19" x14ac:dyDescent="0.25">
      <c r="D41" s="559">
        <f>D3</f>
        <v>0</v>
      </c>
      <c r="E41" s="559"/>
      <c r="F41" s="559"/>
      <c r="O41" s="562">
        <f>'Phase calculation'!L46</f>
        <v>0</v>
      </c>
      <c r="P41" s="562"/>
      <c r="Q41" s="562"/>
    </row>
    <row r="42" spans="2:19" x14ac:dyDescent="0.25">
      <c r="B42" s="136"/>
      <c r="C42" s="136"/>
      <c r="D42" s="297" t="e">
        <f>'Phase calculation'!N40</f>
        <v>#N/A</v>
      </c>
      <c r="E42" s="137" t="str">
        <f>IF(W4=0,"N/A",'Phase calculation'!M40)</f>
        <v>N/A</v>
      </c>
      <c r="F42" s="137" t="str">
        <f>IF(X4=0,"N/A",'Phase calculation'!L40)</f>
        <v>N/A</v>
      </c>
      <c r="G42" s="136"/>
      <c r="M42" s="249"/>
      <c r="N42" s="249"/>
      <c r="O42" s="302">
        <f>'Phase calculation'!N44</f>
        <v>0</v>
      </c>
      <c r="P42" s="250" t="str">
        <f>IF(W4=0,"N/A",'Phase calculation'!M44)</f>
        <v>N/A</v>
      </c>
      <c r="Q42" s="250" t="str">
        <f>IF(X4=0,"N/A",'Phase calculation'!L44)</f>
        <v>N/A</v>
      </c>
      <c r="R42" s="249"/>
    </row>
    <row r="43" spans="2:19" x14ac:dyDescent="0.25">
      <c r="B43" s="136"/>
      <c r="C43" s="136"/>
      <c r="D43" s="136"/>
      <c r="E43" s="136"/>
      <c r="F43" s="136"/>
      <c r="G43" s="136"/>
      <c r="M43" s="249"/>
      <c r="N43" s="249"/>
      <c r="O43" s="249"/>
      <c r="P43" s="249"/>
      <c r="Q43" s="249"/>
      <c r="R43" s="249"/>
    </row>
    <row r="44" spans="2:19" x14ac:dyDescent="0.25">
      <c r="B44" s="136"/>
      <c r="C44" s="136"/>
      <c r="D44" s="136"/>
      <c r="E44" s="136"/>
      <c r="F44" s="136"/>
      <c r="G44" s="136"/>
      <c r="I44" s="17" t="s">
        <v>76</v>
      </c>
      <c r="M44" s="249"/>
      <c r="N44" s="249"/>
      <c r="O44" s="249"/>
      <c r="P44" s="249"/>
      <c r="Q44" s="249"/>
      <c r="R44" s="249"/>
      <c r="S44" s="17" t="s">
        <v>76</v>
      </c>
    </row>
    <row r="45" spans="2:19" x14ac:dyDescent="0.25">
      <c r="B45" s="136"/>
      <c r="C45" s="136"/>
      <c r="D45" s="136"/>
      <c r="E45" s="136"/>
      <c r="F45" s="136"/>
      <c r="G45" s="136"/>
      <c r="M45" s="249"/>
      <c r="N45" s="249"/>
      <c r="O45" s="249"/>
      <c r="P45" s="249"/>
      <c r="Q45" s="249"/>
      <c r="R45" s="249"/>
    </row>
    <row r="46" spans="2:19" x14ac:dyDescent="0.25">
      <c r="B46" s="136"/>
      <c r="C46" s="136"/>
      <c r="D46" s="136"/>
      <c r="E46" s="136"/>
      <c r="F46" s="136"/>
      <c r="G46" s="136"/>
      <c r="M46" s="249"/>
      <c r="N46" s="249"/>
      <c r="O46" s="249"/>
      <c r="P46" s="249"/>
      <c r="Q46" s="249"/>
      <c r="R46" s="249"/>
    </row>
    <row r="47" spans="2:19" x14ac:dyDescent="0.25">
      <c r="B47" s="138" t="str">
        <f>IF(T9=0,"N/A",'Phase calculation'!C40)</f>
        <v>N/A</v>
      </c>
      <c r="C47" s="136"/>
      <c r="H47" s="296" t="e">
        <f>'Phase calculation'!H40</f>
        <v>#N/A</v>
      </c>
      <c r="M47" s="251" t="str">
        <f>IF(T9=0,"N/A",'Phase calculation'!C44)</f>
        <v>N/A</v>
      </c>
      <c r="N47" s="249"/>
      <c r="P47" s="299"/>
      <c r="Q47" s="249"/>
    </row>
    <row r="48" spans="2:19" x14ac:dyDescent="0.25">
      <c r="B48" s="136"/>
      <c r="C48" s="140"/>
      <c r="D48" s="560">
        <f>'Phase calculation'!T82</f>
        <v>0</v>
      </c>
      <c r="E48" s="560"/>
      <c r="F48" s="560"/>
      <c r="M48" s="249"/>
      <c r="N48" s="252"/>
      <c r="O48" s="570">
        <f>'Phase calculation'!T84</f>
        <v>0</v>
      </c>
      <c r="P48" s="570"/>
      <c r="Q48" s="570"/>
    </row>
    <row r="49" spans="1:20" x14ac:dyDescent="0.25">
      <c r="A49" s="205">
        <f>A11</f>
        <v>0</v>
      </c>
      <c r="B49" s="138" t="str">
        <f>IF(T11=0,"N/A",'Phase calculation'!D40)</f>
        <v>N/A</v>
      </c>
      <c r="C49" s="142"/>
      <c r="D49" s="560" t="str">
        <f>'Phase calculation'!C52</f>
        <v>Under Capacity</v>
      </c>
      <c r="E49" s="560"/>
      <c r="F49" s="560"/>
      <c r="H49" s="139" t="str">
        <f>IF(Z11=0,"N/A",'Phase calculation'!G40)</f>
        <v>N/A</v>
      </c>
      <c r="I49" s="205">
        <f>I11</f>
        <v>0</v>
      </c>
      <c r="K49" s="205">
        <f>A11</f>
        <v>0</v>
      </c>
      <c r="L49" s="349">
        <f>'Phase calculation'!C46</f>
        <v>0</v>
      </c>
      <c r="M49" s="251" t="str">
        <f>IF(T11=0,"N/A",'Phase calculation'!D44)</f>
        <v>N/A</v>
      </c>
      <c r="N49" s="253"/>
      <c r="O49" s="570"/>
      <c r="P49" s="570"/>
      <c r="Q49" s="570"/>
      <c r="S49" s="349">
        <f>'Phase calculation'!F46</f>
        <v>0</v>
      </c>
      <c r="T49" s="205">
        <f>I11</f>
        <v>0</v>
      </c>
    </row>
    <row r="50" spans="1:20" x14ac:dyDescent="0.25">
      <c r="B50" s="136"/>
      <c r="C50" s="144"/>
      <c r="D50" s="145"/>
      <c r="E50" s="145"/>
      <c r="F50" s="145"/>
      <c r="G50" s="142"/>
      <c r="H50" s="141"/>
      <c r="M50" s="249"/>
      <c r="N50" s="254"/>
      <c r="O50" s="570"/>
      <c r="P50" s="570"/>
      <c r="Q50" s="570"/>
      <c r="R50" s="253"/>
    </row>
    <row r="51" spans="1:20" x14ac:dyDescent="0.25">
      <c r="B51" s="295" t="e">
        <f>'Phase calculation'!E40</f>
        <v>#N/A</v>
      </c>
      <c r="C51" s="31"/>
      <c r="D51" s="146"/>
      <c r="E51" s="146"/>
      <c r="F51" s="147"/>
      <c r="G51" s="145"/>
      <c r="H51" s="143" t="str">
        <f>IF(Z13=0,"N/A",'Phase calculation'!F40)</f>
        <v>N/A</v>
      </c>
      <c r="M51" s="298">
        <f>'Phase calculation'!E44</f>
        <v>0</v>
      </c>
      <c r="N51" s="256"/>
      <c r="O51" s="257"/>
      <c r="P51" s="257"/>
      <c r="Q51" s="258"/>
      <c r="R51" s="255"/>
    </row>
    <row r="52" spans="1:20" x14ac:dyDescent="0.25">
      <c r="B52" s="136"/>
      <c r="C52" s="148"/>
      <c r="D52" s="145"/>
      <c r="E52" s="145"/>
      <c r="F52" s="145"/>
      <c r="G52" s="149"/>
      <c r="M52" s="249"/>
      <c r="N52" s="259"/>
      <c r="O52" s="255"/>
      <c r="P52" s="255"/>
      <c r="Q52" s="255"/>
      <c r="R52" s="260"/>
    </row>
    <row r="53" spans="1:20" x14ac:dyDescent="0.25">
      <c r="B53" s="136"/>
      <c r="C53" s="150"/>
      <c r="D53" s="145"/>
      <c r="E53" s="145" t="s">
        <v>77</v>
      </c>
      <c r="F53" s="145"/>
      <c r="G53" s="145"/>
      <c r="M53" s="249"/>
      <c r="N53" s="261"/>
      <c r="O53" s="255"/>
      <c r="P53" s="255" t="s">
        <v>77</v>
      </c>
      <c r="Q53" s="255"/>
      <c r="R53" s="255"/>
    </row>
    <row r="54" spans="1:20" x14ac:dyDescent="0.25">
      <c r="B54" s="136"/>
      <c r="C54" s="151"/>
      <c r="G54" s="145"/>
      <c r="M54" s="249"/>
      <c r="N54" s="262"/>
      <c r="Q54" s="255"/>
      <c r="R54" s="255"/>
    </row>
    <row r="55" spans="1:20" x14ac:dyDescent="0.25">
      <c r="D55" s="152" t="str">
        <f>IF(V17=0,"N/A",'Phase calculation'!I40)</f>
        <v>N/A</v>
      </c>
      <c r="E55" s="153" t="str">
        <f>IF(W17=0,"N/A",'Phase calculation'!J40)</f>
        <v>N/A</v>
      </c>
      <c r="F55" s="152" t="e">
        <f>'Phase calculation'!K40</f>
        <v>#N/A</v>
      </c>
      <c r="O55" s="263" t="str">
        <f>IF(V17=0,"N/A",'Phase calculation'!I44)</f>
        <v>N/A</v>
      </c>
      <c r="P55" s="264" t="str">
        <f>IF(W17=0,"N/A",'Phase calculation'!J44)</f>
        <v>N/A</v>
      </c>
      <c r="Q55" s="302">
        <f>'Phase calculation'!K44</f>
        <v>0</v>
      </c>
    </row>
    <row r="56" spans="1:20" x14ac:dyDescent="0.25">
      <c r="D56" s="559">
        <f>D18</f>
        <v>0</v>
      </c>
      <c r="E56" s="559"/>
      <c r="F56" s="559"/>
      <c r="O56" s="562">
        <f>'Phase calculation'!I46</f>
        <v>0</v>
      </c>
      <c r="P56" s="562"/>
      <c r="Q56" s="562"/>
    </row>
    <row r="57" spans="1:20" x14ac:dyDescent="0.25">
      <c r="D57" s="88"/>
      <c r="E57" s="88"/>
      <c r="O57" s="559">
        <f>D18</f>
        <v>0</v>
      </c>
      <c r="P57" s="559"/>
      <c r="Q57" s="559"/>
    </row>
    <row r="58" spans="1:20" x14ac:dyDescent="0.25">
      <c r="G58" s="565" t="s">
        <v>220</v>
      </c>
      <c r="H58" s="565"/>
      <c r="I58" s="565"/>
      <c r="J58" s="565"/>
      <c r="K58" s="565"/>
      <c r="L58" s="565"/>
      <c r="M58" s="116"/>
    </row>
    <row r="59" spans="1:20" x14ac:dyDescent="0.25">
      <c r="I59" s="559">
        <f>D3</f>
        <v>0</v>
      </c>
      <c r="J59" s="559"/>
      <c r="K59" s="559"/>
    </row>
    <row r="60" spans="1:20" s="62" customFormat="1" x14ac:dyDescent="0.25">
      <c r="I60" s="309"/>
      <c r="J60" s="159" t="str">
        <f>'Phase calculation'!L47</f>
        <v>N/A</v>
      </c>
      <c r="K60" s="309"/>
    </row>
    <row r="61" spans="1:20" x14ac:dyDescent="0.25">
      <c r="G61" s="81"/>
      <c r="H61" s="81"/>
      <c r="I61" s="275" t="str">
        <f>'Phase calculation'!N45</f>
        <v>N/A</v>
      </c>
      <c r="J61" s="158" t="str">
        <f>'Phase calculation'!M45</f>
        <v>N/A</v>
      </c>
      <c r="K61" s="158" t="str">
        <f>'Phase calculation'!L45</f>
        <v>N/A</v>
      </c>
      <c r="L61" s="81"/>
      <c r="M61" s="5"/>
      <c r="P61" s="91" t="s">
        <v>139</v>
      </c>
      <c r="Q61" s="91" t="s">
        <v>221</v>
      </c>
    </row>
    <row r="62" spans="1:20" x14ac:dyDescent="0.25">
      <c r="G62" s="81"/>
      <c r="H62" s="81"/>
      <c r="I62" s="81"/>
      <c r="J62" s="81"/>
      <c r="K62" s="81"/>
      <c r="L62" s="81"/>
      <c r="M62" s="5"/>
      <c r="P62" s="91" t="s">
        <v>142</v>
      </c>
      <c r="Q62" s="67"/>
    </row>
    <row r="63" spans="1:20" x14ac:dyDescent="0.25">
      <c r="G63" s="81"/>
      <c r="H63" s="81"/>
      <c r="I63" s="81"/>
      <c r="J63" s="81"/>
      <c r="K63" s="81"/>
      <c r="L63" s="81"/>
      <c r="N63" s="17" t="s">
        <v>76</v>
      </c>
      <c r="P63" s="91" t="s">
        <v>143</v>
      </c>
      <c r="Q63" s="156"/>
    </row>
    <row r="64" spans="1:20" x14ac:dyDescent="0.25">
      <c r="G64" s="81"/>
      <c r="H64" s="81"/>
      <c r="I64" s="81"/>
      <c r="J64" s="81"/>
      <c r="K64" s="81"/>
      <c r="L64" s="81"/>
      <c r="M64" s="5"/>
      <c r="P64" s="91" t="s">
        <v>144</v>
      </c>
      <c r="Q64" s="157"/>
    </row>
    <row r="65" spans="5:17" x14ac:dyDescent="0.25">
      <c r="G65" s="81"/>
      <c r="H65" s="81"/>
      <c r="I65" s="81"/>
      <c r="J65" s="81"/>
      <c r="K65" s="81"/>
      <c r="L65" s="81"/>
      <c r="M65" s="5"/>
      <c r="P65" s="91" t="s">
        <v>145</v>
      </c>
      <c r="Q65" s="1"/>
    </row>
    <row r="66" spans="5:17" ht="15" customHeight="1" x14ac:dyDescent="0.25">
      <c r="G66" s="301" t="str">
        <f>'Phase calculation'!C45</f>
        <v>N/A</v>
      </c>
      <c r="H66" s="81"/>
      <c r="J66" s="300"/>
      <c r="K66" s="81"/>
      <c r="M66" s="161" t="str">
        <f>'Phase calculation'!H45</f>
        <v>N/A</v>
      </c>
      <c r="P66" s="91" t="s">
        <v>146</v>
      </c>
      <c r="Q66" s="155"/>
    </row>
    <row r="67" spans="5:17" ht="15" customHeight="1" x14ac:dyDescent="0.25">
      <c r="G67" s="82"/>
      <c r="H67" s="10"/>
      <c r="I67" s="566" t="str">
        <f>'Phase calculation'!U84</f>
        <v>N/A</v>
      </c>
      <c r="J67" s="566"/>
      <c r="K67" s="566"/>
      <c r="P67" s="91" t="s">
        <v>147</v>
      </c>
      <c r="Q67" s="59"/>
    </row>
    <row r="68" spans="5:17" ht="15" customHeight="1" x14ac:dyDescent="0.25">
      <c r="E68" s="205">
        <f>A11</f>
        <v>0</v>
      </c>
      <c r="F68" s="159" t="str">
        <f>'Phase calculation'!C47</f>
        <v>N/A</v>
      </c>
      <c r="G68" s="82" t="str">
        <f>'Phase calculation'!D45</f>
        <v>N/A</v>
      </c>
      <c r="H68" s="13"/>
      <c r="I68" s="566"/>
      <c r="J68" s="566"/>
      <c r="K68" s="566"/>
      <c r="M68" s="161" t="str">
        <f>'Phase calculation'!G45</f>
        <v>N/A</v>
      </c>
      <c r="N68" s="159" t="str">
        <f>'Phase calculation'!F47</f>
        <v>N/A</v>
      </c>
      <c r="O68" s="206">
        <f>I11</f>
        <v>0</v>
      </c>
    </row>
    <row r="69" spans="5:17" ht="15" customHeight="1" x14ac:dyDescent="0.25">
      <c r="G69" s="81"/>
      <c r="H69" s="104"/>
      <c r="I69" s="566"/>
      <c r="J69" s="566"/>
      <c r="K69" s="566"/>
      <c r="L69" s="13"/>
      <c r="M69" s="162"/>
      <c r="N69" s="10"/>
    </row>
    <row r="70" spans="5:17" x14ac:dyDescent="0.25">
      <c r="G70" s="82" t="str">
        <f>'Phase calculation'!E45</f>
        <v>N/A</v>
      </c>
      <c r="H70" s="31"/>
      <c r="I70" s="32"/>
      <c r="J70" s="32"/>
      <c r="K70" s="154"/>
      <c r="L70" s="16"/>
      <c r="M70" s="162" t="str">
        <f>'Phase calculation'!F45</f>
        <v>N/A</v>
      </c>
      <c r="N70" s="10"/>
    </row>
    <row r="71" spans="5:17" x14ac:dyDescent="0.25">
      <c r="G71" s="81"/>
      <c r="H71" s="35"/>
      <c r="I71" s="16"/>
      <c r="J71" s="16"/>
      <c r="K71" s="16"/>
      <c r="L71" s="105"/>
      <c r="M71" s="90"/>
    </row>
    <row r="72" spans="5:17" x14ac:dyDescent="0.25">
      <c r="G72" s="81"/>
      <c r="H72" s="35"/>
      <c r="I72" s="16"/>
      <c r="J72" s="16" t="s">
        <v>77</v>
      </c>
      <c r="K72" s="16"/>
      <c r="L72" s="16"/>
      <c r="M72" s="15"/>
    </row>
    <row r="73" spans="5:17" x14ac:dyDescent="0.25">
      <c r="G73" s="81"/>
      <c r="H73" s="23"/>
      <c r="K73" s="16"/>
      <c r="L73" s="16"/>
      <c r="M73" s="15"/>
    </row>
    <row r="74" spans="5:17" x14ac:dyDescent="0.25">
      <c r="I74" s="159" t="str">
        <f>'Phase calculation'!I45</f>
        <v>N/A</v>
      </c>
      <c r="J74" s="160" t="str">
        <f>'Phase calculation'!J45</f>
        <v>N/A</v>
      </c>
      <c r="K74" s="275" t="str">
        <f>'Phase calculation'!K45</f>
        <v>N/A</v>
      </c>
    </row>
    <row r="75" spans="5:17" x14ac:dyDescent="0.25">
      <c r="J75" s="159" t="str">
        <f>'Phase calculation'!I47</f>
        <v>N/A</v>
      </c>
    </row>
    <row r="76" spans="5:17" s="62" customFormat="1" x14ac:dyDescent="0.25">
      <c r="I76" s="559">
        <f>D18</f>
        <v>0</v>
      </c>
      <c r="J76" s="559"/>
      <c r="K76" s="559"/>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'Phase calculation'!C33</f>
        <v>4</v>
      </c>
      <c r="H83" s="223">
        <f>'Phase calculation'!D33</f>
        <v>4</v>
      </c>
      <c r="I83" s="223">
        <f>'Phase calculation'!F33</f>
        <v>8</v>
      </c>
      <c r="J83" s="223">
        <f>'Phase calculation'!G33</f>
        <v>8</v>
      </c>
      <c r="K83" s="223">
        <f>'Phase calculation'!I33</f>
        <v>2</v>
      </c>
      <c r="L83" s="223">
        <f>'Phase calculation'!J33</f>
        <v>2</v>
      </c>
      <c r="M83" s="223">
        <f>'Phase calculation'!L33</f>
        <v>6</v>
      </c>
      <c r="N83" s="223">
        <f>'Phase calculation'!M33</f>
        <v>6</v>
      </c>
    </row>
    <row r="84" spans="6:19" s="222" customFormat="1" x14ac:dyDescent="0.25">
      <c r="F84" s="223" t="s">
        <v>316</v>
      </c>
      <c r="G84" s="223" t="e">
        <f>'Phase calculation'!C34</f>
        <v>#N/A</v>
      </c>
      <c r="H84" s="223" t="e">
        <f>'Phase calculation'!D34</f>
        <v>#N/A</v>
      </c>
      <c r="I84" s="223" t="e">
        <f>'Phase calculation'!F34</f>
        <v>#N/A</v>
      </c>
      <c r="J84" s="223" t="e">
        <f>'Phase calculation'!G34</f>
        <v>#N/A</v>
      </c>
      <c r="K84" s="223" t="e">
        <f>'Phase calculation'!I34</f>
        <v>#N/A</v>
      </c>
      <c r="L84" s="223" t="e">
        <f>'Phase calculation'!J34</f>
        <v>#N/A</v>
      </c>
      <c r="M84" s="223" t="e">
        <f>'Phase calculation'!L34</f>
        <v>#N/A</v>
      </c>
      <c r="N84" s="223" t="e">
        <f>'Phase calculation'!M34</f>
        <v>#N/A</v>
      </c>
    </row>
    <row r="85" spans="6:19" s="222" customFormat="1" x14ac:dyDescent="0.25">
      <c r="F85" s="223" t="s">
        <v>149</v>
      </c>
      <c r="G85" s="223" t="e">
        <f>'Phase calculation'!C41</f>
        <v>#N/A</v>
      </c>
      <c r="H85" s="223" t="e">
        <f>'Phase calculation'!D41</f>
        <v>#N/A</v>
      </c>
      <c r="I85" s="223" t="e">
        <f>'Phase calculation'!F41</f>
        <v>#N/A</v>
      </c>
      <c r="J85" s="223" t="e">
        <f>'Phase calculation'!G41</f>
        <v>#N/A</v>
      </c>
      <c r="K85" s="223" t="e">
        <f>'Phase calculation'!I41</f>
        <v>#N/A</v>
      </c>
      <c r="L85" s="223" t="e">
        <f>'Phase calculation'!J41</f>
        <v>#N/A</v>
      </c>
      <c r="M85" s="223" t="e">
        <f>'Phase calculation'!L41</f>
        <v>#N/A</v>
      </c>
      <c r="N85" s="223" t="e">
        <f>'Phase calculation'!M41</f>
        <v>#N/A</v>
      </c>
    </row>
    <row r="86" spans="6:19" s="222" customFormat="1" x14ac:dyDescent="0.25">
      <c r="F86" s="223" t="s">
        <v>135</v>
      </c>
      <c r="G86" s="223" t="e">
        <f>'Phase calculation'!C40</f>
        <v>#N/A</v>
      </c>
      <c r="H86" s="223" t="e">
        <f>'Phase calculation'!D40</f>
        <v>#N/A</v>
      </c>
      <c r="I86" s="223" t="e">
        <f>'Phase calculation'!F40</f>
        <v>#N/A</v>
      </c>
      <c r="J86" s="223" t="e">
        <f>'Phase calculation'!G40</f>
        <v>#N/A</v>
      </c>
      <c r="K86" s="223" t="e">
        <f>'Phase calculation'!I40</f>
        <v>#N/A</v>
      </c>
      <c r="L86" s="223" t="e">
        <f>'Phase calculation'!J40</f>
        <v>#N/A</v>
      </c>
      <c r="M86" s="223" t="e">
        <f>'Phase calculation'!L40</f>
        <v>#N/A</v>
      </c>
      <c r="N86" s="223" t="e">
        <f>'Phase calculation'!M40</f>
        <v>#N/A</v>
      </c>
    </row>
    <row r="87" spans="6:19" s="222" customFormat="1" x14ac:dyDescent="0.25">
      <c r="F87" s="223" t="s">
        <v>150</v>
      </c>
      <c r="G87" s="223">
        <f>'Phase calculation'!C44</f>
        <v>0</v>
      </c>
      <c r="H87" s="223">
        <f>'Phase calculation'!D44</f>
        <v>0</v>
      </c>
      <c r="I87" s="223">
        <f>'Phase calculation'!F44</f>
        <v>0</v>
      </c>
      <c r="J87" s="223">
        <f>'Phase calculation'!G44</f>
        <v>0</v>
      </c>
      <c r="K87" s="223">
        <f>'Phase calculation'!I44</f>
        <v>0</v>
      </c>
      <c r="L87" s="223">
        <f>'Phase calculation'!J44</f>
        <v>0</v>
      </c>
      <c r="M87" s="223">
        <f>'Phase calculation'!L44</f>
        <v>0</v>
      </c>
      <c r="N87" s="223">
        <f>'Phase calculation'!M44</f>
        <v>0</v>
      </c>
    </row>
    <row r="88" spans="6:19" s="222" customFormat="1" x14ac:dyDescent="0.25">
      <c r="F88" s="223" t="s">
        <v>139</v>
      </c>
      <c r="G88" s="223" t="str">
        <f>'Phase calculation'!C45</f>
        <v>N/A</v>
      </c>
      <c r="H88" s="223" t="str">
        <f>'Phase calculation'!D45</f>
        <v>N/A</v>
      </c>
      <c r="I88" s="223" t="str">
        <f>'Phase calculation'!F45</f>
        <v>N/A</v>
      </c>
      <c r="J88" s="223" t="str">
        <f>'Phase calculation'!G45</f>
        <v>N/A</v>
      </c>
      <c r="K88" s="223" t="str">
        <f>'Phase calculation'!I45</f>
        <v>N/A</v>
      </c>
      <c r="L88" s="223" t="str">
        <f>'Phase calculation'!J45</f>
        <v>N/A</v>
      </c>
      <c r="M88" s="223" t="str">
        <f>'Phase calculation'!L45</f>
        <v>N/A</v>
      </c>
      <c r="N88" s="223" t="str">
        <f>'Phase calculation'!M45</f>
        <v>N/A</v>
      </c>
    </row>
    <row r="89" spans="6:19" s="222" customFormat="1" ht="21" thickBot="1" x14ac:dyDescent="0.35">
      <c r="G89" s="475" t="s">
        <v>560</v>
      </c>
      <c r="H89" s="475" t="s">
        <v>556</v>
      </c>
      <c r="I89" s="475" t="s">
        <v>561</v>
      </c>
      <c r="J89" s="475" t="s">
        <v>555</v>
      </c>
      <c r="K89" s="475" t="s">
        <v>559</v>
      </c>
      <c r="L89" s="475" t="s">
        <v>557</v>
      </c>
      <c r="M89" s="475">
        <v>9</v>
      </c>
      <c r="N89" s="475" t="s">
        <v>558</v>
      </c>
    </row>
    <row r="90" spans="6:19" s="223" customFormat="1" ht="20.25" x14ac:dyDescent="0.3">
      <c r="F90" s="224" t="s">
        <v>124</v>
      </c>
      <c r="G90" s="224">
        <v>1</v>
      </c>
      <c r="H90" s="225">
        <v>2</v>
      </c>
      <c r="I90" s="225">
        <v>3</v>
      </c>
      <c r="J90" s="225">
        <v>4</v>
      </c>
      <c r="K90" s="225">
        <v>5</v>
      </c>
      <c r="L90" s="225">
        <v>6</v>
      </c>
      <c r="M90" s="225">
        <v>7</v>
      </c>
      <c r="N90" s="226">
        <v>8</v>
      </c>
      <c r="P90" s="223">
        <v>8</v>
      </c>
      <c r="Q90" s="475" t="str">
        <f>INDEX($G$93:$N$93,1,P90)</f>
        <v>&gt;</v>
      </c>
      <c r="R90" s="475"/>
      <c r="S90" s="475"/>
    </row>
    <row r="91" spans="6:19" s="223" customFormat="1" ht="21" hidden="1" x14ac:dyDescent="0.35">
      <c r="F91" s="227" t="s">
        <v>315</v>
      </c>
      <c r="G91" s="227">
        <f>IFERROR(MATCH(G90,$G$83:$N$83,0),0)</f>
        <v>0</v>
      </c>
      <c r="H91" s="228">
        <f t="shared" ref="H91:N91" si="0">IFERROR(MATCH(H90,$G$83:$N$83,0),0)</f>
        <v>5</v>
      </c>
      <c r="I91" s="228">
        <f t="shared" si="0"/>
        <v>0</v>
      </c>
      <c r="J91" s="228">
        <f t="shared" si="0"/>
        <v>1</v>
      </c>
      <c r="K91" s="228">
        <f t="shared" si="0"/>
        <v>0</v>
      </c>
      <c r="L91" s="228">
        <f t="shared" si="0"/>
        <v>7</v>
      </c>
      <c r="M91" s="228">
        <f t="shared" si="0"/>
        <v>0</v>
      </c>
      <c r="N91" s="229">
        <f t="shared" si="0"/>
        <v>3</v>
      </c>
      <c r="Q91" s="476" t="e">
        <f t="shared" ref="Q91:Q98" si="1">INDEX($G$93:$N$93,1,P91)</f>
        <v>#VALUE!</v>
      </c>
      <c r="R91" s="476"/>
      <c r="S91" s="476"/>
    </row>
    <row r="92" spans="6:19" s="223" customFormat="1" ht="20.25" x14ac:dyDescent="0.3">
      <c r="F92" s="563" t="s">
        <v>73</v>
      </c>
      <c r="G92" s="227" t="str">
        <f>IF(G91=0,"Not used",INDEX($G$82:$N$82,G91))</f>
        <v>Not used</v>
      </c>
      <c r="H92" s="228" t="str">
        <f t="shared" ref="H92:N92" si="2">IF(H91=0,"Not used",INDEX($G$82:$N$82,H91))</f>
        <v>NBL</v>
      </c>
      <c r="I92" s="228" t="str">
        <f t="shared" si="2"/>
        <v>Not used</v>
      </c>
      <c r="J92" s="228" t="str">
        <f t="shared" si="2"/>
        <v>EBL</v>
      </c>
      <c r="K92" s="228" t="str">
        <f t="shared" si="2"/>
        <v>Not used</v>
      </c>
      <c r="L92" s="228" t="str">
        <f t="shared" si="2"/>
        <v>SBL</v>
      </c>
      <c r="M92" s="228" t="str">
        <f t="shared" si="2"/>
        <v>Not used</v>
      </c>
      <c r="N92" s="229" t="str">
        <f t="shared" si="2"/>
        <v>WBL</v>
      </c>
      <c r="P92" s="223">
        <v>7</v>
      </c>
      <c r="Q92" s="475" t="str">
        <f t="shared" si="1"/>
        <v/>
      </c>
      <c r="R92" s="475"/>
      <c r="S92" s="475"/>
    </row>
    <row r="93" spans="6:19" s="223" customFormat="1" ht="25.5" x14ac:dyDescent="0.35">
      <c r="F93" s="563"/>
      <c r="G93" s="477" t="str">
        <f t="shared" ref="G93:N93" si="3">IF(G91=0,"",INDEX($G$89:$N$89,G91))</f>
        <v/>
      </c>
      <c r="H93" s="478" t="str">
        <f t="shared" si="3"/>
        <v>:</v>
      </c>
      <c r="I93" s="478" t="str">
        <f t="shared" si="3"/>
        <v/>
      </c>
      <c r="J93" s="478" t="str">
        <f t="shared" si="3"/>
        <v>=</v>
      </c>
      <c r="K93" s="478" t="str">
        <f t="shared" si="3"/>
        <v/>
      </c>
      <c r="L93" s="478">
        <f t="shared" si="3"/>
        <v>9</v>
      </c>
      <c r="M93" s="478" t="str">
        <f t="shared" si="3"/>
        <v/>
      </c>
      <c r="N93" s="479" t="str">
        <f t="shared" si="3"/>
        <v>&gt;</v>
      </c>
      <c r="P93" s="223">
        <v>6</v>
      </c>
      <c r="Q93" s="475">
        <f t="shared" si="1"/>
        <v>9</v>
      </c>
      <c r="R93" s="475"/>
      <c r="S93" s="475"/>
    </row>
    <row r="94" spans="6:19" s="223" customFormat="1" ht="20.25" x14ac:dyDescent="0.3">
      <c r="F94" s="227" t="s">
        <v>317</v>
      </c>
      <c r="G94" s="227" t="str">
        <f>IF(G91=0,"Not used",INDEX($G$84:$N$84,G91))</f>
        <v>Not used</v>
      </c>
      <c r="H94" s="228" t="e">
        <f t="shared" ref="H94:N94" si="4">IF(H91=0,"Not used",INDEX($G$84:$N$84,H91))</f>
        <v>#N/A</v>
      </c>
      <c r="I94" s="228" t="str">
        <f t="shared" si="4"/>
        <v>Not used</v>
      </c>
      <c r="J94" s="228" t="e">
        <f t="shared" si="4"/>
        <v>#N/A</v>
      </c>
      <c r="K94" s="228" t="str">
        <f t="shared" si="4"/>
        <v>Not used</v>
      </c>
      <c r="L94" s="228" t="e">
        <f t="shared" si="4"/>
        <v>#N/A</v>
      </c>
      <c r="M94" s="228" t="str">
        <f t="shared" si="4"/>
        <v>Not used</v>
      </c>
      <c r="N94" s="229" t="e">
        <f t="shared" si="4"/>
        <v>#N/A</v>
      </c>
      <c r="P94" s="223">
        <v>5</v>
      </c>
      <c r="Q94" s="475" t="str">
        <f t="shared" si="1"/>
        <v/>
      </c>
      <c r="R94" s="475"/>
      <c r="S94" s="475"/>
    </row>
    <row r="95" spans="6:19" s="223" customFormat="1" ht="20.25" x14ac:dyDescent="0.3">
      <c r="F95" s="227" t="s">
        <v>318</v>
      </c>
      <c r="G95" s="227" t="str">
        <f>IF(G91=0,"Not used",INDEX($G$85:$N$85,G91))</f>
        <v>Not used</v>
      </c>
      <c r="H95" s="228" t="e">
        <f t="shared" ref="H95:N95" si="5">IF(H91=0,"Not used",INDEX($G$85:$N$85,H91))</f>
        <v>#N/A</v>
      </c>
      <c r="I95" s="228" t="str">
        <f t="shared" si="5"/>
        <v>Not used</v>
      </c>
      <c r="J95" s="228" t="e">
        <f t="shared" si="5"/>
        <v>#N/A</v>
      </c>
      <c r="K95" s="228" t="str">
        <f t="shared" si="5"/>
        <v>Not used</v>
      </c>
      <c r="L95" s="228" t="e">
        <f t="shared" si="5"/>
        <v>#N/A</v>
      </c>
      <c r="M95" s="228" t="str">
        <f t="shared" si="5"/>
        <v>Not used</v>
      </c>
      <c r="N95" s="229" t="e">
        <f t="shared" si="5"/>
        <v>#N/A</v>
      </c>
      <c r="P95" s="223">
        <v>4</v>
      </c>
      <c r="Q95" s="475" t="str">
        <f t="shared" si="1"/>
        <v>=</v>
      </c>
      <c r="R95" s="475"/>
      <c r="S95" s="475"/>
    </row>
    <row r="96" spans="6:19" s="223" customFormat="1" ht="20.25" x14ac:dyDescent="0.3">
      <c r="F96" s="227" t="s">
        <v>135</v>
      </c>
      <c r="G96" s="227" t="str">
        <f>IF(G91=0,"Not used",INDEX($G$86:$N$86,G91))</f>
        <v>Not used</v>
      </c>
      <c r="H96" s="228" t="e">
        <f t="shared" ref="H96:N96" si="6">IF(H91=0,"Not used",INDEX($G$86:$N$86,H91))</f>
        <v>#N/A</v>
      </c>
      <c r="I96" s="228" t="str">
        <f t="shared" si="6"/>
        <v>Not used</v>
      </c>
      <c r="J96" s="228" t="e">
        <f t="shared" si="6"/>
        <v>#N/A</v>
      </c>
      <c r="K96" s="228" t="str">
        <f t="shared" si="6"/>
        <v>Not used</v>
      </c>
      <c r="L96" s="228" t="e">
        <f t="shared" si="6"/>
        <v>#N/A</v>
      </c>
      <c r="M96" s="228" t="str">
        <f t="shared" si="6"/>
        <v>Not used</v>
      </c>
      <c r="N96" s="229" t="e">
        <f t="shared" si="6"/>
        <v>#N/A</v>
      </c>
      <c r="P96" s="223">
        <v>3</v>
      </c>
      <c r="Q96" s="475" t="str">
        <f t="shared" si="1"/>
        <v/>
      </c>
      <c r="R96" s="475"/>
      <c r="S96" s="475"/>
    </row>
    <row r="97" spans="6:19" s="223" customFormat="1" ht="20.25" x14ac:dyDescent="0.3">
      <c r="F97" s="227" t="s">
        <v>319</v>
      </c>
      <c r="G97" s="227" t="str">
        <f>IF(G91=0,"Not used",INDEX($G$87:$N$87,G91))</f>
        <v>Not used</v>
      </c>
      <c r="H97" s="228">
        <f t="shared" ref="H97:N97" si="7">IF(H91=0,"Not used",INDEX($G$87:$N$87,H91))</f>
        <v>0</v>
      </c>
      <c r="I97" s="228" t="str">
        <f t="shared" si="7"/>
        <v>Not used</v>
      </c>
      <c r="J97" s="228">
        <f t="shared" si="7"/>
        <v>0</v>
      </c>
      <c r="K97" s="228" t="str">
        <f t="shared" si="7"/>
        <v>Not used</v>
      </c>
      <c r="L97" s="228">
        <f t="shared" si="7"/>
        <v>0</v>
      </c>
      <c r="M97" s="228" t="str">
        <f t="shared" si="7"/>
        <v>Not used</v>
      </c>
      <c r="N97" s="229">
        <f t="shared" si="7"/>
        <v>0</v>
      </c>
      <c r="P97" s="223">
        <v>2</v>
      </c>
      <c r="Q97" s="475" t="str">
        <f t="shared" si="1"/>
        <v>:</v>
      </c>
      <c r="R97" s="475"/>
      <c r="S97" s="475"/>
    </row>
    <row r="98" spans="6:19" s="223" customFormat="1" ht="21" thickBot="1" x14ac:dyDescent="0.35">
      <c r="F98" s="230" t="s">
        <v>139</v>
      </c>
      <c r="G98" s="230" t="str">
        <f>IF(G91=0,"Not used",INDEX($G$88:$N$88,G91))</f>
        <v>Not used</v>
      </c>
      <c r="H98" s="231" t="str">
        <f t="shared" ref="H98:N98" si="8">IF(H91=0,"Not used",INDEX($G$88:$N$88,H91))</f>
        <v>N/A</v>
      </c>
      <c r="I98" s="231" t="str">
        <f t="shared" si="8"/>
        <v>Not used</v>
      </c>
      <c r="J98" s="231" t="str">
        <f t="shared" si="8"/>
        <v>N/A</v>
      </c>
      <c r="K98" s="231" t="str">
        <f t="shared" si="8"/>
        <v>Not used</v>
      </c>
      <c r="L98" s="231" t="str">
        <f t="shared" si="8"/>
        <v>N/A</v>
      </c>
      <c r="M98" s="231" t="str">
        <f t="shared" si="8"/>
        <v>Not used</v>
      </c>
      <c r="N98" s="232" t="str">
        <f t="shared" si="8"/>
        <v>N/A</v>
      </c>
      <c r="P98" s="223">
        <v>1</v>
      </c>
      <c r="Q98" s="475" t="str">
        <f t="shared" si="1"/>
        <v/>
      </c>
      <c r="R98" s="475"/>
      <c r="S98" s="475"/>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739</v>
      </c>
      <c r="B23" s="514">
        <v>44089</v>
      </c>
    </row>
    <row r="24" spans="1:11" x14ac:dyDescent="0.25">
      <c r="A24" t="s">
        <v>660</v>
      </c>
      <c r="B24" s="493">
        <v>0.33819444444444446</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672</v>
      </c>
    </row>
    <row r="85" spans="1:10" x14ac:dyDescent="0.25">
      <c r="A85" t="s">
        <v>0</v>
      </c>
      <c r="B85" t="s">
        <v>1</v>
      </c>
      <c r="C85" t="s">
        <v>399</v>
      </c>
      <c r="D85" t="s">
        <v>400</v>
      </c>
      <c r="E85" t="s">
        <v>397</v>
      </c>
      <c r="F85" t="s">
        <v>398</v>
      </c>
      <c r="G85" t="s">
        <v>673</v>
      </c>
      <c r="H85" t="s">
        <v>674</v>
      </c>
      <c r="I85" t="s">
        <v>675</v>
      </c>
      <c r="J85" t="s">
        <v>676</v>
      </c>
    </row>
    <row r="86" spans="1:10" x14ac:dyDescent="0.25">
      <c r="A86" t="s">
        <v>677</v>
      </c>
      <c r="B86">
        <v>1</v>
      </c>
      <c r="C86">
        <v>5</v>
      </c>
      <c r="D86">
        <v>3</v>
      </c>
      <c r="E86">
        <v>9</v>
      </c>
      <c r="F86">
        <v>2</v>
      </c>
    </row>
    <row r="87" spans="1:10" x14ac:dyDescent="0.25">
      <c r="A87" t="s">
        <v>36</v>
      </c>
      <c r="B87">
        <v>1</v>
      </c>
      <c r="C87">
        <v>4</v>
      </c>
      <c r="D87">
        <v>4</v>
      </c>
      <c r="E87">
        <v>4</v>
      </c>
      <c r="F87">
        <v>4</v>
      </c>
    </row>
    <row r="88" spans="1:10" x14ac:dyDescent="0.25">
      <c r="A88" t="s">
        <v>503</v>
      </c>
      <c r="B88">
        <v>1</v>
      </c>
      <c r="C88" t="s">
        <v>740</v>
      </c>
      <c r="D88" t="s">
        <v>740</v>
      </c>
      <c r="E88" t="s">
        <v>741</v>
      </c>
      <c r="F88" t="s">
        <v>741</v>
      </c>
    </row>
    <row r="89" spans="1:10" x14ac:dyDescent="0.25">
      <c r="A89" t="s">
        <v>678</v>
      </c>
      <c r="B89">
        <v>1</v>
      </c>
      <c r="C89">
        <v>526</v>
      </c>
      <c r="D89">
        <v>579</v>
      </c>
      <c r="E89">
        <v>2966</v>
      </c>
      <c r="F89">
        <v>739</v>
      </c>
    </row>
    <row r="90" spans="1:10" x14ac:dyDescent="0.25">
      <c r="A90" t="s">
        <v>42</v>
      </c>
      <c r="B90">
        <v>1</v>
      </c>
      <c r="C90">
        <v>40</v>
      </c>
      <c r="D90">
        <v>40</v>
      </c>
      <c r="E90">
        <v>45</v>
      </c>
      <c r="F90">
        <v>45</v>
      </c>
    </row>
    <row r="91" spans="1:10" x14ac:dyDescent="0.25">
      <c r="A91" t="s">
        <v>679</v>
      </c>
      <c r="B91">
        <v>1</v>
      </c>
      <c r="C91">
        <v>9</v>
      </c>
      <c r="D91">
        <v>9.9</v>
      </c>
      <c r="E91">
        <v>44.9</v>
      </c>
      <c r="F91">
        <v>11.2</v>
      </c>
    </row>
    <row r="92" spans="1:10" x14ac:dyDescent="0.25">
      <c r="A92" t="s">
        <v>41</v>
      </c>
      <c r="B92">
        <v>1</v>
      </c>
      <c r="C92">
        <v>0</v>
      </c>
      <c r="D92">
        <v>0</v>
      </c>
      <c r="E92">
        <v>0</v>
      </c>
      <c r="F92">
        <v>0</v>
      </c>
    </row>
    <row r="93" spans="1:10" x14ac:dyDescent="0.25">
      <c r="A93" t="s">
        <v>680</v>
      </c>
      <c r="B93">
        <v>1</v>
      </c>
      <c r="C93">
        <v>12</v>
      </c>
      <c r="D93">
        <v>12</v>
      </c>
      <c r="E93">
        <v>12</v>
      </c>
      <c r="F93">
        <v>12</v>
      </c>
    </row>
    <row r="94" spans="1:10" x14ac:dyDescent="0.25">
      <c r="A94" t="s">
        <v>563</v>
      </c>
      <c r="B94">
        <v>1</v>
      </c>
      <c r="C94">
        <v>0</v>
      </c>
      <c r="D94">
        <v>0</v>
      </c>
      <c r="E94">
        <v>0</v>
      </c>
      <c r="F94">
        <v>0</v>
      </c>
    </row>
    <row r="95" spans="1:10" x14ac:dyDescent="0.25">
      <c r="A95" t="s">
        <v>681</v>
      </c>
      <c r="B95">
        <v>1</v>
      </c>
      <c r="C95">
        <v>0</v>
      </c>
      <c r="D95">
        <v>0</v>
      </c>
      <c r="E95">
        <v>0</v>
      </c>
      <c r="F95">
        <v>0</v>
      </c>
    </row>
    <row r="96" spans="1:10" x14ac:dyDescent="0.25">
      <c r="A96" t="s">
        <v>682</v>
      </c>
      <c r="B96">
        <v>1</v>
      </c>
      <c r="C96">
        <v>16</v>
      </c>
      <c r="D96">
        <v>16</v>
      </c>
      <c r="E96">
        <v>16</v>
      </c>
      <c r="F96">
        <v>16</v>
      </c>
    </row>
    <row r="97" spans="1:6" x14ac:dyDescent="0.25">
      <c r="A97" t="s">
        <v>683</v>
      </c>
      <c r="B97">
        <v>1</v>
      </c>
      <c r="C97">
        <v>583</v>
      </c>
      <c r="D97">
        <v>583</v>
      </c>
      <c r="E97">
        <v>583</v>
      </c>
      <c r="F97">
        <v>583</v>
      </c>
    </row>
    <row r="98" spans="1:6" x14ac:dyDescent="0.25">
      <c r="A98" t="s">
        <v>684</v>
      </c>
      <c r="B98">
        <v>1</v>
      </c>
      <c r="C98">
        <v>1761</v>
      </c>
      <c r="D98">
        <v>1761</v>
      </c>
      <c r="E98">
        <v>1980</v>
      </c>
      <c r="F98">
        <v>1980</v>
      </c>
    </row>
    <row r="99" spans="1:6" x14ac:dyDescent="0.25">
      <c r="A99" t="s">
        <v>685</v>
      </c>
      <c r="B99">
        <v>1</v>
      </c>
      <c r="C99">
        <v>1174</v>
      </c>
      <c r="D99">
        <v>1174</v>
      </c>
      <c r="E99">
        <v>1320</v>
      </c>
      <c r="F99">
        <v>1320</v>
      </c>
    </row>
    <row r="100" spans="1:6" x14ac:dyDescent="0.25">
      <c r="A100" t="s">
        <v>686</v>
      </c>
      <c r="B100">
        <v>1</v>
      </c>
      <c r="C100">
        <v>2348</v>
      </c>
      <c r="D100">
        <v>2348</v>
      </c>
      <c r="E100">
        <v>2640</v>
      </c>
      <c r="F100">
        <v>2640</v>
      </c>
    </row>
    <row r="101" spans="1:6" x14ac:dyDescent="0.25">
      <c r="A101" t="s">
        <v>687</v>
      </c>
      <c r="B101">
        <v>1</v>
      </c>
      <c r="C101">
        <v>-346781</v>
      </c>
    </row>
    <row r="102" spans="1:6" x14ac:dyDescent="0.25">
      <c r="A102" t="s">
        <v>688</v>
      </c>
      <c r="B102">
        <v>1</v>
      </c>
      <c r="C102">
        <v>9567</v>
      </c>
    </row>
    <row r="103" spans="1:6" x14ac:dyDescent="0.25">
      <c r="A103" t="s">
        <v>689</v>
      </c>
      <c r="B103">
        <v>1</v>
      </c>
      <c r="C103">
        <v>0</v>
      </c>
    </row>
    <row r="104" spans="1:6" x14ac:dyDescent="0.25">
      <c r="A104" t="s">
        <v>690</v>
      </c>
      <c r="B104">
        <v>1</v>
      </c>
      <c r="C104" t="b">
        <v>0</v>
      </c>
      <c r="D104" t="b">
        <v>0</v>
      </c>
      <c r="E104" t="b">
        <v>0</v>
      </c>
      <c r="F104" t="b">
        <v>0</v>
      </c>
    </row>
    <row r="105" spans="1:6" x14ac:dyDescent="0.25">
      <c r="A105" t="s">
        <v>691</v>
      </c>
      <c r="B105">
        <v>1</v>
      </c>
      <c r="C105" t="b">
        <v>0</v>
      </c>
      <c r="D105" t="b">
        <v>0</v>
      </c>
      <c r="E105" t="b">
        <v>0</v>
      </c>
      <c r="F105" t="b">
        <v>0</v>
      </c>
    </row>
    <row r="106" spans="1:6" x14ac:dyDescent="0.25">
      <c r="A106" t="s">
        <v>677</v>
      </c>
      <c r="B106">
        <v>2</v>
      </c>
      <c r="E106">
        <v>1</v>
      </c>
    </row>
    <row r="107" spans="1:6" x14ac:dyDescent="0.25">
      <c r="A107" t="s">
        <v>36</v>
      </c>
      <c r="B107">
        <v>2</v>
      </c>
      <c r="E107">
        <v>3</v>
      </c>
    </row>
    <row r="108" spans="1:6" x14ac:dyDescent="0.25">
      <c r="A108" t="s">
        <v>503</v>
      </c>
      <c r="B108">
        <v>2</v>
      </c>
      <c r="E108" t="s">
        <v>741</v>
      </c>
    </row>
    <row r="109" spans="1:6" x14ac:dyDescent="0.25">
      <c r="A109" t="s">
        <v>678</v>
      </c>
      <c r="B109">
        <v>2</v>
      </c>
      <c r="E109">
        <v>739</v>
      </c>
    </row>
    <row r="110" spans="1:6" x14ac:dyDescent="0.25">
      <c r="A110" t="s">
        <v>42</v>
      </c>
      <c r="B110">
        <v>2</v>
      </c>
      <c r="E110">
        <v>30</v>
      </c>
    </row>
    <row r="111" spans="1:6" x14ac:dyDescent="0.25">
      <c r="A111" t="s">
        <v>679</v>
      </c>
      <c r="B111">
        <v>2</v>
      </c>
      <c r="E111">
        <v>16.8</v>
      </c>
    </row>
    <row r="112" spans="1:6" x14ac:dyDescent="0.25">
      <c r="A112" t="s">
        <v>41</v>
      </c>
      <c r="B112">
        <v>2</v>
      </c>
      <c r="E112">
        <v>0</v>
      </c>
    </row>
    <row r="113" spans="1:5" x14ac:dyDescent="0.25">
      <c r="A113" t="s">
        <v>680</v>
      </c>
      <c r="B113">
        <v>2</v>
      </c>
      <c r="E113">
        <v>12</v>
      </c>
    </row>
    <row r="114" spans="1:5" x14ac:dyDescent="0.25">
      <c r="A114" t="s">
        <v>563</v>
      </c>
      <c r="B114">
        <v>2</v>
      </c>
      <c r="E114">
        <v>0</v>
      </c>
    </row>
    <row r="115" spans="1:5" x14ac:dyDescent="0.25">
      <c r="A115" t="s">
        <v>681</v>
      </c>
      <c r="B115">
        <v>2</v>
      </c>
      <c r="E115">
        <v>0</v>
      </c>
    </row>
    <row r="116" spans="1:5" x14ac:dyDescent="0.25">
      <c r="A116" t="s">
        <v>682</v>
      </c>
      <c r="B116">
        <v>2</v>
      </c>
      <c r="E116">
        <v>16</v>
      </c>
    </row>
    <row r="117" spans="1:5" x14ac:dyDescent="0.25">
      <c r="A117" t="s">
        <v>683</v>
      </c>
      <c r="B117">
        <v>2</v>
      </c>
      <c r="E117">
        <v>200</v>
      </c>
    </row>
    <row r="118" spans="1:5" x14ac:dyDescent="0.25">
      <c r="A118" t="s">
        <v>684</v>
      </c>
      <c r="B118">
        <v>2</v>
      </c>
      <c r="E118">
        <v>1320</v>
      </c>
    </row>
    <row r="119" spans="1:5" x14ac:dyDescent="0.25">
      <c r="A119" t="s">
        <v>685</v>
      </c>
      <c r="B119">
        <v>2</v>
      </c>
      <c r="E119">
        <v>880</v>
      </c>
    </row>
    <row r="120" spans="1:5" x14ac:dyDescent="0.25">
      <c r="A120" t="s">
        <v>686</v>
      </c>
      <c r="B120">
        <v>2</v>
      </c>
      <c r="E120">
        <v>1760</v>
      </c>
    </row>
    <row r="121" spans="1:5" x14ac:dyDescent="0.25">
      <c r="A121" t="s">
        <v>687</v>
      </c>
      <c r="B121">
        <v>2</v>
      </c>
    </row>
    <row r="122" spans="1:5" x14ac:dyDescent="0.25">
      <c r="A122" t="s">
        <v>688</v>
      </c>
      <c r="B122">
        <v>2</v>
      </c>
    </row>
    <row r="123" spans="1:5" x14ac:dyDescent="0.25">
      <c r="A123" t="s">
        <v>689</v>
      </c>
      <c r="B123">
        <v>2</v>
      </c>
    </row>
    <row r="124" spans="1:5" x14ac:dyDescent="0.25">
      <c r="A124" t="s">
        <v>690</v>
      </c>
      <c r="B124">
        <v>2</v>
      </c>
      <c r="E124" t="b">
        <v>0</v>
      </c>
    </row>
    <row r="125" spans="1:5" x14ac:dyDescent="0.25">
      <c r="A125" t="s">
        <v>691</v>
      </c>
      <c r="B125">
        <v>2</v>
      </c>
      <c r="E125" t="b">
        <v>0</v>
      </c>
    </row>
    <row r="126" spans="1:5" x14ac:dyDescent="0.25">
      <c r="A126" t="s">
        <v>677</v>
      </c>
      <c r="B126">
        <v>3</v>
      </c>
      <c r="C126">
        <v>1</v>
      </c>
    </row>
    <row r="127" spans="1:5" x14ac:dyDescent="0.25">
      <c r="A127" t="s">
        <v>36</v>
      </c>
      <c r="B127">
        <v>3</v>
      </c>
      <c r="C127">
        <v>2</v>
      </c>
    </row>
    <row r="128" spans="1:5" x14ac:dyDescent="0.25">
      <c r="A128" t="s">
        <v>503</v>
      </c>
      <c r="B128">
        <v>3</v>
      </c>
      <c r="C128" t="s">
        <v>740</v>
      </c>
    </row>
    <row r="129" spans="1:3" x14ac:dyDescent="0.25">
      <c r="A129" t="s">
        <v>678</v>
      </c>
      <c r="B129">
        <v>3</v>
      </c>
      <c r="C129">
        <v>579</v>
      </c>
    </row>
    <row r="130" spans="1:3" x14ac:dyDescent="0.25">
      <c r="A130" t="s">
        <v>42</v>
      </c>
      <c r="B130">
        <v>3</v>
      </c>
      <c r="C130">
        <v>30</v>
      </c>
    </row>
    <row r="131" spans="1:3" x14ac:dyDescent="0.25">
      <c r="A131" t="s">
        <v>679</v>
      </c>
      <c r="B131">
        <v>3</v>
      </c>
      <c r="C131">
        <v>13.2</v>
      </c>
    </row>
    <row r="132" spans="1:3" x14ac:dyDescent="0.25">
      <c r="A132" t="s">
        <v>41</v>
      </c>
      <c r="B132">
        <v>3</v>
      </c>
      <c r="C132">
        <v>0</v>
      </c>
    </row>
    <row r="133" spans="1:3" x14ac:dyDescent="0.25">
      <c r="A133" t="s">
        <v>680</v>
      </c>
      <c r="B133">
        <v>3</v>
      </c>
      <c r="C133">
        <v>12</v>
      </c>
    </row>
    <row r="134" spans="1:3" x14ac:dyDescent="0.25">
      <c r="A134" t="s">
        <v>563</v>
      </c>
      <c r="B134">
        <v>3</v>
      </c>
      <c r="C134">
        <v>0</v>
      </c>
    </row>
    <row r="135" spans="1:3" x14ac:dyDescent="0.25">
      <c r="A135" t="s">
        <v>681</v>
      </c>
      <c r="B135">
        <v>3</v>
      </c>
      <c r="C135">
        <v>0</v>
      </c>
    </row>
    <row r="136" spans="1:3" x14ac:dyDescent="0.25">
      <c r="A136" t="s">
        <v>682</v>
      </c>
      <c r="B136">
        <v>3</v>
      </c>
      <c r="C136">
        <v>16</v>
      </c>
    </row>
    <row r="137" spans="1:3" x14ac:dyDescent="0.25">
      <c r="A137" t="s">
        <v>683</v>
      </c>
      <c r="B137">
        <v>3</v>
      </c>
      <c r="C137">
        <v>200</v>
      </c>
    </row>
    <row r="138" spans="1:3" x14ac:dyDescent="0.25">
      <c r="A138" t="s">
        <v>684</v>
      </c>
      <c r="B138">
        <v>3</v>
      </c>
      <c r="C138">
        <v>1320</v>
      </c>
    </row>
    <row r="139" spans="1:3" x14ac:dyDescent="0.25">
      <c r="A139" t="s">
        <v>685</v>
      </c>
      <c r="B139">
        <v>3</v>
      </c>
      <c r="C139">
        <v>880</v>
      </c>
    </row>
    <row r="140" spans="1:3" x14ac:dyDescent="0.25">
      <c r="A140" t="s">
        <v>686</v>
      </c>
      <c r="B140">
        <v>3</v>
      </c>
      <c r="C140">
        <v>1760</v>
      </c>
    </row>
    <row r="141" spans="1:3" x14ac:dyDescent="0.25">
      <c r="A141" t="s">
        <v>687</v>
      </c>
      <c r="B141">
        <v>3</v>
      </c>
    </row>
    <row r="142" spans="1:3" x14ac:dyDescent="0.25">
      <c r="A142" t="s">
        <v>688</v>
      </c>
      <c r="B142">
        <v>3</v>
      </c>
    </row>
    <row r="143" spans="1:3" x14ac:dyDescent="0.25">
      <c r="A143" t="s">
        <v>689</v>
      </c>
      <c r="B143">
        <v>3</v>
      </c>
    </row>
    <row r="144" spans="1:3" x14ac:dyDescent="0.25">
      <c r="A144" t="s">
        <v>690</v>
      </c>
      <c r="B144">
        <v>3</v>
      </c>
      <c r="C144" t="b">
        <v>0</v>
      </c>
    </row>
    <row r="145" spans="1:3" x14ac:dyDescent="0.25">
      <c r="A145" t="s">
        <v>691</v>
      </c>
      <c r="B145">
        <v>3</v>
      </c>
      <c r="C145" t="b">
        <v>0</v>
      </c>
    </row>
    <row r="146" spans="1:3" x14ac:dyDescent="0.25">
      <c r="A146" t="s">
        <v>677</v>
      </c>
      <c r="B146">
        <v>4</v>
      </c>
      <c r="C146">
        <v>9</v>
      </c>
    </row>
    <row r="147" spans="1:3" x14ac:dyDescent="0.25">
      <c r="A147" t="s">
        <v>36</v>
      </c>
      <c r="B147">
        <v>4</v>
      </c>
      <c r="C147">
        <v>1</v>
      </c>
    </row>
    <row r="148" spans="1:3" x14ac:dyDescent="0.25">
      <c r="A148" t="s">
        <v>503</v>
      </c>
      <c r="B148">
        <v>4</v>
      </c>
      <c r="C148" t="s">
        <v>742</v>
      </c>
    </row>
    <row r="149" spans="1:3" x14ac:dyDescent="0.25">
      <c r="A149" t="s">
        <v>678</v>
      </c>
      <c r="B149">
        <v>4</v>
      </c>
      <c r="C149">
        <v>365</v>
      </c>
    </row>
    <row r="150" spans="1:3" x14ac:dyDescent="0.25">
      <c r="A150" t="s">
        <v>42</v>
      </c>
      <c r="B150">
        <v>4</v>
      </c>
      <c r="C150">
        <v>25</v>
      </c>
    </row>
    <row r="151" spans="1:3" x14ac:dyDescent="0.25">
      <c r="A151" t="s">
        <v>679</v>
      </c>
      <c r="B151">
        <v>4</v>
      </c>
      <c r="C151">
        <v>10</v>
      </c>
    </row>
    <row r="152" spans="1:3" x14ac:dyDescent="0.25">
      <c r="A152" t="s">
        <v>41</v>
      </c>
      <c r="B152">
        <v>4</v>
      </c>
      <c r="C152">
        <v>0</v>
      </c>
    </row>
    <row r="153" spans="1:3" x14ac:dyDescent="0.25">
      <c r="A153" t="s">
        <v>680</v>
      </c>
      <c r="B153">
        <v>4</v>
      </c>
      <c r="C153">
        <v>12</v>
      </c>
    </row>
    <row r="154" spans="1:3" x14ac:dyDescent="0.25">
      <c r="A154" t="s">
        <v>563</v>
      </c>
      <c r="B154">
        <v>4</v>
      </c>
      <c r="C154">
        <v>0</v>
      </c>
    </row>
    <row r="155" spans="1:3" x14ac:dyDescent="0.25">
      <c r="A155" t="s">
        <v>681</v>
      </c>
      <c r="B155">
        <v>4</v>
      </c>
      <c r="C155">
        <v>1</v>
      </c>
    </row>
    <row r="156" spans="1:3" x14ac:dyDescent="0.25">
      <c r="A156" t="s">
        <v>682</v>
      </c>
      <c r="B156">
        <v>4</v>
      </c>
      <c r="C156">
        <v>16</v>
      </c>
    </row>
    <row r="157" spans="1:3" x14ac:dyDescent="0.25">
      <c r="A157" t="s">
        <v>683</v>
      </c>
      <c r="B157">
        <v>4</v>
      </c>
      <c r="C157">
        <v>200</v>
      </c>
    </row>
    <row r="158" spans="1:3" x14ac:dyDescent="0.25">
      <c r="A158" t="s">
        <v>684</v>
      </c>
      <c r="B158">
        <v>4</v>
      </c>
      <c r="C158">
        <v>1101</v>
      </c>
    </row>
    <row r="159" spans="1:3" x14ac:dyDescent="0.25">
      <c r="A159" t="s">
        <v>685</v>
      </c>
      <c r="B159">
        <v>4</v>
      </c>
      <c r="C159">
        <v>734</v>
      </c>
    </row>
    <row r="160" spans="1:3" x14ac:dyDescent="0.25">
      <c r="A160" t="s">
        <v>686</v>
      </c>
      <c r="B160">
        <v>4</v>
      </c>
      <c r="C160">
        <v>1468</v>
      </c>
    </row>
    <row r="161" spans="1:4" x14ac:dyDescent="0.25">
      <c r="A161" t="s">
        <v>687</v>
      </c>
      <c r="B161">
        <v>4</v>
      </c>
    </row>
    <row r="162" spans="1:4" x14ac:dyDescent="0.25">
      <c r="A162" t="s">
        <v>688</v>
      </c>
      <c r="B162">
        <v>4</v>
      </c>
    </row>
    <row r="163" spans="1:4" x14ac:dyDescent="0.25">
      <c r="A163" t="s">
        <v>689</v>
      </c>
      <c r="B163">
        <v>4</v>
      </c>
    </row>
    <row r="164" spans="1:4" x14ac:dyDescent="0.25">
      <c r="A164" t="s">
        <v>690</v>
      </c>
      <c r="B164">
        <v>4</v>
      </c>
      <c r="C164" t="b">
        <v>0</v>
      </c>
    </row>
    <row r="165" spans="1:4" x14ac:dyDescent="0.25">
      <c r="A165" t="s">
        <v>691</v>
      </c>
      <c r="B165">
        <v>4</v>
      </c>
      <c r="C165" t="b">
        <v>0</v>
      </c>
    </row>
    <row r="166" spans="1:4" x14ac:dyDescent="0.25">
      <c r="A166" t="s">
        <v>677</v>
      </c>
      <c r="B166">
        <v>5</v>
      </c>
      <c r="D166">
        <v>1</v>
      </c>
    </row>
    <row r="167" spans="1:4" x14ac:dyDescent="0.25">
      <c r="A167" t="s">
        <v>36</v>
      </c>
      <c r="B167">
        <v>5</v>
      </c>
      <c r="D167">
        <v>2</v>
      </c>
    </row>
    <row r="168" spans="1:4" x14ac:dyDescent="0.25">
      <c r="A168" t="s">
        <v>503</v>
      </c>
      <c r="B168">
        <v>5</v>
      </c>
      <c r="D168" t="s">
        <v>740</v>
      </c>
    </row>
    <row r="169" spans="1:4" x14ac:dyDescent="0.25">
      <c r="A169" t="s">
        <v>678</v>
      </c>
      <c r="B169">
        <v>5</v>
      </c>
      <c r="D169">
        <v>526</v>
      </c>
    </row>
    <row r="170" spans="1:4" x14ac:dyDescent="0.25">
      <c r="A170" t="s">
        <v>42</v>
      </c>
      <c r="B170">
        <v>5</v>
      </c>
      <c r="D170">
        <v>30</v>
      </c>
    </row>
    <row r="171" spans="1:4" x14ac:dyDescent="0.25">
      <c r="A171" t="s">
        <v>679</v>
      </c>
      <c r="B171">
        <v>5</v>
      </c>
      <c r="D171">
        <v>12</v>
      </c>
    </row>
    <row r="172" spans="1:4" x14ac:dyDescent="0.25">
      <c r="A172" t="s">
        <v>41</v>
      </c>
      <c r="B172">
        <v>5</v>
      </c>
      <c r="D172">
        <v>0</v>
      </c>
    </row>
    <row r="173" spans="1:4" x14ac:dyDescent="0.25">
      <c r="A173" t="s">
        <v>680</v>
      </c>
      <c r="B173">
        <v>5</v>
      </c>
      <c r="D173">
        <v>12</v>
      </c>
    </row>
    <row r="174" spans="1:4" x14ac:dyDescent="0.25">
      <c r="A174" t="s">
        <v>563</v>
      </c>
      <c r="B174">
        <v>5</v>
      </c>
      <c r="D174">
        <v>0</v>
      </c>
    </row>
    <row r="175" spans="1:4" x14ac:dyDescent="0.25">
      <c r="A175" t="s">
        <v>681</v>
      </c>
      <c r="B175">
        <v>5</v>
      </c>
      <c r="D175">
        <v>0</v>
      </c>
    </row>
    <row r="176" spans="1:4" x14ac:dyDescent="0.25">
      <c r="A176" t="s">
        <v>682</v>
      </c>
      <c r="B176">
        <v>5</v>
      </c>
      <c r="D176">
        <v>16</v>
      </c>
    </row>
    <row r="177" spans="1:4" x14ac:dyDescent="0.25">
      <c r="A177" t="s">
        <v>683</v>
      </c>
      <c r="B177">
        <v>5</v>
      </c>
      <c r="D177">
        <v>200</v>
      </c>
    </row>
    <row r="178" spans="1:4" x14ac:dyDescent="0.25">
      <c r="A178" t="s">
        <v>684</v>
      </c>
      <c r="B178">
        <v>5</v>
      </c>
      <c r="D178">
        <v>1320</v>
      </c>
    </row>
    <row r="179" spans="1:4" x14ac:dyDescent="0.25">
      <c r="A179" t="s">
        <v>685</v>
      </c>
      <c r="B179">
        <v>5</v>
      </c>
      <c r="D179">
        <v>880</v>
      </c>
    </row>
    <row r="180" spans="1:4" x14ac:dyDescent="0.25">
      <c r="A180" t="s">
        <v>686</v>
      </c>
      <c r="B180">
        <v>5</v>
      </c>
      <c r="D180">
        <v>1760</v>
      </c>
    </row>
    <row r="181" spans="1:4" x14ac:dyDescent="0.25">
      <c r="A181" t="s">
        <v>687</v>
      </c>
      <c r="B181">
        <v>5</v>
      </c>
      <c r="D181">
        <v>-346828</v>
      </c>
    </row>
    <row r="182" spans="1:4" x14ac:dyDescent="0.25">
      <c r="A182" t="s">
        <v>688</v>
      </c>
      <c r="B182">
        <v>5</v>
      </c>
      <c r="D182">
        <v>9398</v>
      </c>
    </row>
    <row r="183" spans="1:4" x14ac:dyDescent="0.25">
      <c r="A183" t="s">
        <v>689</v>
      </c>
      <c r="B183">
        <v>5</v>
      </c>
      <c r="D183">
        <v>0</v>
      </c>
    </row>
    <row r="184" spans="1:4" x14ac:dyDescent="0.25">
      <c r="A184" t="s">
        <v>690</v>
      </c>
      <c r="B184">
        <v>5</v>
      </c>
      <c r="D184" t="b">
        <v>0</v>
      </c>
    </row>
    <row r="185" spans="1:4" x14ac:dyDescent="0.25">
      <c r="A185" t="s">
        <v>691</v>
      </c>
      <c r="B185">
        <v>5</v>
      </c>
      <c r="D185" t="b">
        <v>0</v>
      </c>
    </row>
    <row r="186" spans="1:4" x14ac:dyDescent="0.25">
      <c r="A186" t="s">
        <v>677</v>
      </c>
      <c r="B186">
        <v>6</v>
      </c>
      <c r="D186">
        <v>9</v>
      </c>
    </row>
    <row r="187" spans="1:4" x14ac:dyDescent="0.25">
      <c r="A187" t="s">
        <v>36</v>
      </c>
      <c r="B187">
        <v>6</v>
      </c>
      <c r="D187">
        <v>1</v>
      </c>
    </row>
    <row r="188" spans="1:4" x14ac:dyDescent="0.25">
      <c r="A188" t="s">
        <v>503</v>
      </c>
      <c r="B188">
        <v>6</v>
      </c>
      <c r="D188" t="s">
        <v>742</v>
      </c>
    </row>
    <row r="189" spans="1:4" x14ac:dyDescent="0.25">
      <c r="A189" t="s">
        <v>678</v>
      </c>
      <c r="B189">
        <v>6</v>
      </c>
      <c r="D189">
        <v>575</v>
      </c>
    </row>
    <row r="190" spans="1:4" x14ac:dyDescent="0.25">
      <c r="A190" t="s">
        <v>42</v>
      </c>
      <c r="B190">
        <v>6</v>
      </c>
      <c r="D190">
        <v>30</v>
      </c>
    </row>
    <row r="191" spans="1:4" x14ac:dyDescent="0.25">
      <c r="A191" t="s">
        <v>679</v>
      </c>
      <c r="B191">
        <v>6</v>
      </c>
      <c r="D191">
        <v>13.1</v>
      </c>
    </row>
    <row r="192" spans="1:4" x14ac:dyDescent="0.25">
      <c r="A192" t="s">
        <v>41</v>
      </c>
      <c r="B192">
        <v>6</v>
      </c>
      <c r="D192">
        <v>0</v>
      </c>
    </row>
    <row r="193" spans="1:6" x14ac:dyDescent="0.25">
      <c r="A193" t="s">
        <v>680</v>
      </c>
      <c r="B193">
        <v>6</v>
      </c>
      <c r="D193">
        <v>12</v>
      </c>
    </row>
    <row r="194" spans="1:6" x14ac:dyDescent="0.25">
      <c r="A194" t="s">
        <v>563</v>
      </c>
      <c r="B194">
        <v>6</v>
      </c>
      <c r="D194">
        <v>0</v>
      </c>
    </row>
    <row r="195" spans="1:6" x14ac:dyDescent="0.25">
      <c r="A195" t="s">
        <v>681</v>
      </c>
      <c r="B195">
        <v>6</v>
      </c>
      <c r="D195">
        <v>0</v>
      </c>
    </row>
    <row r="196" spans="1:6" x14ac:dyDescent="0.25">
      <c r="A196" t="s">
        <v>682</v>
      </c>
      <c r="B196">
        <v>6</v>
      </c>
      <c r="D196">
        <v>16</v>
      </c>
    </row>
    <row r="197" spans="1:6" x14ac:dyDescent="0.25">
      <c r="A197" t="s">
        <v>683</v>
      </c>
      <c r="B197">
        <v>6</v>
      </c>
      <c r="D197">
        <v>200</v>
      </c>
    </row>
    <row r="198" spans="1:6" x14ac:dyDescent="0.25">
      <c r="A198" t="s">
        <v>684</v>
      </c>
      <c r="B198">
        <v>6</v>
      </c>
      <c r="D198">
        <v>1320</v>
      </c>
    </row>
    <row r="199" spans="1:6" x14ac:dyDescent="0.25">
      <c r="A199" t="s">
        <v>685</v>
      </c>
      <c r="B199">
        <v>6</v>
      </c>
      <c r="D199">
        <v>880</v>
      </c>
    </row>
    <row r="200" spans="1:6" x14ac:dyDescent="0.25">
      <c r="A200" t="s">
        <v>686</v>
      </c>
      <c r="B200">
        <v>6</v>
      </c>
      <c r="D200">
        <v>1760</v>
      </c>
    </row>
    <row r="201" spans="1:6" x14ac:dyDescent="0.25">
      <c r="A201" t="s">
        <v>687</v>
      </c>
      <c r="B201">
        <v>6</v>
      </c>
    </row>
    <row r="202" spans="1:6" x14ac:dyDescent="0.25">
      <c r="A202" t="s">
        <v>688</v>
      </c>
      <c r="B202">
        <v>6</v>
      </c>
    </row>
    <row r="203" spans="1:6" x14ac:dyDescent="0.25">
      <c r="A203" t="s">
        <v>689</v>
      </c>
      <c r="B203">
        <v>6</v>
      </c>
    </row>
    <row r="204" spans="1:6" x14ac:dyDescent="0.25">
      <c r="A204" t="s">
        <v>690</v>
      </c>
      <c r="B204">
        <v>6</v>
      </c>
      <c r="D204" t="b">
        <v>0</v>
      </c>
    </row>
    <row r="205" spans="1:6" x14ac:dyDescent="0.25">
      <c r="A205" t="s">
        <v>691</v>
      </c>
      <c r="B205">
        <v>6</v>
      </c>
      <c r="D205" t="b">
        <v>0</v>
      </c>
    </row>
    <row r="206" spans="1:6" x14ac:dyDescent="0.25">
      <c r="A206" t="s">
        <v>677</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743</v>
      </c>
      <c r="D208" t="s">
        <v>744</v>
      </c>
      <c r="E208" t="s">
        <v>741</v>
      </c>
      <c r="F208" t="s">
        <v>741</v>
      </c>
    </row>
    <row r="209" spans="1:6" x14ac:dyDescent="0.25">
      <c r="A209" t="s">
        <v>678</v>
      </c>
      <c r="B209">
        <v>7</v>
      </c>
      <c r="C209">
        <v>512</v>
      </c>
      <c r="D209">
        <v>667</v>
      </c>
      <c r="E209">
        <v>2820</v>
      </c>
      <c r="F209">
        <v>2784</v>
      </c>
    </row>
    <row r="210" spans="1:6" x14ac:dyDescent="0.25">
      <c r="A210" t="s">
        <v>42</v>
      </c>
      <c r="B210">
        <v>7</v>
      </c>
      <c r="C210">
        <v>30</v>
      </c>
      <c r="D210">
        <v>30</v>
      </c>
      <c r="E210">
        <v>45</v>
      </c>
      <c r="F210">
        <v>45</v>
      </c>
    </row>
    <row r="211" spans="1:6" x14ac:dyDescent="0.25">
      <c r="A211" t="s">
        <v>679</v>
      </c>
      <c r="B211">
        <v>7</v>
      </c>
      <c r="C211">
        <v>11.6</v>
      </c>
      <c r="D211">
        <v>15.2</v>
      </c>
      <c r="E211">
        <v>42.7</v>
      </c>
      <c r="F211">
        <v>42.2</v>
      </c>
    </row>
    <row r="212" spans="1:6" x14ac:dyDescent="0.25">
      <c r="A212" t="s">
        <v>41</v>
      </c>
      <c r="B212">
        <v>7</v>
      </c>
      <c r="C212">
        <v>0</v>
      </c>
      <c r="D212">
        <v>0</v>
      </c>
      <c r="E212">
        <v>0</v>
      </c>
      <c r="F212">
        <v>0</v>
      </c>
    </row>
    <row r="213" spans="1:6" x14ac:dyDescent="0.25">
      <c r="A213" t="s">
        <v>680</v>
      </c>
      <c r="B213">
        <v>7</v>
      </c>
      <c r="C213">
        <v>12</v>
      </c>
      <c r="D213">
        <v>12</v>
      </c>
      <c r="E213">
        <v>12</v>
      </c>
      <c r="F213">
        <v>12</v>
      </c>
    </row>
    <row r="214" spans="1:6" x14ac:dyDescent="0.25">
      <c r="A214" t="s">
        <v>563</v>
      </c>
      <c r="B214">
        <v>7</v>
      </c>
      <c r="C214">
        <v>0</v>
      </c>
      <c r="D214">
        <v>0</v>
      </c>
      <c r="E214">
        <v>0</v>
      </c>
      <c r="F214">
        <v>0</v>
      </c>
    </row>
    <row r="215" spans="1:6" x14ac:dyDescent="0.25">
      <c r="A215" t="s">
        <v>681</v>
      </c>
      <c r="B215">
        <v>7</v>
      </c>
      <c r="C215">
        <v>0</v>
      </c>
      <c r="D215">
        <v>0</v>
      </c>
      <c r="E215">
        <v>0</v>
      </c>
      <c r="F215">
        <v>0</v>
      </c>
    </row>
    <row r="216" spans="1:6" x14ac:dyDescent="0.25">
      <c r="A216" t="s">
        <v>682</v>
      </c>
      <c r="B216">
        <v>7</v>
      </c>
      <c r="C216">
        <v>16</v>
      </c>
      <c r="D216">
        <v>16</v>
      </c>
      <c r="E216">
        <v>16</v>
      </c>
      <c r="F216">
        <v>16</v>
      </c>
    </row>
    <row r="217" spans="1:6" x14ac:dyDescent="0.25">
      <c r="A217" t="s">
        <v>683</v>
      </c>
      <c r="B217">
        <v>7</v>
      </c>
      <c r="C217">
        <v>583</v>
      </c>
      <c r="D217">
        <v>583</v>
      </c>
      <c r="E217">
        <v>583</v>
      </c>
      <c r="F217">
        <v>583</v>
      </c>
    </row>
    <row r="218" spans="1:6" x14ac:dyDescent="0.25">
      <c r="A218" t="s">
        <v>684</v>
      </c>
      <c r="B218">
        <v>7</v>
      </c>
      <c r="C218">
        <v>1320</v>
      </c>
      <c r="D218">
        <v>1320</v>
      </c>
      <c r="E218">
        <v>1980</v>
      </c>
      <c r="F218">
        <v>1980</v>
      </c>
    </row>
    <row r="219" spans="1:6" x14ac:dyDescent="0.25">
      <c r="A219" t="s">
        <v>685</v>
      </c>
      <c r="B219">
        <v>7</v>
      </c>
      <c r="C219">
        <v>880</v>
      </c>
      <c r="D219">
        <v>880</v>
      </c>
      <c r="E219">
        <v>1320</v>
      </c>
      <c r="F219">
        <v>1320</v>
      </c>
    </row>
    <row r="220" spans="1:6" x14ac:dyDescent="0.25">
      <c r="A220" t="s">
        <v>686</v>
      </c>
      <c r="B220">
        <v>7</v>
      </c>
      <c r="C220">
        <v>1760</v>
      </c>
      <c r="D220">
        <v>1760</v>
      </c>
      <c r="E220">
        <v>2640</v>
      </c>
      <c r="F220">
        <v>2640</v>
      </c>
    </row>
    <row r="221" spans="1:6" x14ac:dyDescent="0.25">
      <c r="A221" t="s">
        <v>687</v>
      </c>
      <c r="B221">
        <v>7</v>
      </c>
    </row>
    <row r="222" spans="1:6" x14ac:dyDescent="0.25">
      <c r="A222" t="s">
        <v>688</v>
      </c>
      <c r="B222">
        <v>7</v>
      </c>
    </row>
    <row r="223" spans="1:6" x14ac:dyDescent="0.25">
      <c r="A223" t="s">
        <v>689</v>
      </c>
      <c r="B223">
        <v>7</v>
      </c>
    </row>
    <row r="224" spans="1:6" x14ac:dyDescent="0.25">
      <c r="A224" t="s">
        <v>690</v>
      </c>
      <c r="B224">
        <v>7</v>
      </c>
      <c r="C224" t="b">
        <v>0</v>
      </c>
      <c r="D224" t="b">
        <v>0</v>
      </c>
      <c r="E224" t="b">
        <v>0</v>
      </c>
      <c r="F224" t="b">
        <v>0</v>
      </c>
    </row>
    <row r="225" spans="1:6" x14ac:dyDescent="0.25">
      <c r="A225" t="s">
        <v>691</v>
      </c>
      <c r="B225">
        <v>7</v>
      </c>
      <c r="C225" t="b">
        <v>0</v>
      </c>
      <c r="D225" t="b">
        <v>0</v>
      </c>
      <c r="E225" t="b">
        <v>0</v>
      </c>
      <c r="F225" t="b">
        <v>0</v>
      </c>
    </row>
    <row r="226" spans="1:6" x14ac:dyDescent="0.25">
      <c r="A226" t="s">
        <v>677</v>
      </c>
      <c r="B226">
        <v>8</v>
      </c>
      <c r="C226">
        <v>7</v>
      </c>
    </row>
    <row r="227" spans="1:6" x14ac:dyDescent="0.25">
      <c r="A227" t="s">
        <v>36</v>
      </c>
      <c r="B227">
        <v>8</v>
      </c>
      <c r="C227">
        <v>2</v>
      </c>
    </row>
    <row r="228" spans="1:6" x14ac:dyDescent="0.25">
      <c r="A228" t="s">
        <v>503</v>
      </c>
      <c r="B228">
        <v>8</v>
      </c>
      <c r="C228" t="s">
        <v>744</v>
      </c>
    </row>
    <row r="229" spans="1:6" x14ac:dyDescent="0.25">
      <c r="A229" t="s">
        <v>678</v>
      </c>
      <c r="B229">
        <v>8</v>
      </c>
      <c r="C229">
        <v>667</v>
      </c>
    </row>
    <row r="230" spans="1:6" x14ac:dyDescent="0.25">
      <c r="A230" t="s">
        <v>42</v>
      </c>
      <c r="B230">
        <v>8</v>
      </c>
      <c r="C230">
        <v>30</v>
      </c>
    </row>
    <row r="231" spans="1:6" x14ac:dyDescent="0.25">
      <c r="A231" t="s">
        <v>679</v>
      </c>
      <c r="B231">
        <v>8</v>
      </c>
      <c r="C231">
        <v>15.2</v>
      </c>
    </row>
    <row r="232" spans="1:6" x14ac:dyDescent="0.25">
      <c r="A232" t="s">
        <v>41</v>
      </c>
      <c r="B232">
        <v>8</v>
      </c>
      <c r="C232">
        <v>0</v>
      </c>
    </row>
    <row r="233" spans="1:6" x14ac:dyDescent="0.25">
      <c r="A233" t="s">
        <v>680</v>
      </c>
      <c r="B233">
        <v>8</v>
      </c>
      <c r="C233">
        <v>12</v>
      </c>
    </row>
    <row r="234" spans="1:6" x14ac:dyDescent="0.25">
      <c r="A234" t="s">
        <v>563</v>
      </c>
      <c r="B234">
        <v>8</v>
      </c>
      <c r="C234">
        <v>0</v>
      </c>
    </row>
    <row r="235" spans="1:6" x14ac:dyDescent="0.25">
      <c r="A235" t="s">
        <v>681</v>
      </c>
      <c r="B235">
        <v>8</v>
      </c>
      <c r="C235">
        <v>0</v>
      </c>
    </row>
    <row r="236" spans="1:6" x14ac:dyDescent="0.25">
      <c r="A236" t="s">
        <v>682</v>
      </c>
      <c r="B236">
        <v>8</v>
      </c>
      <c r="C236">
        <v>16</v>
      </c>
    </row>
    <row r="237" spans="1:6" x14ac:dyDescent="0.25">
      <c r="A237" t="s">
        <v>683</v>
      </c>
      <c r="B237">
        <v>8</v>
      </c>
      <c r="C237">
        <v>200</v>
      </c>
    </row>
    <row r="238" spans="1:6" x14ac:dyDescent="0.25">
      <c r="A238" t="s">
        <v>684</v>
      </c>
      <c r="B238">
        <v>8</v>
      </c>
      <c r="C238">
        <v>1320</v>
      </c>
    </row>
    <row r="239" spans="1:6" x14ac:dyDescent="0.25">
      <c r="A239" t="s">
        <v>685</v>
      </c>
      <c r="B239">
        <v>8</v>
      </c>
      <c r="C239">
        <v>880</v>
      </c>
    </row>
    <row r="240" spans="1:6" x14ac:dyDescent="0.25">
      <c r="A240" t="s">
        <v>686</v>
      </c>
      <c r="B240">
        <v>8</v>
      </c>
      <c r="C240">
        <v>1760</v>
      </c>
    </row>
    <row r="241" spans="1:6" x14ac:dyDescent="0.25">
      <c r="A241" t="s">
        <v>687</v>
      </c>
      <c r="B241">
        <v>8</v>
      </c>
    </row>
    <row r="242" spans="1:6" x14ac:dyDescent="0.25">
      <c r="A242" t="s">
        <v>688</v>
      </c>
      <c r="B242">
        <v>8</v>
      </c>
    </row>
    <row r="243" spans="1:6" x14ac:dyDescent="0.25">
      <c r="A243" t="s">
        <v>689</v>
      </c>
      <c r="B243">
        <v>8</v>
      </c>
    </row>
    <row r="244" spans="1:6" x14ac:dyDescent="0.25">
      <c r="A244" t="s">
        <v>690</v>
      </c>
      <c r="B244">
        <v>8</v>
      </c>
      <c r="C244" t="b">
        <v>0</v>
      </c>
    </row>
    <row r="245" spans="1:6" x14ac:dyDescent="0.25">
      <c r="A245" t="s">
        <v>691</v>
      </c>
      <c r="B245">
        <v>8</v>
      </c>
      <c r="C245" t="b">
        <v>0</v>
      </c>
    </row>
    <row r="246" spans="1:6" x14ac:dyDescent="0.25">
      <c r="A246" t="s">
        <v>677</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742</v>
      </c>
      <c r="D248" t="s">
        <v>742</v>
      </c>
      <c r="E248" t="s">
        <v>741</v>
      </c>
      <c r="F248" t="s">
        <v>741</v>
      </c>
    </row>
    <row r="249" spans="1:6" x14ac:dyDescent="0.25">
      <c r="A249" t="s">
        <v>678</v>
      </c>
      <c r="B249">
        <v>9</v>
      </c>
      <c r="C249">
        <v>575</v>
      </c>
      <c r="D249">
        <v>365</v>
      </c>
      <c r="E249">
        <v>2784</v>
      </c>
      <c r="F249">
        <v>2966</v>
      </c>
    </row>
    <row r="250" spans="1:6" x14ac:dyDescent="0.25">
      <c r="A250" t="s">
        <v>42</v>
      </c>
      <c r="B250">
        <v>9</v>
      </c>
      <c r="C250">
        <v>35</v>
      </c>
      <c r="D250">
        <v>30</v>
      </c>
      <c r="E250">
        <v>45</v>
      </c>
      <c r="F250">
        <v>45</v>
      </c>
    </row>
    <row r="251" spans="1:6" x14ac:dyDescent="0.25">
      <c r="A251" t="s">
        <v>679</v>
      </c>
      <c r="B251">
        <v>9</v>
      </c>
      <c r="C251">
        <v>11.2</v>
      </c>
      <c r="D251">
        <v>8.3000000000000007</v>
      </c>
      <c r="E251">
        <v>42.2</v>
      </c>
      <c r="F251">
        <v>44.9</v>
      </c>
    </row>
    <row r="252" spans="1:6" x14ac:dyDescent="0.25">
      <c r="A252" t="s">
        <v>41</v>
      </c>
      <c r="B252">
        <v>9</v>
      </c>
      <c r="C252">
        <v>0</v>
      </c>
      <c r="D252">
        <v>0</v>
      </c>
      <c r="E252">
        <v>0</v>
      </c>
      <c r="F252">
        <v>0</v>
      </c>
    </row>
    <row r="253" spans="1:6" x14ac:dyDescent="0.25">
      <c r="A253" t="s">
        <v>680</v>
      </c>
      <c r="B253">
        <v>9</v>
      </c>
      <c r="C253">
        <v>12</v>
      </c>
      <c r="D253">
        <v>12</v>
      </c>
      <c r="E253">
        <v>12</v>
      </c>
      <c r="F253">
        <v>12</v>
      </c>
    </row>
    <row r="254" spans="1:6" x14ac:dyDescent="0.25">
      <c r="A254" t="s">
        <v>563</v>
      </c>
      <c r="B254">
        <v>9</v>
      </c>
      <c r="C254">
        <v>0</v>
      </c>
      <c r="D254">
        <v>0</v>
      </c>
      <c r="E254">
        <v>0</v>
      </c>
      <c r="F254">
        <v>0</v>
      </c>
    </row>
    <row r="255" spans="1:6" x14ac:dyDescent="0.25">
      <c r="A255" t="s">
        <v>681</v>
      </c>
      <c r="B255">
        <v>9</v>
      </c>
      <c r="C255">
        <v>0</v>
      </c>
      <c r="D255">
        <v>1</v>
      </c>
      <c r="E255">
        <v>0</v>
      </c>
      <c r="F255">
        <v>0</v>
      </c>
    </row>
    <row r="256" spans="1:6" x14ac:dyDescent="0.25">
      <c r="A256" t="s">
        <v>682</v>
      </c>
      <c r="B256">
        <v>9</v>
      </c>
      <c r="C256">
        <v>16</v>
      </c>
      <c r="D256">
        <v>16</v>
      </c>
      <c r="E256">
        <v>16</v>
      </c>
      <c r="F256">
        <v>16</v>
      </c>
    </row>
    <row r="257" spans="1:6" x14ac:dyDescent="0.25">
      <c r="A257" t="s">
        <v>683</v>
      </c>
      <c r="B257">
        <v>9</v>
      </c>
      <c r="C257">
        <v>583</v>
      </c>
      <c r="D257">
        <v>583</v>
      </c>
      <c r="E257">
        <v>583</v>
      </c>
      <c r="F257">
        <v>583</v>
      </c>
    </row>
    <row r="258" spans="1:6" x14ac:dyDescent="0.25">
      <c r="A258" t="s">
        <v>684</v>
      </c>
      <c r="B258">
        <v>9</v>
      </c>
      <c r="C258">
        <v>1539</v>
      </c>
      <c r="D258">
        <v>1320</v>
      </c>
      <c r="E258">
        <v>1980</v>
      </c>
      <c r="F258">
        <v>1980</v>
      </c>
    </row>
    <row r="259" spans="1:6" x14ac:dyDescent="0.25">
      <c r="A259" t="s">
        <v>685</v>
      </c>
      <c r="B259">
        <v>9</v>
      </c>
      <c r="C259">
        <v>1026</v>
      </c>
      <c r="D259">
        <v>880</v>
      </c>
      <c r="E259">
        <v>1320</v>
      </c>
      <c r="F259">
        <v>1320</v>
      </c>
    </row>
    <row r="260" spans="1:6" x14ac:dyDescent="0.25">
      <c r="A260" t="s">
        <v>686</v>
      </c>
      <c r="B260">
        <v>9</v>
      </c>
      <c r="C260">
        <v>2052</v>
      </c>
      <c r="D260">
        <v>1760</v>
      </c>
      <c r="E260">
        <v>2640</v>
      </c>
      <c r="F260">
        <v>2640</v>
      </c>
    </row>
    <row r="261" spans="1:6" x14ac:dyDescent="0.25">
      <c r="A261" t="s">
        <v>687</v>
      </c>
      <c r="B261">
        <v>9</v>
      </c>
    </row>
    <row r="262" spans="1:6" x14ac:dyDescent="0.25">
      <c r="A262" t="s">
        <v>688</v>
      </c>
      <c r="B262">
        <v>9</v>
      </c>
    </row>
    <row r="263" spans="1:6" x14ac:dyDescent="0.25">
      <c r="A263" t="s">
        <v>689</v>
      </c>
      <c r="B263">
        <v>9</v>
      </c>
    </row>
    <row r="264" spans="1:6" x14ac:dyDescent="0.25">
      <c r="A264" t="s">
        <v>690</v>
      </c>
      <c r="B264">
        <v>9</v>
      </c>
      <c r="C264" t="b">
        <v>0</v>
      </c>
      <c r="D264" t="b">
        <v>0</v>
      </c>
      <c r="E264" t="b">
        <v>0</v>
      </c>
      <c r="F264" t="b">
        <v>0</v>
      </c>
    </row>
    <row r="265" spans="1:6" x14ac:dyDescent="0.25">
      <c r="A265" t="s">
        <v>691</v>
      </c>
      <c r="B265">
        <v>9</v>
      </c>
      <c r="C265" t="b">
        <v>0</v>
      </c>
      <c r="D265" t="b">
        <v>0</v>
      </c>
      <c r="E265" t="b">
        <v>0</v>
      </c>
      <c r="F265" t="b">
        <v>0</v>
      </c>
    </row>
    <row r="266" spans="1:6" x14ac:dyDescent="0.25">
      <c r="A266" t="s">
        <v>677</v>
      </c>
      <c r="B266">
        <v>10</v>
      </c>
      <c r="D266">
        <v>7</v>
      </c>
    </row>
    <row r="267" spans="1:6" x14ac:dyDescent="0.25">
      <c r="A267" t="s">
        <v>36</v>
      </c>
      <c r="B267">
        <v>10</v>
      </c>
      <c r="D267">
        <v>2</v>
      </c>
    </row>
    <row r="268" spans="1:6" x14ac:dyDescent="0.25">
      <c r="A268" t="s">
        <v>503</v>
      </c>
      <c r="B268">
        <v>10</v>
      </c>
      <c r="D268" t="s">
        <v>743</v>
      </c>
    </row>
    <row r="269" spans="1:6" x14ac:dyDescent="0.25">
      <c r="A269" t="s">
        <v>678</v>
      </c>
      <c r="B269">
        <v>10</v>
      </c>
      <c r="D269">
        <v>512</v>
      </c>
    </row>
    <row r="270" spans="1:6" x14ac:dyDescent="0.25">
      <c r="A270" t="s">
        <v>42</v>
      </c>
      <c r="B270">
        <v>10</v>
      </c>
      <c r="D270">
        <v>30</v>
      </c>
    </row>
    <row r="271" spans="1:6" x14ac:dyDescent="0.25">
      <c r="A271" t="s">
        <v>679</v>
      </c>
      <c r="B271">
        <v>10</v>
      </c>
      <c r="D271">
        <v>11.6</v>
      </c>
    </row>
    <row r="272" spans="1:6" x14ac:dyDescent="0.25">
      <c r="A272" t="s">
        <v>41</v>
      </c>
      <c r="B272">
        <v>10</v>
      </c>
      <c r="D272">
        <v>0</v>
      </c>
    </row>
    <row r="273" spans="1:6" x14ac:dyDescent="0.25">
      <c r="A273" t="s">
        <v>680</v>
      </c>
      <c r="B273">
        <v>10</v>
      </c>
      <c r="D273">
        <v>12</v>
      </c>
    </row>
    <row r="274" spans="1:6" x14ac:dyDescent="0.25">
      <c r="A274" t="s">
        <v>563</v>
      </c>
      <c r="B274">
        <v>10</v>
      </c>
      <c r="D274">
        <v>0</v>
      </c>
    </row>
    <row r="275" spans="1:6" x14ac:dyDescent="0.25">
      <c r="A275" t="s">
        <v>681</v>
      </c>
      <c r="B275">
        <v>10</v>
      </c>
      <c r="D275">
        <v>0</v>
      </c>
    </row>
    <row r="276" spans="1:6" x14ac:dyDescent="0.25">
      <c r="A276" t="s">
        <v>682</v>
      </c>
      <c r="B276">
        <v>10</v>
      </c>
      <c r="D276">
        <v>16</v>
      </c>
    </row>
    <row r="277" spans="1:6" x14ac:dyDescent="0.25">
      <c r="A277" t="s">
        <v>683</v>
      </c>
      <c r="B277">
        <v>10</v>
      </c>
      <c r="D277">
        <v>200</v>
      </c>
    </row>
    <row r="278" spans="1:6" x14ac:dyDescent="0.25">
      <c r="A278" t="s">
        <v>684</v>
      </c>
      <c r="B278">
        <v>10</v>
      </c>
      <c r="D278">
        <v>1320</v>
      </c>
    </row>
    <row r="279" spans="1:6" x14ac:dyDescent="0.25">
      <c r="A279" t="s">
        <v>685</v>
      </c>
      <c r="B279">
        <v>10</v>
      </c>
      <c r="D279">
        <v>880</v>
      </c>
    </row>
    <row r="280" spans="1:6" x14ac:dyDescent="0.25">
      <c r="A280" t="s">
        <v>686</v>
      </c>
      <c r="B280">
        <v>10</v>
      </c>
      <c r="D280">
        <v>1760</v>
      </c>
    </row>
    <row r="281" spans="1:6" x14ac:dyDescent="0.25">
      <c r="A281" t="s">
        <v>687</v>
      </c>
      <c r="B281">
        <v>10</v>
      </c>
    </row>
    <row r="282" spans="1:6" x14ac:dyDescent="0.25">
      <c r="A282" t="s">
        <v>688</v>
      </c>
      <c r="B282">
        <v>10</v>
      </c>
    </row>
    <row r="283" spans="1:6" x14ac:dyDescent="0.25">
      <c r="A283" t="s">
        <v>689</v>
      </c>
      <c r="B283">
        <v>10</v>
      </c>
    </row>
    <row r="284" spans="1:6" x14ac:dyDescent="0.25">
      <c r="A284" t="s">
        <v>690</v>
      </c>
      <c r="B284">
        <v>10</v>
      </c>
      <c r="D284" t="b">
        <v>0</v>
      </c>
    </row>
    <row r="285" spans="1:6" x14ac:dyDescent="0.25">
      <c r="A285" t="s">
        <v>691</v>
      </c>
      <c r="B285">
        <v>10</v>
      </c>
      <c r="D285" t="b">
        <v>0</v>
      </c>
    </row>
    <row r="286" spans="1:6" x14ac:dyDescent="0.25">
      <c r="A286" t="s">
        <v>677</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745</v>
      </c>
      <c r="D288" t="s">
        <v>745</v>
      </c>
      <c r="E288" t="s">
        <v>741</v>
      </c>
      <c r="F288" t="s">
        <v>741</v>
      </c>
    </row>
    <row r="289" spans="1:6" x14ac:dyDescent="0.25">
      <c r="A289" t="s">
        <v>678</v>
      </c>
      <c r="B289">
        <v>11</v>
      </c>
      <c r="C289">
        <v>401</v>
      </c>
      <c r="D289">
        <v>533</v>
      </c>
      <c r="E289">
        <v>1028</v>
      </c>
      <c r="F289">
        <v>2820</v>
      </c>
    </row>
    <row r="290" spans="1:6" x14ac:dyDescent="0.25">
      <c r="A290" t="s">
        <v>42</v>
      </c>
      <c r="B290">
        <v>11</v>
      </c>
      <c r="C290">
        <v>35</v>
      </c>
      <c r="D290">
        <v>30</v>
      </c>
      <c r="E290">
        <v>45</v>
      </c>
      <c r="F290">
        <v>45</v>
      </c>
    </row>
    <row r="291" spans="1:6" x14ac:dyDescent="0.25">
      <c r="A291" t="s">
        <v>679</v>
      </c>
      <c r="B291">
        <v>11</v>
      </c>
      <c r="C291">
        <v>7.8</v>
      </c>
      <c r="D291">
        <v>12.1</v>
      </c>
      <c r="E291">
        <v>15.6</v>
      </c>
      <c r="F291">
        <v>42.7</v>
      </c>
    </row>
    <row r="292" spans="1:6" x14ac:dyDescent="0.25">
      <c r="A292" t="s">
        <v>41</v>
      </c>
      <c r="B292">
        <v>11</v>
      </c>
      <c r="C292">
        <v>0</v>
      </c>
      <c r="D292">
        <v>0</v>
      </c>
      <c r="E292">
        <v>0</v>
      </c>
      <c r="F292">
        <v>0</v>
      </c>
    </row>
    <row r="293" spans="1:6" x14ac:dyDescent="0.25">
      <c r="A293" t="s">
        <v>680</v>
      </c>
      <c r="B293">
        <v>11</v>
      </c>
      <c r="C293">
        <v>12</v>
      </c>
      <c r="D293">
        <v>12</v>
      </c>
      <c r="E293">
        <v>12</v>
      </c>
      <c r="F293">
        <v>12</v>
      </c>
    </row>
    <row r="294" spans="1:6" x14ac:dyDescent="0.25">
      <c r="A294" t="s">
        <v>563</v>
      </c>
      <c r="B294">
        <v>11</v>
      </c>
      <c r="C294">
        <v>0</v>
      </c>
      <c r="D294">
        <v>0</v>
      </c>
      <c r="E294">
        <v>0</v>
      </c>
      <c r="F294">
        <v>0</v>
      </c>
    </row>
    <row r="295" spans="1:6" x14ac:dyDescent="0.25">
      <c r="A295" t="s">
        <v>681</v>
      </c>
      <c r="B295">
        <v>11</v>
      </c>
      <c r="C295">
        <v>1</v>
      </c>
      <c r="D295">
        <v>0</v>
      </c>
      <c r="E295">
        <v>0</v>
      </c>
      <c r="F295">
        <v>0</v>
      </c>
    </row>
    <row r="296" spans="1:6" x14ac:dyDescent="0.25">
      <c r="A296" t="s">
        <v>682</v>
      </c>
      <c r="B296">
        <v>11</v>
      </c>
      <c r="C296">
        <v>16</v>
      </c>
      <c r="D296">
        <v>16</v>
      </c>
      <c r="E296">
        <v>16</v>
      </c>
      <c r="F296">
        <v>16</v>
      </c>
    </row>
    <row r="297" spans="1:6" x14ac:dyDescent="0.25">
      <c r="A297" t="s">
        <v>683</v>
      </c>
      <c r="B297">
        <v>11</v>
      </c>
      <c r="C297">
        <v>583</v>
      </c>
      <c r="D297">
        <v>583</v>
      </c>
      <c r="E297">
        <v>583</v>
      </c>
      <c r="F297">
        <v>583</v>
      </c>
    </row>
    <row r="298" spans="1:6" x14ac:dyDescent="0.25">
      <c r="A298" t="s">
        <v>684</v>
      </c>
      <c r="B298">
        <v>11</v>
      </c>
      <c r="C298">
        <v>1539</v>
      </c>
      <c r="D298">
        <v>1320</v>
      </c>
      <c r="E298">
        <v>1980</v>
      </c>
      <c r="F298">
        <v>1980</v>
      </c>
    </row>
    <row r="299" spans="1:6" x14ac:dyDescent="0.25">
      <c r="A299" t="s">
        <v>685</v>
      </c>
      <c r="B299">
        <v>11</v>
      </c>
      <c r="C299">
        <v>1026</v>
      </c>
      <c r="D299">
        <v>880</v>
      </c>
      <c r="E299">
        <v>1320</v>
      </c>
      <c r="F299">
        <v>1320</v>
      </c>
    </row>
    <row r="300" spans="1:6" x14ac:dyDescent="0.25">
      <c r="A300" t="s">
        <v>686</v>
      </c>
      <c r="B300">
        <v>11</v>
      </c>
      <c r="C300">
        <v>2052</v>
      </c>
      <c r="D300">
        <v>1760</v>
      </c>
      <c r="E300">
        <v>2640</v>
      </c>
      <c r="F300">
        <v>2640</v>
      </c>
    </row>
    <row r="301" spans="1:6" x14ac:dyDescent="0.25">
      <c r="A301" t="s">
        <v>687</v>
      </c>
      <c r="B301">
        <v>11</v>
      </c>
    </row>
    <row r="302" spans="1:6" x14ac:dyDescent="0.25">
      <c r="A302" t="s">
        <v>688</v>
      </c>
      <c r="B302">
        <v>11</v>
      </c>
    </row>
    <row r="303" spans="1:6" x14ac:dyDescent="0.25">
      <c r="A303" t="s">
        <v>689</v>
      </c>
      <c r="B303">
        <v>11</v>
      </c>
    </row>
    <row r="304" spans="1:6" x14ac:dyDescent="0.25">
      <c r="A304" t="s">
        <v>690</v>
      </c>
      <c r="B304">
        <v>11</v>
      </c>
      <c r="C304" t="b">
        <v>0</v>
      </c>
      <c r="D304" t="b">
        <v>0</v>
      </c>
      <c r="E304" t="b">
        <v>0</v>
      </c>
      <c r="F304" t="b">
        <v>0</v>
      </c>
    </row>
    <row r="305" spans="1:6" x14ac:dyDescent="0.25">
      <c r="A305" t="s">
        <v>691</v>
      </c>
      <c r="B305">
        <v>11</v>
      </c>
      <c r="C305" t="b">
        <v>0</v>
      </c>
      <c r="D305" t="b">
        <v>0</v>
      </c>
      <c r="E305" t="b">
        <v>0</v>
      </c>
      <c r="F305" t="b">
        <v>0</v>
      </c>
    </row>
    <row r="306" spans="1:6" x14ac:dyDescent="0.25">
      <c r="A306" t="s">
        <v>677</v>
      </c>
      <c r="B306">
        <v>12</v>
      </c>
      <c r="C306">
        <v>11</v>
      </c>
    </row>
    <row r="307" spans="1:6" x14ac:dyDescent="0.25">
      <c r="A307" t="s">
        <v>36</v>
      </c>
      <c r="B307">
        <v>12</v>
      </c>
      <c r="C307">
        <v>2</v>
      </c>
    </row>
    <row r="308" spans="1:6" x14ac:dyDescent="0.25">
      <c r="A308" t="s">
        <v>503</v>
      </c>
      <c r="B308">
        <v>12</v>
      </c>
      <c r="C308" t="s">
        <v>745</v>
      </c>
    </row>
    <row r="309" spans="1:6" x14ac:dyDescent="0.25">
      <c r="A309" t="s">
        <v>678</v>
      </c>
      <c r="B309">
        <v>12</v>
      </c>
      <c r="C309">
        <v>533</v>
      </c>
    </row>
    <row r="310" spans="1:6" x14ac:dyDescent="0.25">
      <c r="A310" t="s">
        <v>42</v>
      </c>
      <c r="B310">
        <v>12</v>
      </c>
      <c r="C310">
        <v>30</v>
      </c>
    </row>
    <row r="311" spans="1:6" x14ac:dyDescent="0.25">
      <c r="A311" t="s">
        <v>679</v>
      </c>
      <c r="B311">
        <v>12</v>
      </c>
      <c r="C311">
        <v>12.1</v>
      </c>
    </row>
    <row r="312" spans="1:6" x14ac:dyDescent="0.25">
      <c r="A312" t="s">
        <v>41</v>
      </c>
      <c r="B312">
        <v>12</v>
      </c>
      <c r="C312">
        <v>0</v>
      </c>
    </row>
    <row r="313" spans="1:6" x14ac:dyDescent="0.25">
      <c r="A313" t="s">
        <v>680</v>
      </c>
      <c r="B313">
        <v>12</v>
      </c>
      <c r="C313">
        <v>0</v>
      </c>
    </row>
    <row r="314" spans="1:6" x14ac:dyDescent="0.25">
      <c r="A314" t="s">
        <v>563</v>
      </c>
      <c r="B314">
        <v>12</v>
      </c>
      <c r="C314">
        <v>0</v>
      </c>
    </row>
    <row r="315" spans="1:6" x14ac:dyDescent="0.25">
      <c r="A315" t="s">
        <v>681</v>
      </c>
      <c r="B315">
        <v>12</v>
      </c>
      <c r="C315">
        <v>0</v>
      </c>
    </row>
    <row r="316" spans="1:6" x14ac:dyDescent="0.25">
      <c r="A316" t="s">
        <v>682</v>
      </c>
      <c r="B316">
        <v>12</v>
      </c>
      <c r="C316">
        <v>16</v>
      </c>
    </row>
    <row r="317" spans="1:6" x14ac:dyDescent="0.25">
      <c r="A317" t="s">
        <v>683</v>
      </c>
      <c r="B317">
        <v>12</v>
      </c>
      <c r="C317">
        <v>200</v>
      </c>
    </row>
    <row r="318" spans="1:6" x14ac:dyDescent="0.25">
      <c r="A318" t="s">
        <v>684</v>
      </c>
      <c r="B318">
        <v>12</v>
      </c>
      <c r="C318">
        <v>1320</v>
      </c>
    </row>
    <row r="319" spans="1:6" x14ac:dyDescent="0.25">
      <c r="A319" t="s">
        <v>685</v>
      </c>
      <c r="B319">
        <v>12</v>
      </c>
      <c r="C319">
        <v>880</v>
      </c>
    </row>
    <row r="320" spans="1:6" x14ac:dyDescent="0.25">
      <c r="A320" t="s">
        <v>686</v>
      </c>
      <c r="B320">
        <v>12</v>
      </c>
      <c r="C320">
        <v>1760</v>
      </c>
    </row>
    <row r="321" spans="1:10" x14ac:dyDescent="0.25">
      <c r="A321" t="s">
        <v>687</v>
      </c>
      <c r="B321">
        <v>12</v>
      </c>
    </row>
    <row r="322" spans="1:10" x14ac:dyDescent="0.25">
      <c r="A322" t="s">
        <v>688</v>
      </c>
      <c r="B322">
        <v>12</v>
      </c>
    </row>
    <row r="323" spans="1:10" x14ac:dyDescent="0.25">
      <c r="A323" t="s">
        <v>689</v>
      </c>
      <c r="B323">
        <v>12</v>
      </c>
    </row>
    <row r="324" spans="1:10" x14ac:dyDescent="0.25">
      <c r="A324" t="s">
        <v>690</v>
      </c>
      <c r="B324">
        <v>12</v>
      </c>
      <c r="C324" t="b">
        <v>0</v>
      </c>
    </row>
    <row r="325" spans="1:10" x14ac:dyDescent="0.25">
      <c r="A325" t="s">
        <v>691</v>
      </c>
      <c r="B325">
        <v>12</v>
      </c>
      <c r="C325" t="b">
        <v>0</v>
      </c>
    </row>
    <row r="326" spans="1:10" x14ac:dyDescent="0.25">
      <c r="A326" t="s">
        <v>677</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746</v>
      </c>
      <c r="H328" t="s">
        <v>741</v>
      </c>
      <c r="I328" t="s">
        <v>741</v>
      </c>
      <c r="J328" t="s">
        <v>747</v>
      </c>
    </row>
    <row r="329" spans="1:10" x14ac:dyDescent="0.25">
      <c r="A329" t="s">
        <v>678</v>
      </c>
      <c r="B329">
        <v>13</v>
      </c>
      <c r="G329">
        <v>538</v>
      </c>
      <c r="H329">
        <v>914</v>
      </c>
      <c r="I329">
        <v>2934</v>
      </c>
      <c r="J329">
        <v>684</v>
      </c>
    </row>
    <row r="330" spans="1:10" x14ac:dyDescent="0.25">
      <c r="A330" t="s">
        <v>42</v>
      </c>
      <c r="B330">
        <v>13</v>
      </c>
      <c r="G330">
        <v>30</v>
      </c>
      <c r="H330">
        <v>45</v>
      </c>
      <c r="I330">
        <v>45</v>
      </c>
      <c r="J330">
        <v>35</v>
      </c>
    </row>
    <row r="331" spans="1:10" x14ac:dyDescent="0.25">
      <c r="A331" t="s">
        <v>679</v>
      </c>
      <c r="B331">
        <v>13</v>
      </c>
      <c r="G331">
        <v>12.2</v>
      </c>
      <c r="H331">
        <v>13.8</v>
      </c>
      <c r="I331">
        <v>44.5</v>
      </c>
      <c r="J331">
        <v>13.3</v>
      </c>
    </row>
    <row r="332" spans="1:10" x14ac:dyDescent="0.25">
      <c r="A332" t="s">
        <v>41</v>
      </c>
      <c r="B332">
        <v>13</v>
      </c>
      <c r="G332">
        <v>0</v>
      </c>
      <c r="H332">
        <v>0</v>
      </c>
      <c r="I332">
        <v>0</v>
      </c>
      <c r="J332">
        <v>0</v>
      </c>
    </row>
    <row r="333" spans="1:10" x14ac:dyDescent="0.25">
      <c r="A333" t="s">
        <v>680</v>
      </c>
      <c r="B333">
        <v>13</v>
      </c>
      <c r="G333">
        <v>24</v>
      </c>
      <c r="H333">
        <v>24</v>
      </c>
      <c r="I333">
        <v>24</v>
      </c>
      <c r="J333">
        <v>24</v>
      </c>
    </row>
    <row r="334" spans="1:10" x14ac:dyDescent="0.25">
      <c r="A334" t="s">
        <v>563</v>
      </c>
      <c r="B334">
        <v>13</v>
      </c>
      <c r="G334">
        <v>0</v>
      </c>
      <c r="H334">
        <v>0</v>
      </c>
      <c r="I334">
        <v>0</v>
      </c>
      <c r="J334">
        <v>0</v>
      </c>
    </row>
    <row r="335" spans="1:10" x14ac:dyDescent="0.25">
      <c r="A335" t="s">
        <v>681</v>
      </c>
      <c r="B335">
        <v>13</v>
      </c>
      <c r="G335">
        <v>0</v>
      </c>
      <c r="H335">
        <v>0</v>
      </c>
      <c r="I335">
        <v>0</v>
      </c>
      <c r="J335">
        <v>0</v>
      </c>
    </row>
    <row r="336" spans="1:10" x14ac:dyDescent="0.25">
      <c r="A336" t="s">
        <v>682</v>
      </c>
      <c r="B336">
        <v>13</v>
      </c>
      <c r="G336">
        <v>16</v>
      </c>
      <c r="H336">
        <v>16</v>
      </c>
      <c r="I336">
        <v>16</v>
      </c>
      <c r="J336">
        <v>16</v>
      </c>
    </row>
    <row r="337" spans="1:10" x14ac:dyDescent="0.25">
      <c r="A337" t="s">
        <v>683</v>
      </c>
      <c r="B337">
        <v>13</v>
      </c>
      <c r="G337">
        <v>583</v>
      </c>
      <c r="H337">
        <v>583</v>
      </c>
      <c r="I337">
        <v>583</v>
      </c>
      <c r="J337">
        <v>583</v>
      </c>
    </row>
    <row r="338" spans="1:10" x14ac:dyDescent="0.25">
      <c r="A338" t="s">
        <v>684</v>
      </c>
      <c r="B338">
        <v>13</v>
      </c>
      <c r="G338">
        <v>1320</v>
      </c>
      <c r="H338">
        <v>1980</v>
      </c>
      <c r="I338">
        <v>1980</v>
      </c>
      <c r="J338">
        <v>1539</v>
      </c>
    </row>
    <row r="339" spans="1:10" x14ac:dyDescent="0.25">
      <c r="A339" t="s">
        <v>685</v>
      </c>
      <c r="B339">
        <v>13</v>
      </c>
      <c r="G339">
        <v>880</v>
      </c>
      <c r="H339">
        <v>1320</v>
      </c>
      <c r="I339">
        <v>1320</v>
      </c>
      <c r="J339">
        <v>1026</v>
      </c>
    </row>
    <row r="340" spans="1:10" x14ac:dyDescent="0.25">
      <c r="A340" t="s">
        <v>686</v>
      </c>
      <c r="B340">
        <v>13</v>
      </c>
      <c r="G340">
        <v>1760</v>
      </c>
      <c r="H340">
        <v>2640</v>
      </c>
      <c r="I340">
        <v>2640</v>
      </c>
      <c r="J340">
        <v>2052</v>
      </c>
    </row>
    <row r="341" spans="1:10" x14ac:dyDescent="0.25">
      <c r="A341" t="s">
        <v>687</v>
      </c>
      <c r="B341">
        <v>13</v>
      </c>
      <c r="H341">
        <v>-359366</v>
      </c>
    </row>
    <row r="342" spans="1:10" x14ac:dyDescent="0.25">
      <c r="A342" t="s">
        <v>688</v>
      </c>
      <c r="B342">
        <v>13</v>
      </c>
      <c r="H342">
        <v>14381</v>
      </c>
    </row>
    <row r="343" spans="1:10" x14ac:dyDescent="0.25">
      <c r="A343" t="s">
        <v>689</v>
      </c>
      <c r="B343">
        <v>13</v>
      </c>
      <c r="H343">
        <v>0</v>
      </c>
    </row>
    <row r="344" spans="1:10" x14ac:dyDescent="0.25">
      <c r="A344" t="s">
        <v>690</v>
      </c>
      <c r="B344">
        <v>13</v>
      </c>
      <c r="G344" t="b">
        <v>0</v>
      </c>
      <c r="H344" t="b">
        <v>0</v>
      </c>
      <c r="I344" t="b">
        <v>0</v>
      </c>
      <c r="J344" t="b">
        <v>0</v>
      </c>
    </row>
    <row r="345" spans="1:10" x14ac:dyDescent="0.25">
      <c r="A345" t="s">
        <v>691</v>
      </c>
      <c r="B345">
        <v>13</v>
      </c>
      <c r="G345" t="b">
        <v>0</v>
      </c>
      <c r="H345" t="b">
        <v>0</v>
      </c>
      <c r="I345" t="b">
        <v>0</v>
      </c>
      <c r="J345" t="b">
        <v>0</v>
      </c>
    </row>
    <row r="346" spans="1:10" x14ac:dyDescent="0.25">
      <c r="A346" t="s">
        <v>677</v>
      </c>
      <c r="B346">
        <v>14</v>
      </c>
      <c r="D346">
        <v>11</v>
      </c>
    </row>
    <row r="347" spans="1:10" x14ac:dyDescent="0.25">
      <c r="A347" t="s">
        <v>36</v>
      </c>
      <c r="B347">
        <v>14</v>
      </c>
      <c r="D347">
        <v>2</v>
      </c>
    </row>
    <row r="348" spans="1:10" x14ac:dyDescent="0.25">
      <c r="A348" t="s">
        <v>503</v>
      </c>
      <c r="B348">
        <v>14</v>
      </c>
      <c r="D348" t="s">
        <v>745</v>
      </c>
    </row>
    <row r="349" spans="1:10" x14ac:dyDescent="0.25">
      <c r="A349" t="s">
        <v>678</v>
      </c>
      <c r="B349">
        <v>14</v>
      </c>
      <c r="D349">
        <v>401</v>
      </c>
    </row>
    <row r="350" spans="1:10" x14ac:dyDescent="0.25">
      <c r="A350" t="s">
        <v>42</v>
      </c>
      <c r="B350">
        <v>14</v>
      </c>
      <c r="D350">
        <v>30</v>
      </c>
    </row>
    <row r="351" spans="1:10" x14ac:dyDescent="0.25">
      <c r="A351" t="s">
        <v>679</v>
      </c>
      <c r="B351">
        <v>14</v>
      </c>
      <c r="D351">
        <v>9.1</v>
      </c>
    </row>
    <row r="352" spans="1:10" x14ac:dyDescent="0.25">
      <c r="A352" t="s">
        <v>41</v>
      </c>
      <c r="B352">
        <v>14</v>
      </c>
      <c r="D352">
        <v>0</v>
      </c>
    </row>
    <row r="353" spans="1:7" x14ac:dyDescent="0.25">
      <c r="A353" t="s">
        <v>680</v>
      </c>
      <c r="B353">
        <v>14</v>
      </c>
      <c r="D353">
        <v>12</v>
      </c>
    </row>
    <row r="354" spans="1:7" x14ac:dyDescent="0.25">
      <c r="A354" t="s">
        <v>563</v>
      </c>
      <c r="B354">
        <v>14</v>
      </c>
      <c r="D354">
        <v>0</v>
      </c>
    </row>
    <row r="355" spans="1:7" x14ac:dyDescent="0.25">
      <c r="A355" t="s">
        <v>681</v>
      </c>
      <c r="B355">
        <v>14</v>
      </c>
      <c r="D355">
        <v>1</v>
      </c>
    </row>
    <row r="356" spans="1:7" x14ac:dyDescent="0.25">
      <c r="A356" t="s">
        <v>682</v>
      </c>
      <c r="B356">
        <v>14</v>
      </c>
      <c r="D356">
        <v>16</v>
      </c>
    </row>
    <row r="357" spans="1:7" x14ac:dyDescent="0.25">
      <c r="A357" t="s">
        <v>683</v>
      </c>
      <c r="B357">
        <v>14</v>
      </c>
      <c r="D357">
        <v>200</v>
      </c>
    </row>
    <row r="358" spans="1:7" x14ac:dyDescent="0.25">
      <c r="A358" t="s">
        <v>684</v>
      </c>
      <c r="B358">
        <v>14</v>
      </c>
      <c r="D358">
        <v>1320</v>
      </c>
    </row>
    <row r="359" spans="1:7" x14ac:dyDescent="0.25">
      <c r="A359" t="s">
        <v>685</v>
      </c>
      <c r="B359">
        <v>14</v>
      </c>
      <c r="D359">
        <v>880</v>
      </c>
    </row>
    <row r="360" spans="1:7" x14ac:dyDescent="0.25">
      <c r="A360" t="s">
        <v>686</v>
      </c>
      <c r="B360">
        <v>14</v>
      </c>
      <c r="D360">
        <v>1760</v>
      </c>
    </row>
    <row r="361" spans="1:7" x14ac:dyDescent="0.25">
      <c r="A361" t="s">
        <v>687</v>
      </c>
      <c r="B361">
        <v>14</v>
      </c>
    </row>
    <row r="362" spans="1:7" x14ac:dyDescent="0.25">
      <c r="A362" t="s">
        <v>688</v>
      </c>
      <c r="B362">
        <v>14</v>
      </c>
    </row>
    <row r="363" spans="1:7" x14ac:dyDescent="0.25">
      <c r="A363" t="s">
        <v>689</v>
      </c>
      <c r="B363">
        <v>14</v>
      </c>
    </row>
    <row r="364" spans="1:7" x14ac:dyDescent="0.25">
      <c r="A364" t="s">
        <v>690</v>
      </c>
      <c r="B364">
        <v>14</v>
      </c>
      <c r="D364" t="b">
        <v>0</v>
      </c>
    </row>
    <row r="365" spans="1:7" x14ac:dyDescent="0.25">
      <c r="A365" t="s">
        <v>691</v>
      </c>
      <c r="B365">
        <v>14</v>
      </c>
      <c r="D365" t="b">
        <v>0</v>
      </c>
    </row>
    <row r="366" spans="1:7" x14ac:dyDescent="0.25">
      <c r="A366" t="s">
        <v>677</v>
      </c>
      <c r="B366">
        <v>15</v>
      </c>
      <c r="G366">
        <v>13</v>
      </c>
    </row>
    <row r="367" spans="1:7" x14ac:dyDescent="0.25">
      <c r="A367" t="s">
        <v>36</v>
      </c>
      <c r="B367">
        <v>15</v>
      </c>
      <c r="G367">
        <v>2</v>
      </c>
    </row>
    <row r="368" spans="1:7" x14ac:dyDescent="0.25">
      <c r="A368" t="s">
        <v>503</v>
      </c>
      <c r="B368">
        <v>15</v>
      </c>
      <c r="G368" t="s">
        <v>747</v>
      </c>
    </row>
    <row r="369" spans="1:7" x14ac:dyDescent="0.25">
      <c r="A369" t="s">
        <v>678</v>
      </c>
      <c r="B369">
        <v>15</v>
      </c>
      <c r="G369">
        <v>684</v>
      </c>
    </row>
    <row r="370" spans="1:7" x14ac:dyDescent="0.25">
      <c r="A370" t="s">
        <v>42</v>
      </c>
      <c r="B370">
        <v>15</v>
      </c>
      <c r="G370">
        <v>30</v>
      </c>
    </row>
    <row r="371" spans="1:7" x14ac:dyDescent="0.25">
      <c r="A371" t="s">
        <v>679</v>
      </c>
      <c r="B371">
        <v>15</v>
      </c>
      <c r="G371">
        <v>15.5</v>
      </c>
    </row>
    <row r="372" spans="1:7" x14ac:dyDescent="0.25">
      <c r="A372" t="s">
        <v>41</v>
      </c>
      <c r="B372">
        <v>15</v>
      </c>
      <c r="G372">
        <v>0</v>
      </c>
    </row>
    <row r="373" spans="1:7" x14ac:dyDescent="0.25">
      <c r="A373" t="s">
        <v>680</v>
      </c>
      <c r="B373">
        <v>15</v>
      </c>
      <c r="G373">
        <v>24</v>
      </c>
    </row>
    <row r="374" spans="1:7" x14ac:dyDescent="0.25">
      <c r="A374" t="s">
        <v>563</v>
      </c>
      <c r="B374">
        <v>15</v>
      </c>
      <c r="G374">
        <v>0</v>
      </c>
    </row>
    <row r="375" spans="1:7" x14ac:dyDescent="0.25">
      <c r="A375" t="s">
        <v>681</v>
      </c>
      <c r="B375">
        <v>15</v>
      </c>
      <c r="G375">
        <v>0</v>
      </c>
    </row>
    <row r="376" spans="1:7" x14ac:dyDescent="0.25">
      <c r="A376" t="s">
        <v>682</v>
      </c>
      <c r="B376">
        <v>15</v>
      </c>
      <c r="G376">
        <v>16</v>
      </c>
    </row>
    <row r="377" spans="1:7" x14ac:dyDescent="0.25">
      <c r="A377" t="s">
        <v>683</v>
      </c>
      <c r="B377">
        <v>15</v>
      </c>
      <c r="G377">
        <v>200</v>
      </c>
    </row>
    <row r="378" spans="1:7" x14ac:dyDescent="0.25">
      <c r="A378" t="s">
        <v>684</v>
      </c>
      <c r="B378">
        <v>15</v>
      </c>
      <c r="G378">
        <v>1320</v>
      </c>
    </row>
    <row r="379" spans="1:7" x14ac:dyDescent="0.25">
      <c r="A379" t="s">
        <v>685</v>
      </c>
      <c r="B379">
        <v>15</v>
      </c>
      <c r="G379">
        <v>880</v>
      </c>
    </row>
    <row r="380" spans="1:7" x14ac:dyDescent="0.25">
      <c r="A380" t="s">
        <v>686</v>
      </c>
      <c r="B380">
        <v>15</v>
      </c>
      <c r="G380">
        <v>1760</v>
      </c>
    </row>
    <row r="381" spans="1:7" x14ac:dyDescent="0.25">
      <c r="A381" t="s">
        <v>687</v>
      </c>
      <c r="B381">
        <v>15</v>
      </c>
    </row>
    <row r="382" spans="1:7" x14ac:dyDescent="0.25">
      <c r="A382" t="s">
        <v>688</v>
      </c>
      <c r="B382">
        <v>15</v>
      </c>
    </row>
    <row r="383" spans="1:7" x14ac:dyDescent="0.25">
      <c r="A383" t="s">
        <v>689</v>
      </c>
      <c r="B383">
        <v>15</v>
      </c>
    </row>
    <row r="384" spans="1:7" x14ac:dyDescent="0.25">
      <c r="A384" t="s">
        <v>690</v>
      </c>
      <c r="B384">
        <v>15</v>
      </c>
      <c r="G384" t="b">
        <v>0</v>
      </c>
    </row>
    <row r="385" spans="1:10" x14ac:dyDescent="0.25">
      <c r="A385" t="s">
        <v>691</v>
      </c>
      <c r="B385">
        <v>15</v>
      </c>
      <c r="G385" t="b">
        <v>0</v>
      </c>
    </row>
    <row r="386" spans="1:10" x14ac:dyDescent="0.25">
      <c r="A386" t="s">
        <v>677</v>
      </c>
      <c r="B386">
        <v>16</v>
      </c>
      <c r="J386">
        <v>13</v>
      </c>
    </row>
    <row r="387" spans="1:10" x14ac:dyDescent="0.25">
      <c r="A387" t="s">
        <v>36</v>
      </c>
      <c r="B387">
        <v>16</v>
      </c>
      <c r="J387">
        <v>2</v>
      </c>
    </row>
    <row r="388" spans="1:10" x14ac:dyDescent="0.25">
      <c r="A388" t="s">
        <v>503</v>
      </c>
      <c r="B388">
        <v>16</v>
      </c>
      <c r="J388" t="s">
        <v>746</v>
      </c>
    </row>
    <row r="389" spans="1:10" x14ac:dyDescent="0.25">
      <c r="A389" t="s">
        <v>678</v>
      </c>
      <c r="B389">
        <v>16</v>
      </c>
      <c r="J389">
        <v>538</v>
      </c>
    </row>
    <row r="390" spans="1:10" x14ac:dyDescent="0.25">
      <c r="A390" t="s">
        <v>42</v>
      </c>
      <c r="B390">
        <v>16</v>
      </c>
      <c r="J390">
        <v>30</v>
      </c>
    </row>
    <row r="391" spans="1:10" x14ac:dyDescent="0.25">
      <c r="A391" t="s">
        <v>679</v>
      </c>
      <c r="B391">
        <v>16</v>
      </c>
      <c r="J391">
        <v>12.2</v>
      </c>
    </row>
    <row r="392" spans="1:10" x14ac:dyDescent="0.25">
      <c r="A392" t="s">
        <v>41</v>
      </c>
      <c r="B392">
        <v>16</v>
      </c>
      <c r="J392">
        <v>0</v>
      </c>
    </row>
    <row r="393" spans="1:10" x14ac:dyDescent="0.25">
      <c r="A393" t="s">
        <v>680</v>
      </c>
      <c r="B393">
        <v>16</v>
      </c>
      <c r="J393">
        <v>24</v>
      </c>
    </row>
    <row r="394" spans="1:10" x14ac:dyDescent="0.25">
      <c r="A394" t="s">
        <v>563</v>
      </c>
      <c r="B394">
        <v>16</v>
      </c>
      <c r="J394">
        <v>0</v>
      </c>
    </row>
    <row r="395" spans="1:10" x14ac:dyDescent="0.25">
      <c r="A395" t="s">
        <v>681</v>
      </c>
      <c r="B395">
        <v>16</v>
      </c>
      <c r="J395">
        <v>0</v>
      </c>
    </row>
    <row r="396" spans="1:10" x14ac:dyDescent="0.25">
      <c r="A396" t="s">
        <v>682</v>
      </c>
      <c r="B396">
        <v>16</v>
      </c>
      <c r="J396">
        <v>16</v>
      </c>
    </row>
    <row r="397" spans="1:10" x14ac:dyDescent="0.25">
      <c r="A397" t="s">
        <v>683</v>
      </c>
      <c r="B397">
        <v>16</v>
      </c>
      <c r="J397">
        <v>200</v>
      </c>
    </row>
    <row r="398" spans="1:10" x14ac:dyDescent="0.25">
      <c r="A398" t="s">
        <v>684</v>
      </c>
      <c r="B398">
        <v>16</v>
      </c>
      <c r="J398">
        <v>1320</v>
      </c>
    </row>
    <row r="399" spans="1:10" x14ac:dyDescent="0.25">
      <c r="A399" t="s">
        <v>685</v>
      </c>
      <c r="B399">
        <v>16</v>
      </c>
      <c r="J399">
        <v>880</v>
      </c>
    </row>
    <row r="400" spans="1:10" x14ac:dyDescent="0.25">
      <c r="A400" t="s">
        <v>686</v>
      </c>
      <c r="B400">
        <v>16</v>
      </c>
      <c r="J400">
        <v>1760</v>
      </c>
    </row>
    <row r="401" spans="1:10" x14ac:dyDescent="0.25">
      <c r="A401" t="s">
        <v>687</v>
      </c>
      <c r="B401">
        <v>16</v>
      </c>
    </row>
    <row r="402" spans="1:10" x14ac:dyDescent="0.25">
      <c r="A402" t="s">
        <v>688</v>
      </c>
      <c r="B402">
        <v>16</v>
      </c>
    </row>
    <row r="403" spans="1:10" x14ac:dyDescent="0.25">
      <c r="A403" t="s">
        <v>689</v>
      </c>
      <c r="B403">
        <v>16</v>
      </c>
    </row>
    <row r="404" spans="1:10" x14ac:dyDescent="0.25">
      <c r="A404" t="s">
        <v>690</v>
      </c>
      <c r="B404">
        <v>16</v>
      </c>
      <c r="J404" t="b">
        <v>0</v>
      </c>
    </row>
    <row r="405" spans="1:10" x14ac:dyDescent="0.25">
      <c r="A405" t="s">
        <v>691</v>
      </c>
      <c r="B405">
        <v>16</v>
      </c>
      <c r="J405" t="b">
        <v>0</v>
      </c>
    </row>
    <row r="406" spans="1:10" x14ac:dyDescent="0.25">
      <c r="A406" t="s">
        <v>677</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748</v>
      </c>
      <c r="H408" t="s">
        <v>741</v>
      </c>
      <c r="I408" t="s">
        <v>749</v>
      </c>
      <c r="J408" t="s">
        <v>750</v>
      </c>
    </row>
    <row r="409" spans="1:10" x14ac:dyDescent="0.25">
      <c r="A409" t="s">
        <v>678</v>
      </c>
      <c r="B409">
        <v>17</v>
      </c>
      <c r="E409">
        <v>995</v>
      </c>
      <c r="H409">
        <v>4063</v>
      </c>
      <c r="I409">
        <v>4722</v>
      </c>
      <c r="J409">
        <v>288</v>
      </c>
    </row>
    <row r="410" spans="1:10" x14ac:dyDescent="0.25">
      <c r="A410" t="s">
        <v>42</v>
      </c>
      <c r="B410">
        <v>17</v>
      </c>
      <c r="E410">
        <v>25</v>
      </c>
      <c r="H410">
        <v>45</v>
      </c>
      <c r="I410">
        <v>45</v>
      </c>
      <c r="J410">
        <v>30</v>
      </c>
    </row>
    <row r="411" spans="1:10" x14ac:dyDescent="0.25">
      <c r="A411" t="s">
        <v>679</v>
      </c>
      <c r="B411">
        <v>17</v>
      </c>
      <c r="E411">
        <v>27.1</v>
      </c>
      <c r="H411">
        <v>61.6</v>
      </c>
      <c r="I411">
        <v>71.5</v>
      </c>
      <c r="J411">
        <v>6.5</v>
      </c>
    </row>
    <row r="412" spans="1:10" x14ac:dyDescent="0.25">
      <c r="A412" t="s">
        <v>41</v>
      </c>
      <c r="B412">
        <v>17</v>
      </c>
      <c r="E412">
        <v>0</v>
      </c>
      <c r="H412">
        <v>0</v>
      </c>
      <c r="I412">
        <v>0</v>
      </c>
      <c r="J412">
        <v>0</v>
      </c>
    </row>
    <row r="413" spans="1:10" x14ac:dyDescent="0.25">
      <c r="A413" t="s">
        <v>680</v>
      </c>
      <c r="B413">
        <v>17</v>
      </c>
      <c r="E413">
        <v>24</v>
      </c>
      <c r="H413">
        <v>24</v>
      </c>
      <c r="I413">
        <v>24</v>
      </c>
      <c r="J413">
        <v>12</v>
      </c>
    </row>
    <row r="414" spans="1:10" x14ac:dyDescent="0.25">
      <c r="A414" t="s">
        <v>563</v>
      </c>
      <c r="B414">
        <v>17</v>
      </c>
      <c r="E414">
        <v>0</v>
      </c>
      <c r="H414">
        <v>0</v>
      </c>
      <c r="I414">
        <v>0</v>
      </c>
      <c r="J414">
        <v>0</v>
      </c>
    </row>
    <row r="415" spans="1:10" x14ac:dyDescent="0.25">
      <c r="A415" t="s">
        <v>681</v>
      </c>
      <c r="B415">
        <v>17</v>
      </c>
      <c r="E415">
        <v>1</v>
      </c>
      <c r="H415">
        <v>0</v>
      </c>
      <c r="I415">
        <v>0</v>
      </c>
      <c r="J415">
        <v>0</v>
      </c>
    </row>
    <row r="416" spans="1:10" x14ac:dyDescent="0.25">
      <c r="A416" t="s">
        <v>682</v>
      </c>
      <c r="B416">
        <v>17</v>
      </c>
      <c r="E416">
        <v>16</v>
      </c>
      <c r="H416">
        <v>16</v>
      </c>
      <c r="I416">
        <v>16</v>
      </c>
      <c r="J416">
        <v>16</v>
      </c>
    </row>
    <row r="417" spans="1:10" x14ac:dyDescent="0.25">
      <c r="A417" t="s">
        <v>683</v>
      </c>
      <c r="B417">
        <v>17</v>
      </c>
      <c r="E417">
        <v>687</v>
      </c>
      <c r="H417">
        <v>687</v>
      </c>
      <c r="I417">
        <v>687</v>
      </c>
      <c r="J417">
        <v>687</v>
      </c>
    </row>
    <row r="418" spans="1:10" x14ac:dyDescent="0.25">
      <c r="A418" t="s">
        <v>684</v>
      </c>
      <c r="B418">
        <v>17</v>
      </c>
      <c r="E418">
        <v>1101</v>
      </c>
      <c r="H418">
        <v>1980</v>
      </c>
      <c r="I418">
        <v>1980</v>
      </c>
      <c r="J418">
        <v>1320</v>
      </c>
    </row>
    <row r="419" spans="1:10" x14ac:dyDescent="0.25">
      <c r="A419" t="s">
        <v>685</v>
      </c>
      <c r="B419">
        <v>17</v>
      </c>
      <c r="E419">
        <v>734</v>
      </c>
      <c r="H419">
        <v>1320</v>
      </c>
      <c r="I419">
        <v>1320</v>
      </c>
      <c r="J419">
        <v>880</v>
      </c>
    </row>
    <row r="420" spans="1:10" x14ac:dyDescent="0.25">
      <c r="A420" t="s">
        <v>686</v>
      </c>
      <c r="B420">
        <v>17</v>
      </c>
      <c r="E420">
        <v>1468</v>
      </c>
      <c r="H420">
        <v>2640</v>
      </c>
      <c r="I420">
        <v>2640</v>
      </c>
      <c r="J420">
        <v>1760</v>
      </c>
    </row>
    <row r="421" spans="1:10" x14ac:dyDescent="0.25">
      <c r="A421" t="s">
        <v>687</v>
      </c>
      <c r="B421">
        <v>17</v>
      </c>
    </row>
    <row r="422" spans="1:10" x14ac:dyDescent="0.25">
      <c r="A422" t="s">
        <v>688</v>
      </c>
      <c r="B422">
        <v>17</v>
      </c>
    </row>
    <row r="423" spans="1:10" x14ac:dyDescent="0.25">
      <c r="A423" t="s">
        <v>689</v>
      </c>
      <c r="B423">
        <v>17</v>
      </c>
    </row>
    <row r="424" spans="1:10" x14ac:dyDescent="0.25">
      <c r="A424" t="s">
        <v>690</v>
      </c>
      <c r="B424">
        <v>17</v>
      </c>
      <c r="E424" t="b">
        <v>0</v>
      </c>
      <c r="H424" t="b">
        <v>0</v>
      </c>
      <c r="I424" t="b">
        <v>0</v>
      </c>
      <c r="J424" t="b">
        <v>0</v>
      </c>
    </row>
    <row r="425" spans="1:10" x14ac:dyDescent="0.25">
      <c r="A425" t="s">
        <v>691</v>
      </c>
      <c r="B425">
        <v>17</v>
      </c>
      <c r="E425" t="b">
        <v>0</v>
      </c>
      <c r="H425" t="b">
        <v>0</v>
      </c>
      <c r="I425" t="b">
        <v>0</v>
      </c>
      <c r="J425" t="b">
        <v>0</v>
      </c>
    </row>
    <row r="426" spans="1:10" x14ac:dyDescent="0.25">
      <c r="A426" t="s">
        <v>677</v>
      </c>
      <c r="B426">
        <v>18</v>
      </c>
      <c r="E426">
        <v>13</v>
      </c>
      <c r="F426">
        <v>25</v>
      </c>
    </row>
    <row r="427" spans="1:10" x14ac:dyDescent="0.25">
      <c r="A427" t="s">
        <v>36</v>
      </c>
      <c r="B427">
        <v>18</v>
      </c>
      <c r="E427">
        <v>3</v>
      </c>
      <c r="F427">
        <v>3</v>
      </c>
    </row>
    <row r="428" spans="1:10" x14ac:dyDescent="0.25">
      <c r="A428" t="s">
        <v>503</v>
      </c>
      <c r="B428">
        <v>18</v>
      </c>
      <c r="E428" t="s">
        <v>741</v>
      </c>
      <c r="F428" t="s">
        <v>741</v>
      </c>
    </row>
    <row r="429" spans="1:10" x14ac:dyDescent="0.25">
      <c r="A429" t="s">
        <v>678</v>
      </c>
      <c r="B429">
        <v>18</v>
      </c>
      <c r="E429">
        <v>914</v>
      </c>
      <c r="F429">
        <v>3145</v>
      </c>
    </row>
    <row r="430" spans="1:10" x14ac:dyDescent="0.25">
      <c r="A430" t="s">
        <v>42</v>
      </c>
      <c r="B430">
        <v>18</v>
      </c>
      <c r="E430">
        <v>45</v>
      </c>
      <c r="F430">
        <v>45</v>
      </c>
    </row>
    <row r="431" spans="1:10" x14ac:dyDescent="0.25">
      <c r="A431" t="s">
        <v>679</v>
      </c>
      <c r="B431">
        <v>18</v>
      </c>
      <c r="E431">
        <v>13.8</v>
      </c>
      <c r="F431">
        <v>47.7</v>
      </c>
    </row>
    <row r="432" spans="1:10" x14ac:dyDescent="0.25">
      <c r="A432" t="s">
        <v>41</v>
      </c>
      <c r="B432">
        <v>18</v>
      </c>
      <c r="E432">
        <v>0</v>
      </c>
      <c r="F432">
        <v>0</v>
      </c>
    </row>
    <row r="433" spans="1:6" x14ac:dyDescent="0.25">
      <c r="A433" t="s">
        <v>680</v>
      </c>
      <c r="B433">
        <v>18</v>
      </c>
      <c r="E433">
        <v>24</v>
      </c>
      <c r="F433">
        <v>24</v>
      </c>
    </row>
    <row r="434" spans="1:6" x14ac:dyDescent="0.25">
      <c r="A434" t="s">
        <v>563</v>
      </c>
      <c r="B434">
        <v>18</v>
      </c>
      <c r="E434">
        <v>0</v>
      </c>
      <c r="F434">
        <v>0</v>
      </c>
    </row>
    <row r="435" spans="1:6" x14ac:dyDescent="0.25">
      <c r="A435" t="s">
        <v>681</v>
      </c>
      <c r="B435">
        <v>18</v>
      </c>
      <c r="E435">
        <v>0</v>
      </c>
      <c r="F435">
        <v>0</v>
      </c>
    </row>
    <row r="436" spans="1:6" x14ac:dyDescent="0.25">
      <c r="A436" t="s">
        <v>682</v>
      </c>
      <c r="B436">
        <v>18</v>
      </c>
      <c r="E436">
        <v>16</v>
      </c>
      <c r="F436">
        <v>16</v>
      </c>
    </row>
    <row r="437" spans="1:6" x14ac:dyDescent="0.25">
      <c r="A437" t="s">
        <v>683</v>
      </c>
      <c r="B437">
        <v>18</v>
      </c>
      <c r="E437">
        <v>100</v>
      </c>
      <c r="F437">
        <v>100</v>
      </c>
    </row>
    <row r="438" spans="1:6" x14ac:dyDescent="0.25">
      <c r="A438" t="s">
        <v>684</v>
      </c>
      <c r="B438">
        <v>18</v>
      </c>
      <c r="E438">
        <v>1980</v>
      </c>
      <c r="F438">
        <v>1980</v>
      </c>
    </row>
    <row r="439" spans="1:6" x14ac:dyDescent="0.25">
      <c r="A439" t="s">
        <v>685</v>
      </c>
      <c r="B439">
        <v>18</v>
      </c>
      <c r="E439">
        <v>1320</v>
      </c>
      <c r="F439">
        <v>1320</v>
      </c>
    </row>
    <row r="440" spans="1:6" x14ac:dyDescent="0.25">
      <c r="A440" t="s">
        <v>686</v>
      </c>
      <c r="B440">
        <v>18</v>
      </c>
      <c r="E440">
        <v>2640</v>
      </c>
      <c r="F440">
        <v>2640</v>
      </c>
    </row>
    <row r="441" spans="1:6" x14ac:dyDescent="0.25">
      <c r="A441" t="s">
        <v>687</v>
      </c>
      <c r="B441">
        <v>18</v>
      </c>
      <c r="E441">
        <v>-359035</v>
      </c>
    </row>
    <row r="442" spans="1:6" x14ac:dyDescent="0.25">
      <c r="A442" t="s">
        <v>688</v>
      </c>
      <c r="B442">
        <v>18</v>
      </c>
      <c r="E442">
        <v>14076</v>
      </c>
    </row>
    <row r="443" spans="1:6" x14ac:dyDescent="0.25">
      <c r="A443" t="s">
        <v>689</v>
      </c>
      <c r="B443">
        <v>18</v>
      </c>
      <c r="E443">
        <v>0</v>
      </c>
    </row>
    <row r="444" spans="1:6" x14ac:dyDescent="0.25">
      <c r="A444" t="s">
        <v>690</v>
      </c>
      <c r="B444">
        <v>18</v>
      </c>
      <c r="E444" t="b">
        <v>0</v>
      </c>
      <c r="F444" t="b">
        <v>0</v>
      </c>
    </row>
    <row r="445" spans="1:6" x14ac:dyDescent="0.25">
      <c r="A445" t="s">
        <v>691</v>
      </c>
      <c r="B445">
        <v>18</v>
      </c>
      <c r="E445" t="b">
        <v>0</v>
      </c>
      <c r="F445" t="b">
        <v>0</v>
      </c>
    </row>
    <row r="446" spans="1:6" x14ac:dyDescent="0.25">
      <c r="A446" t="s">
        <v>677</v>
      </c>
      <c r="B446">
        <v>19</v>
      </c>
      <c r="F446">
        <v>17</v>
      </c>
    </row>
    <row r="447" spans="1:6" x14ac:dyDescent="0.25">
      <c r="A447" t="s">
        <v>36</v>
      </c>
      <c r="B447">
        <v>19</v>
      </c>
      <c r="F447">
        <v>2</v>
      </c>
    </row>
    <row r="448" spans="1:6" x14ac:dyDescent="0.25">
      <c r="A448" t="s">
        <v>503</v>
      </c>
      <c r="B448">
        <v>19</v>
      </c>
      <c r="F448" t="s">
        <v>748</v>
      </c>
    </row>
    <row r="449" spans="1:6" x14ac:dyDescent="0.25">
      <c r="A449" t="s">
        <v>678</v>
      </c>
      <c r="B449">
        <v>19</v>
      </c>
      <c r="F449">
        <v>995</v>
      </c>
    </row>
    <row r="450" spans="1:6" x14ac:dyDescent="0.25">
      <c r="A450" t="s">
        <v>42</v>
      </c>
      <c r="B450">
        <v>19</v>
      </c>
      <c r="F450">
        <v>30</v>
      </c>
    </row>
    <row r="451" spans="1:6" x14ac:dyDescent="0.25">
      <c r="A451" t="s">
        <v>679</v>
      </c>
      <c r="B451">
        <v>19</v>
      </c>
      <c r="F451">
        <v>22.6</v>
      </c>
    </row>
    <row r="452" spans="1:6" x14ac:dyDescent="0.25">
      <c r="A452" t="s">
        <v>41</v>
      </c>
      <c r="B452">
        <v>19</v>
      </c>
      <c r="F452">
        <v>0</v>
      </c>
    </row>
    <row r="453" spans="1:6" x14ac:dyDescent="0.25">
      <c r="A453" t="s">
        <v>680</v>
      </c>
      <c r="B453">
        <v>19</v>
      </c>
      <c r="F453">
        <v>12</v>
      </c>
    </row>
    <row r="454" spans="1:6" x14ac:dyDescent="0.25">
      <c r="A454" t="s">
        <v>563</v>
      </c>
      <c r="B454">
        <v>19</v>
      </c>
      <c r="F454">
        <v>0</v>
      </c>
    </row>
    <row r="455" spans="1:6" x14ac:dyDescent="0.25">
      <c r="A455" t="s">
        <v>681</v>
      </c>
      <c r="B455">
        <v>19</v>
      </c>
      <c r="F455">
        <v>1</v>
      </c>
    </row>
    <row r="456" spans="1:6" x14ac:dyDescent="0.25">
      <c r="A456" t="s">
        <v>682</v>
      </c>
      <c r="B456">
        <v>19</v>
      </c>
      <c r="F456">
        <v>16</v>
      </c>
    </row>
    <row r="457" spans="1:6" x14ac:dyDescent="0.25">
      <c r="A457" t="s">
        <v>683</v>
      </c>
      <c r="B457">
        <v>19</v>
      </c>
      <c r="F457">
        <v>200</v>
      </c>
    </row>
    <row r="458" spans="1:6" x14ac:dyDescent="0.25">
      <c r="A458" t="s">
        <v>684</v>
      </c>
      <c r="B458">
        <v>19</v>
      </c>
      <c r="F458">
        <v>1320</v>
      </c>
    </row>
    <row r="459" spans="1:6" x14ac:dyDescent="0.25">
      <c r="A459" t="s">
        <v>685</v>
      </c>
      <c r="B459">
        <v>19</v>
      </c>
      <c r="F459">
        <v>880</v>
      </c>
    </row>
    <row r="460" spans="1:6" x14ac:dyDescent="0.25">
      <c r="A460" t="s">
        <v>686</v>
      </c>
      <c r="B460">
        <v>19</v>
      </c>
      <c r="F460">
        <v>1760</v>
      </c>
    </row>
    <row r="461" spans="1:6" x14ac:dyDescent="0.25">
      <c r="A461" t="s">
        <v>687</v>
      </c>
      <c r="B461">
        <v>19</v>
      </c>
    </row>
    <row r="462" spans="1:6" x14ac:dyDescent="0.25">
      <c r="A462" t="s">
        <v>688</v>
      </c>
      <c r="B462">
        <v>19</v>
      </c>
    </row>
    <row r="463" spans="1:6" x14ac:dyDescent="0.25">
      <c r="A463" t="s">
        <v>689</v>
      </c>
      <c r="B463">
        <v>19</v>
      </c>
    </row>
    <row r="464" spans="1:6" x14ac:dyDescent="0.25">
      <c r="A464" t="s">
        <v>690</v>
      </c>
      <c r="B464">
        <v>19</v>
      </c>
      <c r="F464" t="b">
        <v>0</v>
      </c>
    </row>
    <row r="465" spans="1:7" x14ac:dyDescent="0.25">
      <c r="A465" t="s">
        <v>691</v>
      </c>
      <c r="B465">
        <v>19</v>
      </c>
      <c r="F465" t="b">
        <v>0</v>
      </c>
    </row>
    <row r="466" spans="1:7" x14ac:dyDescent="0.25">
      <c r="A466" t="s">
        <v>677</v>
      </c>
      <c r="B466">
        <v>20</v>
      </c>
      <c r="G466">
        <v>17</v>
      </c>
    </row>
    <row r="467" spans="1:7" x14ac:dyDescent="0.25">
      <c r="A467" t="s">
        <v>36</v>
      </c>
      <c r="B467">
        <v>20</v>
      </c>
      <c r="G467">
        <v>1</v>
      </c>
    </row>
    <row r="468" spans="1:7" x14ac:dyDescent="0.25">
      <c r="A468" t="s">
        <v>503</v>
      </c>
      <c r="B468">
        <v>20</v>
      </c>
      <c r="G468" t="s">
        <v>750</v>
      </c>
    </row>
    <row r="469" spans="1:7" x14ac:dyDescent="0.25">
      <c r="A469" t="s">
        <v>678</v>
      </c>
      <c r="B469">
        <v>20</v>
      </c>
      <c r="G469">
        <v>288</v>
      </c>
    </row>
    <row r="470" spans="1:7" x14ac:dyDescent="0.25">
      <c r="A470" t="s">
        <v>42</v>
      </c>
      <c r="B470">
        <v>20</v>
      </c>
      <c r="G470">
        <v>25</v>
      </c>
    </row>
    <row r="471" spans="1:7" x14ac:dyDescent="0.25">
      <c r="A471" t="s">
        <v>679</v>
      </c>
      <c r="B471">
        <v>20</v>
      </c>
      <c r="G471">
        <v>7.9</v>
      </c>
    </row>
    <row r="472" spans="1:7" x14ac:dyDescent="0.25">
      <c r="A472" t="s">
        <v>41</v>
      </c>
      <c r="B472">
        <v>20</v>
      </c>
      <c r="G472">
        <v>0</v>
      </c>
    </row>
    <row r="473" spans="1:7" x14ac:dyDescent="0.25">
      <c r="A473" t="s">
        <v>680</v>
      </c>
      <c r="B473">
        <v>20</v>
      </c>
      <c r="G473">
        <v>0</v>
      </c>
    </row>
    <row r="474" spans="1:7" x14ac:dyDescent="0.25">
      <c r="A474" t="s">
        <v>563</v>
      </c>
      <c r="B474">
        <v>20</v>
      </c>
      <c r="G474">
        <v>0</v>
      </c>
    </row>
    <row r="475" spans="1:7" x14ac:dyDescent="0.25">
      <c r="A475" t="s">
        <v>681</v>
      </c>
      <c r="B475">
        <v>20</v>
      </c>
      <c r="G475">
        <v>0</v>
      </c>
    </row>
    <row r="476" spans="1:7" x14ac:dyDescent="0.25">
      <c r="A476" t="s">
        <v>682</v>
      </c>
      <c r="B476">
        <v>20</v>
      </c>
      <c r="G476">
        <v>16</v>
      </c>
    </row>
    <row r="477" spans="1:7" x14ac:dyDescent="0.25">
      <c r="A477" t="s">
        <v>683</v>
      </c>
      <c r="B477">
        <v>20</v>
      </c>
      <c r="G477">
        <v>200</v>
      </c>
    </row>
    <row r="478" spans="1:7" x14ac:dyDescent="0.25">
      <c r="A478" t="s">
        <v>684</v>
      </c>
      <c r="B478">
        <v>20</v>
      </c>
      <c r="G478">
        <v>1101</v>
      </c>
    </row>
    <row r="479" spans="1:7" x14ac:dyDescent="0.25">
      <c r="A479" t="s">
        <v>685</v>
      </c>
      <c r="B479">
        <v>20</v>
      </c>
      <c r="G479">
        <v>734</v>
      </c>
    </row>
    <row r="480" spans="1:7" x14ac:dyDescent="0.25">
      <c r="A480" t="s">
        <v>686</v>
      </c>
      <c r="B480">
        <v>20</v>
      </c>
      <c r="G480">
        <v>1468</v>
      </c>
    </row>
    <row r="481" spans="1:9" x14ac:dyDescent="0.25">
      <c r="A481" t="s">
        <v>687</v>
      </c>
      <c r="B481">
        <v>20</v>
      </c>
    </row>
    <row r="482" spans="1:9" x14ac:dyDescent="0.25">
      <c r="A482" t="s">
        <v>688</v>
      </c>
      <c r="B482">
        <v>20</v>
      </c>
    </row>
    <row r="483" spans="1:9" x14ac:dyDescent="0.25">
      <c r="A483" t="s">
        <v>689</v>
      </c>
      <c r="B483">
        <v>20</v>
      </c>
    </row>
    <row r="484" spans="1:9" x14ac:dyDescent="0.25">
      <c r="A484" t="s">
        <v>690</v>
      </c>
      <c r="B484">
        <v>20</v>
      </c>
      <c r="G484" t="b">
        <v>0</v>
      </c>
    </row>
    <row r="485" spans="1:9" x14ac:dyDescent="0.25">
      <c r="A485" t="s">
        <v>691</v>
      </c>
      <c r="B485">
        <v>20</v>
      </c>
      <c r="G485" t="b">
        <v>0</v>
      </c>
    </row>
    <row r="486" spans="1:9" x14ac:dyDescent="0.25">
      <c r="A486" t="s">
        <v>677</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751</v>
      </c>
      <c r="D488" t="s">
        <v>751</v>
      </c>
      <c r="H488" t="s">
        <v>749</v>
      </c>
      <c r="I488" t="s">
        <v>741</v>
      </c>
    </row>
    <row r="489" spans="1:9" x14ac:dyDescent="0.25">
      <c r="A489" t="s">
        <v>678</v>
      </c>
      <c r="B489">
        <v>21</v>
      </c>
      <c r="C489">
        <v>623</v>
      </c>
      <c r="D489">
        <v>452</v>
      </c>
      <c r="H489">
        <v>4722</v>
      </c>
      <c r="I489">
        <v>906</v>
      </c>
    </row>
    <row r="490" spans="1:9" x14ac:dyDescent="0.25">
      <c r="A490" t="s">
        <v>42</v>
      </c>
      <c r="B490">
        <v>21</v>
      </c>
      <c r="C490">
        <v>35</v>
      </c>
      <c r="D490">
        <v>35</v>
      </c>
      <c r="H490">
        <v>45</v>
      </c>
      <c r="I490">
        <v>45</v>
      </c>
    </row>
    <row r="491" spans="1:9" x14ac:dyDescent="0.25">
      <c r="A491" t="s">
        <v>679</v>
      </c>
      <c r="B491">
        <v>21</v>
      </c>
      <c r="C491">
        <v>12.1</v>
      </c>
      <c r="D491">
        <v>8.8000000000000007</v>
      </c>
      <c r="H491">
        <v>71.5</v>
      </c>
      <c r="I491">
        <v>13.7</v>
      </c>
    </row>
    <row r="492" spans="1:9" x14ac:dyDescent="0.25">
      <c r="A492" t="s">
        <v>41</v>
      </c>
      <c r="B492">
        <v>21</v>
      </c>
      <c r="C492">
        <v>0</v>
      </c>
      <c r="D492">
        <v>0</v>
      </c>
      <c r="H492">
        <v>0</v>
      </c>
      <c r="I492">
        <v>0</v>
      </c>
    </row>
    <row r="493" spans="1:9" x14ac:dyDescent="0.25">
      <c r="A493" t="s">
        <v>680</v>
      </c>
      <c r="B493">
        <v>21</v>
      </c>
      <c r="C493">
        <v>24</v>
      </c>
      <c r="D493">
        <v>24</v>
      </c>
      <c r="H493">
        <v>24</v>
      </c>
      <c r="I493">
        <v>24</v>
      </c>
    </row>
    <row r="494" spans="1:9" x14ac:dyDescent="0.25">
      <c r="A494" t="s">
        <v>563</v>
      </c>
      <c r="B494">
        <v>21</v>
      </c>
      <c r="C494">
        <v>0</v>
      </c>
      <c r="D494">
        <v>0</v>
      </c>
      <c r="H494">
        <v>0</v>
      </c>
      <c r="I494">
        <v>0</v>
      </c>
    </row>
    <row r="495" spans="1:9" x14ac:dyDescent="0.25">
      <c r="A495" t="s">
        <v>681</v>
      </c>
      <c r="B495">
        <v>21</v>
      </c>
      <c r="C495">
        <v>0</v>
      </c>
      <c r="D495">
        <v>0</v>
      </c>
      <c r="H495">
        <v>0</v>
      </c>
      <c r="I495">
        <v>0</v>
      </c>
    </row>
    <row r="496" spans="1:9" x14ac:dyDescent="0.25">
      <c r="A496" t="s">
        <v>682</v>
      </c>
      <c r="B496">
        <v>21</v>
      </c>
      <c r="C496">
        <v>16</v>
      </c>
      <c r="D496">
        <v>16</v>
      </c>
      <c r="H496">
        <v>16</v>
      </c>
      <c r="I496">
        <v>16</v>
      </c>
    </row>
    <row r="497" spans="1:9" x14ac:dyDescent="0.25">
      <c r="A497" t="s">
        <v>683</v>
      </c>
      <c r="B497">
        <v>21</v>
      </c>
      <c r="C497">
        <v>583</v>
      </c>
      <c r="D497">
        <v>583</v>
      </c>
      <c r="H497">
        <v>583</v>
      </c>
      <c r="I497">
        <v>583</v>
      </c>
    </row>
    <row r="498" spans="1:9" x14ac:dyDescent="0.25">
      <c r="A498" t="s">
        <v>684</v>
      </c>
      <c r="B498">
        <v>21</v>
      </c>
      <c r="C498">
        <v>1539</v>
      </c>
      <c r="D498">
        <v>1539</v>
      </c>
      <c r="H498">
        <v>1980</v>
      </c>
      <c r="I498">
        <v>1980</v>
      </c>
    </row>
    <row r="499" spans="1:9" x14ac:dyDescent="0.25">
      <c r="A499" t="s">
        <v>685</v>
      </c>
      <c r="B499">
        <v>21</v>
      </c>
      <c r="C499">
        <v>1026</v>
      </c>
      <c r="D499">
        <v>1026</v>
      </c>
      <c r="H499">
        <v>1320</v>
      </c>
      <c r="I499">
        <v>1320</v>
      </c>
    </row>
    <row r="500" spans="1:9" x14ac:dyDescent="0.25">
      <c r="A500" t="s">
        <v>686</v>
      </c>
      <c r="B500">
        <v>21</v>
      </c>
      <c r="C500">
        <v>2052</v>
      </c>
      <c r="D500">
        <v>2052</v>
      </c>
      <c r="H500">
        <v>2640</v>
      </c>
      <c r="I500">
        <v>2640</v>
      </c>
    </row>
    <row r="501" spans="1:9" x14ac:dyDescent="0.25">
      <c r="A501" t="s">
        <v>687</v>
      </c>
      <c r="B501">
        <v>21</v>
      </c>
    </row>
    <row r="502" spans="1:9" x14ac:dyDescent="0.25">
      <c r="A502" t="s">
        <v>688</v>
      </c>
      <c r="B502">
        <v>21</v>
      </c>
    </row>
    <row r="503" spans="1:9" x14ac:dyDescent="0.25">
      <c r="A503" t="s">
        <v>689</v>
      </c>
      <c r="B503">
        <v>21</v>
      </c>
    </row>
    <row r="504" spans="1:9" x14ac:dyDescent="0.25">
      <c r="A504" t="s">
        <v>690</v>
      </c>
      <c r="B504">
        <v>21</v>
      </c>
      <c r="C504" t="b">
        <v>0</v>
      </c>
      <c r="D504" t="b">
        <v>0</v>
      </c>
      <c r="H504" t="b">
        <v>0</v>
      </c>
      <c r="I504" t="b">
        <v>0</v>
      </c>
    </row>
    <row r="505" spans="1:9" x14ac:dyDescent="0.25">
      <c r="A505" t="s">
        <v>691</v>
      </c>
      <c r="B505">
        <v>21</v>
      </c>
      <c r="C505" t="b">
        <v>0</v>
      </c>
      <c r="D505" t="b">
        <v>0</v>
      </c>
      <c r="H505" t="b">
        <v>0</v>
      </c>
      <c r="I505" t="b">
        <v>0</v>
      </c>
    </row>
    <row r="506" spans="1:9" x14ac:dyDescent="0.25">
      <c r="A506" t="s">
        <v>677</v>
      </c>
      <c r="B506">
        <v>22</v>
      </c>
      <c r="D506">
        <v>21</v>
      </c>
    </row>
    <row r="507" spans="1:9" x14ac:dyDescent="0.25">
      <c r="A507" t="s">
        <v>36</v>
      </c>
      <c r="B507">
        <v>22</v>
      </c>
      <c r="D507">
        <v>2</v>
      </c>
    </row>
    <row r="508" spans="1:9" x14ac:dyDescent="0.25">
      <c r="A508" t="s">
        <v>503</v>
      </c>
      <c r="B508">
        <v>22</v>
      </c>
      <c r="D508" t="s">
        <v>751</v>
      </c>
    </row>
    <row r="509" spans="1:9" x14ac:dyDescent="0.25">
      <c r="A509" t="s">
        <v>678</v>
      </c>
      <c r="B509">
        <v>22</v>
      </c>
      <c r="D509">
        <v>623</v>
      </c>
    </row>
    <row r="510" spans="1:9" x14ac:dyDescent="0.25">
      <c r="A510" t="s">
        <v>42</v>
      </c>
      <c r="B510">
        <v>22</v>
      </c>
      <c r="D510">
        <v>30</v>
      </c>
    </row>
    <row r="511" spans="1:9" x14ac:dyDescent="0.25">
      <c r="A511" t="s">
        <v>679</v>
      </c>
      <c r="B511">
        <v>22</v>
      </c>
      <c r="D511">
        <v>14.2</v>
      </c>
    </row>
    <row r="512" spans="1:9" x14ac:dyDescent="0.25">
      <c r="A512" t="s">
        <v>41</v>
      </c>
      <c r="B512">
        <v>22</v>
      </c>
      <c r="D512">
        <v>0</v>
      </c>
    </row>
    <row r="513" spans="1:4" x14ac:dyDescent="0.25">
      <c r="A513" t="s">
        <v>680</v>
      </c>
      <c r="B513">
        <v>22</v>
      </c>
      <c r="D513">
        <v>24</v>
      </c>
    </row>
    <row r="514" spans="1:4" x14ac:dyDescent="0.25">
      <c r="A514" t="s">
        <v>563</v>
      </c>
      <c r="B514">
        <v>22</v>
      </c>
      <c r="D514">
        <v>0</v>
      </c>
    </row>
    <row r="515" spans="1:4" x14ac:dyDescent="0.25">
      <c r="A515" t="s">
        <v>681</v>
      </c>
      <c r="B515">
        <v>22</v>
      </c>
      <c r="D515">
        <v>0</v>
      </c>
    </row>
    <row r="516" spans="1:4" x14ac:dyDescent="0.25">
      <c r="A516" t="s">
        <v>682</v>
      </c>
      <c r="B516">
        <v>22</v>
      </c>
      <c r="D516">
        <v>16</v>
      </c>
    </row>
    <row r="517" spans="1:4" x14ac:dyDescent="0.25">
      <c r="A517" t="s">
        <v>683</v>
      </c>
      <c r="B517">
        <v>22</v>
      </c>
      <c r="D517">
        <v>200</v>
      </c>
    </row>
    <row r="518" spans="1:4" x14ac:dyDescent="0.25">
      <c r="A518" t="s">
        <v>684</v>
      </c>
      <c r="B518">
        <v>22</v>
      </c>
      <c r="D518">
        <v>1320</v>
      </c>
    </row>
    <row r="519" spans="1:4" x14ac:dyDescent="0.25">
      <c r="A519" t="s">
        <v>685</v>
      </c>
      <c r="B519">
        <v>22</v>
      </c>
      <c r="D519">
        <v>880</v>
      </c>
    </row>
    <row r="520" spans="1:4" x14ac:dyDescent="0.25">
      <c r="A520" t="s">
        <v>686</v>
      </c>
      <c r="B520">
        <v>22</v>
      </c>
      <c r="D520">
        <v>1760</v>
      </c>
    </row>
    <row r="521" spans="1:4" x14ac:dyDescent="0.25">
      <c r="A521" t="s">
        <v>687</v>
      </c>
      <c r="B521">
        <v>22</v>
      </c>
    </row>
    <row r="522" spans="1:4" x14ac:dyDescent="0.25">
      <c r="A522" t="s">
        <v>688</v>
      </c>
      <c r="B522">
        <v>22</v>
      </c>
    </row>
    <row r="523" spans="1:4" x14ac:dyDescent="0.25">
      <c r="A523" t="s">
        <v>689</v>
      </c>
      <c r="B523">
        <v>22</v>
      </c>
    </row>
    <row r="524" spans="1:4" x14ac:dyDescent="0.25">
      <c r="A524" t="s">
        <v>690</v>
      </c>
      <c r="B524">
        <v>22</v>
      </c>
      <c r="D524" t="b">
        <v>0</v>
      </c>
    </row>
    <row r="525" spans="1:4" x14ac:dyDescent="0.25">
      <c r="A525" t="s">
        <v>691</v>
      </c>
      <c r="B525">
        <v>22</v>
      </c>
      <c r="D525" t="b">
        <v>0</v>
      </c>
    </row>
    <row r="526" spans="1:4" x14ac:dyDescent="0.25">
      <c r="A526" t="s">
        <v>677</v>
      </c>
      <c r="B526">
        <v>23</v>
      </c>
      <c r="C526">
        <v>21</v>
      </c>
    </row>
    <row r="527" spans="1:4" x14ac:dyDescent="0.25">
      <c r="A527" t="s">
        <v>36</v>
      </c>
      <c r="B527">
        <v>23</v>
      </c>
      <c r="C527">
        <v>2</v>
      </c>
    </row>
    <row r="528" spans="1:4" x14ac:dyDescent="0.25">
      <c r="A528" t="s">
        <v>503</v>
      </c>
      <c r="B528">
        <v>23</v>
      </c>
      <c r="C528" t="s">
        <v>751</v>
      </c>
    </row>
    <row r="529" spans="1:3" x14ac:dyDescent="0.25">
      <c r="A529" t="s">
        <v>678</v>
      </c>
      <c r="B529">
        <v>23</v>
      </c>
      <c r="C529">
        <v>452</v>
      </c>
    </row>
    <row r="530" spans="1:3" x14ac:dyDescent="0.25">
      <c r="A530" t="s">
        <v>42</v>
      </c>
      <c r="B530">
        <v>23</v>
      </c>
      <c r="C530">
        <v>30</v>
      </c>
    </row>
    <row r="531" spans="1:3" x14ac:dyDescent="0.25">
      <c r="A531" t="s">
        <v>679</v>
      </c>
      <c r="B531">
        <v>23</v>
      </c>
      <c r="C531">
        <v>10.3</v>
      </c>
    </row>
    <row r="532" spans="1:3" x14ac:dyDescent="0.25">
      <c r="A532" t="s">
        <v>41</v>
      </c>
      <c r="B532">
        <v>23</v>
      </c>
      <c r="C532">
        <v>0</v>
      </c>
    </row>
    <row r="533" spans="1:3" x14ac:dyDescent="0.25">
      <c r="A533" t="s">
        <v>680</v>
      </c>
      <c r="B533">
        <v>23</v>
      </c>
      <c r="C533">
        <v>12</v>
      </c>
    </row>
    <row r="534" spans="1:3" x14ac:dyDescent="0.25">
      <c r="A534" t="s">
        <v>563</v>
      </c>
      <c r="B534">
        <v>23</v>
      </c>
      <c r="C534">
        <v>0</v>
      </c>
    </row>
    <row r="535" spans="1:3" x14ac:dyDescent="0.25">
      <c r="A535" t="s">
        <v>681</v>
      </c>
      <c r="B535">
        <v>23</v>
      </c>
      <c r="C535">
        <v>0</v>
      </c>
    </row>
    <row r="536" spans="1:3" x14ac:dyDescent="0.25">
      <c r="A536" t="s">
        <v>682</v>
      </c>
      <c r="B536">
        <v>23</v>
      </c>
      <c r="C536">
        <v>16</v>
      </c>
    </row>
    <row r="537" spans="1:3" x14ac:dyDescent="0.25">
      <c r="A537" t="s">
        <v>683</v>
      </c>
      <c r="B537">
        <v>23</v>
      </c>
      <c r="C537">
        <v>200</v>
      </c>
    </row>
    <row r="538" spans="1:3" x14ac:dyDescent="0.25">
      <c r="A538" t="s">
        <v>684</v>
      </c>
      <c r="B538">
        <v>23</v>
      </c>
      <c r="C538">
        <v>1320</v>
      </c>
    </row>
    <row r="539" spans="1:3" x14ac:dyDescent="0.25">
      <c r="A539" t="s">
        <v>685</v>
      </c>
      <c r="B539">
        <v>23</v>
      </c>
      <c r="C539">
        <v>880</v>
      </c>
    </row>
    <row r="540" spans="1:3" x14ac:dyDescent="0.25">
      <c r="A540" t="s">
        <v>686</v>
      </c>
      <c r="B540">
        <v>23</v>
      </c>
      <c r="C540">
        <v>1760</v>
      </c>
    </row>
    <row r="541" spans="1:3" x14ac:dyDescent="0.25">
      <c r="A541" t="s">
        <v>687</v>
      </c>
      <c r="B541">
        <v>23</v>
      </c>
    </row>
    <row r="542" spans="1:3" x14ac:dyDescent="0.25">
      <c r="A542" t="s">
        <v>688</v>
      </c>
      <c r="B542">
        <v>23</v>
      </c>
    </row>
    <row r="543" spans="1:3" x14ac:dyDescent="0.25">
      <c r="A543" t="s">
        <v>689</v>
      </c>
      <c r="B543">
        <v>23</v>
      </c>
    </row>
    <row r="544" spans="1:3" x14ac:dyDescent="0.25">
      <c r="A544" t="s">
        <v>690</v>
      </c>
      <c r="B544">
        <v>23</v>
      </c>
      <c r="C544" t="b">
        <v>0</v>
      </c>
    </row>
    <row r="545" spans="1:10" x14ac:dyDescent="0.25">
      <c r="A545" t="s">
        <v>691</v>
      </c>
      <c r="B545">
        <v>23</v>
      </c>
      <c r="C545" t="b">
        <v>0</v>
      </c>
    </row>
    <row r="546" spans="1:10" x14ac:dyDescent="0.25">
      <c r="A546" t="s">
        <v>677</v>
      </c>
      <c r="B546">
        <v>24</v>
      </c>
      <c r="J546">
        <v>28</v>
      </c>
    </row>
    <row r="547" spans="1:10" x14ac:dyDescent="0.25">
      <c r="A547" t="s">
        <v>36</v>
      </c>
      <c r="B547">
        <v>24</v>
      </c>
      <c r="J547">
        <v>1</v>
      </c>
    </row>
    <row r="548" spans="1:10" x14ac:dyDescent="0.25">
      <c r="A548" t="s">
        <v>503</v>
      </c>
      <c r="B548">
        <v>24</v>
      </c>
      <c r="J548" t="s">
        <v>752</v>
      </c>
    </row>
    <row r="549" spans="1:10" x14ac:dyDescent="0.25">
      <c r="A549" t="s">
        <v>678</v>
      </c>
      <c r="B549">
        <v>24</v>
      </c>
      <c r="J549">
        <v>274</v>
      </c>
    </row>
    <row r="550" spans="1:10" x14ac:dyDescent="0.25">
      <c r="A550" t="s">
        <v>42</v>
      </c>
      <c r="B550">
        <v>24</v>
      </c>
      <c r="J550">
        <v>25</v>
      </c>
    </row>
    <row r="551" spans="1:10" x14ac:dyDescent="0.25">
      <c r="A551" t="s">
        <v>679</v>
      </c>
      <c r="B551">
        <v>24</v>
      </c>
      <c r="J551">
        <v>7.5</v>
      </c>
    </row>
    <row r="552" spans="1:10" x14ac:dyDescent="0.25">
      <c r="A552" t="s">
        <v>41</v>
      </c>
      <c r="B552">
        <v>24</v>
      </c>
      <c r="J552">
        <v>0</v>
      </c>
    </row>
    <row r="553" spans="1:10" x14ac:dyDescent="0.25">
      <c r="A553" t="s">
        <v>680</v>
      </c>
      <c r="B553">
        <v>24</v>
      </c>
      <c r="J553">
        <v>0</v>
      </c>
    </row>
    <row r="554" spans="1:10" x14ac:dyDescent="0.25">
      <c r="A554" t="s">
        <v>563</v>
      </c>
      <c r="B554">
        <v>24</v>
      </c>
      <c r="J554">
        <v>0</v>
      </c>
    </row>
    <row r="555" spans="1:10" x14ac:dyDescent="0.25">
      <c r="A555" t="s">
        <v>681</v>
      </c>
      <c r="B555">
        <v>24</v>
      </c>
      <c r="J555">
        <v>0</v>
      </c>
    </row>
    <row r="556" spans="1:10" x14ac:dyDescent="0.25">
      <c r="A556" t="s">
        <v>682</v>
      </c>
      <c r="B556">
        <v>24</v>
      </c>
      <c r="J556">
        <v>16</v>
      </c>
    </row>
    <row r="557" spans="1:10" x14ac:dyDescent="0.25">
      <c r="A557" t="s">
        <v>683</v>
      </c>
      <c r="B557">
        <v>24</v>
      </c>
      <c r="J557">
        <v>200</v>
      </c>
    </row>
    <row r="558" spans="1:10" x14ac:dyDescent="0.25">
      <c r="A558" t="s">
        <v>684</v>
      </c>
      <c r="B558">
        <v>24</v>
      </c>
      <c r="J558">
        <v>1101</v>
      </c>
    </row>
    <row r="559" spans="1:10" x14ac:dyDescent="0.25">
      <c r="A559" t="s">
        <v>685</v>
      </c>
      <c r="B559">
        <v>24</v>
      </c>
      <c r="J559">
        <v>734</v>
      </c>
    </row>
    <row r="560" spans="1:10" x14ac:dyDescent="0.25">
      <c r="A560" t="s">
        <v>686</v>
      </c>
      <c r="B560">
        <v>24</v>
      </c>
      <c r="J560">
        <v>1468</v>
      </c>
    </row>
    <row r="561" spans="1:10" x14ac:dyDescent="0.25">
      <c r="A561" t="s">
        <v>687</v>
      </c>
      <c r="B561">
        <v>24</v>
      </c>
    </row>
    <row r="562" spans="1:10" x14ac:dyDescent="0.25">
      <c r="A562" t="s">
        <v>688</v>
      </c>
      <c r="B562">
        <v>24</v>
      </c>
    </row>
    <row r="563" spans="1:10" x14ac:dyDescent="0.25">
      <c r="A563" t="s">
        <v>689</v>
      </c>
      <c r="B563">
        <v>24</v>
      </c>
    </row>
    <row r="564" spans="1:10" x14ac:dyDescent="0.25">
      <c r="A564" t="s">
        <v>690</v>
      </c>
      <c r="B564">
        <v>24</v>
      </c>
      <c r="J564" t="b">
        <v>0</v>
      </c>
    </row>
    <row r="565" spans="1:10" x14ac:dyDescent="0.25">
      <c r="A565" t="s">
        <v>691</v>
      </c>
      <c r="B565">
        <v>24</v>
      </c>
      <c r="J565" t="b">
        <v>0</v>
      </c>
    </row>
    <row r="566" spans="1:10" x14ac:dyDescent="0.25">
      <c r="A566" t="s">
        <v>677</v>
      </c>
      <c r="B566">
        <v>25</v>
      </c>
      <c r="C566">
        <v>48</v>
      </c>
      <c r="E566">
        <v>18</v>
      </c>
      <c r="F566">
        <v>11</v>
      </c>
    </row>
    <row r="567" spans="1:10" x14ac:dyDescent="0.25">
      <c r="A567" t="s">
        <v>36</v>
      </c>
      <c r="B567">
        <v>25</v>
      </c>
      <c r="C567">
        <v>1</v>
      </c>
      <c r="E567">
        <v>3</v>
      </c>
      <c r="F567">
        <v>4</v>
      </c>
    </row>
    <row r="568" spans="1:10" x14ac:dyDescent="0.25">
      <c r="A568" t="s">
        <v>503</v>
      </c>
      <c r="B568">
        <v>25</v>
      </c>
      <c r="C568" t="s">
        <v>753</v>
      </c>
      <c r="E568" t="s">
        <v>741</v>
      </c>
      <c r="F568" t="s">
        <v>741</v>
      </c>
    </row>
    <row r="569" spans="1:10" x14ac:dyDescent="0.25">
      <c r="A569" t="s">
        <v>678</v>
      </c>
      <c r="B569">
        <v>25</v>
      </c>
      <c r="C569">
        <v>656</v>
      </c>
      <c r="E569">
        <v>3145</v>
      </c>
      <c r="F569">
        <v>1028</v>
      </c>
    </row>
    <row r="570" spans="1:10" x14ac:dyDescent="0.25">
      <c r="A570" t="s">
        <v>42</v>
      </c>
      <c r="B570">
        <v>25</v>
      </c>
      <c r="C570">
        <v>30</v>
      </c>
      <c r="E570">
        <v>45</v>
      </c>
      <c r="F570">
        <v>45</v>
      </c>
    </row>
    <row r="571" spans="1:10" x14ac:dyDescent="0.25">
      <c r="A571" t="s">
        <v>679</v>
      </c>
      <c r="B571">
        <v>25</v>
      </c>
      <c r="C571">
        <v>14.9</v>
      </c>
      <c r="E571">
        <v>47.7</v>
      </c>
      <c r="F571">
        <v>15.6</v>
      </c>
    </row>
    <row r="572" spans="1:10" x14ac:dyDescent="0.25">
      <c r="A572" t="s">
        <v>41</v>
      </c>
      <c r="B572">
        <v>25</v>
      </c>
      <c r="C572">
        <v>0</v>
      </c>
      <c r="E572">
        <v>0</v>
      </c>
      <c r="F572">
        <v>0</v>
      </c>
    </row>
    <row r="573" spans="1:10" x14ac:dyDescent="0.25">
      <c r="A573" t="s">
        <v>680</v>
      </c>
      <c r="B573">
        <v>25</v>
      </c>
      <c r="C573">
        <v>12</v>
      </c>
      <c r="E573">
        <v>12</v>
      </c>
      <c r="F573">
        <v>12</v>
      </c>
    </row>
    <row r="574" spans="1:10" x14ac:dyDescent="0.25">
      <c r="A574" t="s">
        <v>563</v>
      </c>
      <c r="B574">
        <v>25</v>
      </c>
      <c r="C574">
        <v>0</v>
      </c>
      <c r="E574">
        <v>0</v>
      </c>
      <c r="F574">
        <v>0</v>
      </c>
    </row>
    <row r="575" spans="1:10" x14ac:dyDescent="0.25">
      <c r="A575" t="s">
        <v>681</v>
      </c>
      <c r="B575">
        <v>25</v>
      </c>
      <c r="C575">
        <v>0</v>
      </c>
      <c r="E575">
        <v>0</v>
      </c>
      <c r="F575">
        <v>0</v>
      </c>
    </row>
    <row r="576" spans="1:10" x14ac:dyDescent="0.25">
      <c r="A576" t="s">
        <v>682</v>
      </c>
      <c r="B576">
        <v>25</v>
      </c>
      <c r="C576">
        <v>16</v>
      </c>
      <c r="E576">
        <v>16</v>
      </c>
      <c r="F576">
        <v>16</v>
      </c>
    </row>
    <row r="577" spans="1:9" x14ac:dyDescent="0.25">
      <c r="A577" t="s">
        <v>683</v>
      </c>
      <c r="B577">
        <v>25</v>
      </c>
      <c r="C577">
        <v>583</v>
      </c>
      <c r="E577">
        <v>583</v>
      </c>
      <c r="F577">
        <v>583</v>
      </c>
    </row>
    <row r="578" spans="1:9" x14ac:dyDescent="0.25">
      <c r="A578" t="s">
        <v>684</v>
      </c>
      <c r="B578">
        <v>25</v>
      </c>
      <c r="C578">
        <v>1320</v>
      </c>
      <c r="E578">
        <v>1980</v>
      </c>
      <c r="F578">
        <v>1980</v>
      </c>
    </row>
    <row r="579" spans="1:9" x14ac:dyDescent="0.25">
      <c r="A579" t="s">
        <v>685</v>
      </c>
      <c r="B579">
        <v>25</v>
      </c>
      <c r="C579">
        <v>880</v>
      </c>
      <c r="E579">
        <v>1320</v>
      </c>
      <c r="F579">
        <v>1320</v>
      </c>
    </row>
    <row r="580" spans="1:9" x14ac:dyDescent="0.25">
      <c r="A580" t="s">
        <v>686</v>
      </c>
      <c r="B580">
        <v>25</v>
      </c>
      <c r="C580">
        <v>1760</v>
      </c>
      <c r="E580">
        <v>2640</v>
      </c>
      <c r="F580">
        <v>2640</v>
      </c>
    </row>
    <row r="581" spans="1:9" x14ac:dyDescent="0.25">
      <c r="A581" t="s">
        <v>687</v>
      </c>
      <c r="B581">
        <v>25</v>
      </c>
    </row>
    <row r="582" spans="1:9" x14ac:dyDescent="0.25">
      <c r="A582" t="s">
        <v>688</v>
      </c>
      <c r="B582">
        <v>25</v>
      </c>
    </row>
    <row r="583" spans="1:9" x14ac:dyDescent="0.25">
      <c r="A583" t="s">
        <v>689</v>
      </c>
      <c r="B583">
        <v>25</v>
      </c>
    </row>
    <row r="584" spans="1:9" x14ac:dyDescent="0.25">
      <c r="A584" t="s">
        <v>690</v>
      </c>
      <c r="B584">
        <v>25</v>
      </c>
      <c r="C584" t="b">
        <v>0</v>
      </c>
      <c r="E584" t="b">
        <v>0</v>
      </c>
      <c r="F584" t="b">
        <v>0</v>
      </c>
    </row>
    <row r="585" spans="1:9" x14ac:dyDescent="0.25">
      <c r="A585" t="s">
        <v>691</v>
      </c>
      <c r="B585">
        <v>25</v>
      </c>
      <c r="C585" t="b">
        <v>0</v>
      </c>
      <c r="E585" t="b">
        <v>0</v>
      </c>
      <c r="F585" t="b">
        <v>0</v>
      </c>
    </row>
    <row r="586" spans="1:9" x14ac:dyDescent="0.25">
      <c r="A586" t="s">
        <v>677</v>
      </c>
      <c r="B586">
        <v>26</v>
      </c>
      <c r="G586">
        <v>29</v>
      </c>
      <c r="H586">
        <v>28</v>
      </c>
      <c r="I586">
        <v>27</v>
      </c>
    </row>
    <row r="587" spans="1:9" x14ac:dyDescent="0.25">
      <c r="A587" t="s">
        <v>36</v>
      </c>
      <c r="B587">
        <v>26</v>
      </c>
      <c r="G587">
        <v>2</v>
      </c>
      <c r="H587">
        <v>5</v>
      </c>
      <c r="I587">
        <v>4</v>
      </c>
    </row>
    <row r="588" spans="1:9" x14ac:dyDescent="0.25">
      <c r="A588" t="s">
        <v>503</v>
      </c>
      <c r="B588">
        <v>26</v>
      </c>
      <c r="G588" t="s">
        <v>754</v>
      </c>
      <c r="H588" t="s">
        <v>741</v>
      </c>
      <c r="I588" t="s">
        <v>741</v>
      </c>
    </row>
    <row r="589" spans="1:9" x14ac:dyDescent="0.25">
      <c r="A589" t="s">
        <v>678</v>
      </c>
      <c r="B589">
        <v>26</v>
      </c>
      <c r="G589">
        <v>298</v>
      </c>
      <c r="H589">
        <v>3236</v>
      </c>
      <c r="I589">
        <v>1261</v>
      </c>
    </row>
    <row r="590" spans="1:9" x14ac:dyDescent="0.25">
      <c r="A590" t="s">
        <v>42</v>
      </c>
      <c r="B590">
        <v>26</v>
      </c>
      <c r="G590">
        <v>25</v>
      </c>
      <c r="H590">
        <v>45</v>
      </c>
      <c r="I590">
        <v>45</v>
      </c>
    </row>
    <row r="591" spans="1:9" x14ac:dyDescent="0.25">
      <c r="A591" t="s">
        <v>679</v>
      </c>
      <c r="B591">
        <v>26</v>
      </c>
      <c r="G591">
        <v>8.1</v>
      </c>
      <c r="H591">
        <v>49</v>
      </c>
      <c r="I591">
        <v>19.100000000000001</v>
      </c>
    </row>
    <row r="592" spans="1:9" x14ac:dyDescent="0.25">
      <c r="A592" t="s">
        <v>41</v>
      </c>
      <c r="B592">
        <v>26</v>
      </c>
      <c r="G592">
        <v>0</v>
      </c>
      <c r="H592">
        <v>0</v>
      </c>
      <c r="I592">
        <v>0</v>
      </c>
    </row>
    <row r="593" spans="1:9" x14ac:dyDescent="0.25">
      <c r="A593" t="s">
        <v>680</v>
      </c>
      <c r="B593">
        <v>26</v>
      </c>
      <c r="G593">
        <v>12</v>
      </c>
      <c r="H593">
        <v>24</v>
      </c>
      <c r="I593">
        <v>24</v>
      </c>
    </row>
    <row r="594" spans="1:9" x14ac:dyDescent="0.25">
      <c r="A594" t="s">
        <v>563</v>
      </c>
      <c r="B594">
        <v>26</v>
      </c>
      <c r="G594">
        <v>0</v>
      </c>
      <c r="H594">
        <v>0</v>
      </c>
      <c r="I594">
        <v>0</v>
      </c>
    </row>
    <row r="595" spans="1:9" x14ac:dyDescent="0.25">
      <c r="A595" t="s">
        <v>681</v>
      </c>
      <c r="B595">
        <v>26</v>
      </c>
      <c r="G595">
        <v>0</v>
      </c>
      <c r="H595">
        <v>0</v>
      </c>
      <c r="I595">
        <v>0</v>
      </c>
    </row>
    <row r="596" spans="1:9" x14ac:dyDescent="0.25">
      <c r="A596" t="s">
        <v>682</v>
      </c>
      <c r="B596">
        <v>26</v>
      </c>
      <c r="G596">
        <v>16</v>
      </c>
      <c r="H596">
        <v>16</v>
      </c>
      <c r="I596">
        <v>16</v>
      </c>
    </row>
    <row r="597" spans="1:9" x14ac:dyDescent="0.25">
      <c r="A597" t="s">
        <v>683</v>
      </c>
      <c r="B597">
        <v>26</v>
      </c>
      <c r="G597">
        <v>583</v>
      </c>
      <c r="H597">
        <v>583</v>
      </c>
      <c r="I597">
        <v>583</v>
      </c>
    </row>
    <row r="598" spans="1:9" x14ac:dyDescent="0.25">
      <c r="A598" t="s">
        <v>684</v>
      </c>
      <c r="B598">
        <v>26</v>
      </c>
      <c r="G598">
        <v>1101</v>
      </c>
      <c r="H598">
        <v>1980</v>
      </c>
      <c r="I598">
        <v>1980</v>
      </c>
    </row>
    <row r="599" spans="1:9" x14ac:dyDescent="0.25">
      <c r="A599" t="s">
        <v>685</v>
      </c>
      <c r="B599">
        <v>26</v>
      </c>
      <c r="G599">
        <v>734</v>
      </c>
      <c r="H599">
        <v>1320</v>
      </c>
      <c r="I599">
        <v>1320</v>
      </c>
    </row>
    <row r="600" spans="1:9" x14ac:dyDescent="0.25">
      <c r="A600" t="s">
        <v>686</v>
      </c>
      <c r="B600">
        <v>26</v>
      </c>
      <c r="G600">
        <v>1468</v>
      </c>
      <c r="H600">
        <v>2640</v>
      </c>
      <c r="I600">
        <v>2640</v>
      </c>
    </row>
    <row r="601" spans="1:9" x14ac:dyDescent="0.25">
      <c r="A601" t="s">
        <v>687</v>
      </c>
      <c r="B601">
        <v>26</v>
      </c>
    </row>
    <row r="602" spans="1:9" x14ac:dyDescent="0.25">
      <c r="A602" t="s">
        <v>688</v>
      </c>
      <c r="B602">
        <v>26</v>
      </c>
    </row>
    <row r="603" spans="1:9" x14ac:dyDescent="0.25">
      <c r="A603" t="s">
        <v>689</v>
      </c>
      <c r="B603">
        <v>26</v>
      </c>
    </row>
    <row r="604" spans="1:9" x14ac:dyDescent="0.25">
      <c r="A604" t="s">
        <v>690</v>
      </c>
      <c r="B604">
        <v>26</v>
      </c>
      <c r="G604" t="b">
        <v>0</v>
      </c>
      <c r="H604" t="b">
        <v>0</v>
      </c>
      <c r="I604" t="b">
        <v>0</v>
      </c>
    </row>
    <row r="605" spans="1:9" x14ac:dyDescent="0.25">
      <c r="A605" t="s">
        <v>691</v>
      </c>
      <c r="B605">
        <v>26</v>
      </c>
      <c r="G605" t="b">
        <v>0</v>
      </c>
      <c r="H605" t="b">
        <v>0</v>
      </c>
      <c r="I605" t="b">
        <v>0</v>
      </c>
    </row>
    <row r="606" spans="1:9" x14ac:dyDescent="0.25">
      <c r="A606" t="s">
        <v>677</v>
      </c>
      <c r="B606">
        <v>27</v>
      </c>
      <c r="G606">
        <v>30</v>
      </c>
      <c r="H606">
        <v>26</v>
      </c>
      <c r="I606">
        <v>31</v>
      </c>
    </row>
    <row r="607" spans="1:9" x14ac:dyDescent="0.25">
      <c r="A607" t="s">
        <v>36</v>
      </c>
      <c r="B607">
        <v>27</v>
      </c>
      <c r="G607">
        <v>3</v>
      </c>
      <c r="H607">
        <v>5</v>
      </c>
      <c r="I607">
        <v>4</v>
      </c>
    </row>
    <row r="608" spans="1:9" x14ac:dyDescent="0.25">
      <c r="A608" t="s">
        <v>503</v>
      </c>
      <c r="B608">
        <v>27</v>
      </c>
      <c r="G608" t="s">
        <v>755</v>
      </c>
      <c r="H608" t="s">
        <v>741</v>
      </c>
      <c r="I608" t="s">
        <v>741</v>
      </c>
    </row>
    <row r="609" spans="1:9" x14ac:dyDescent="0.25">
      <c r="A609" t="s">
        <v>678</v>
      </c>
      <c r="B609">
        <v>27</v>
      </c>
      <c r="G609">
        <v>262</v>
      </c>
      <c r="H609">
        <v>1261</v>
      </c>
      <c r="I609">
        <v>2453</v>
      </c>
    </row>
    <row r="610" spans="1:9" x14ac:dyDescent="0.25">
      <c r="A610" t="s">
        <v>42</v>
      </c>
      <c r="B610">
        <v>27</v>
      </c>
      <c r="G610">
        <v>30</v>
      </c>
      <c r="H610">
        <v>45</v>
      </c>
      <c r="I610">
        <v>45</v>
      </c>
    </row>
    <row r="611" spans="1:9" x14ac:dyDescent="0.25">
      <c r="A611" t="s">
        <v>679</v>
      </c>
      <c r="B611">
        <v>27</v>
      </c>
      <c r="G611">
        <v>6</v>
      </c>
      <c r="H611">
        <v>19.100000000000001</v>
      </c>
      <c r="I611">
        <v>37.200000000000003</v>
      </c>
    </row>
    <row r="612" spans="1:9" x14ac:dyDescent="0.25">
      <c r="A612" t="s">
        <v>41</v>
      </c>
      <c r="B612">
        <v>27</v>
      </c>
      <c r="G612">
        <v>0</v>
      </c>
      <c r="H612">
        <v>0</v>
      </c>
      <c r="I612">
        <v>0</v>
      </c>
    </row>
    <row r="613" spans="1:9" x14ac:dyDescent="0.25">
      <c r="A613" t="s">
        <v>680</v>
      </c>
      <c r="B613">
        <v>27</v>
      </c>
      <c r="G613">
        <v>24</v>
      </c>
      <c r="H613">
        <v>24</v>
      </c>
      <c r="I613">
        <v>24</v>
      </c>
    </row>
    <row r="614" spans="1:9" x14ac:dyDescent="0.25">
      <c r="A614" t="s">
        <v>563</v>
      </c>
      <c r="B614">
        <v>27</v>
      </c>
      <c r="G614">
        <v>0</v>
      </c>
      <c r="H614">
        <v>0</v>
      </c>
      <c r="I614">
        <v>0</v>
      </c>
    </row>
    <row r="615" spans="1:9" x14ac:dyDescent="0.25">
      <c r="A615" t="s">
        <v>681</v>
      </c>
      <c r="B615">
        <v>27</v>
      </c>
      <c r="G615">
        <v>0</v>
      </c>
      <c r="H615">
        <v>0</v>
      </c>
      <c r="I615">
        <v>0</v>
      </c>
    </row>
    <row r="616" spans="1:9" x14ac:dyDescent="0.25">
      <c r="A616" t="s">
        <v>682</v>
      </c>
      <c r="B616">
        <v>27</v>
      </c>
      <c r="G616">
        <v>16</v>
      </c>
      <c r="H616">
        <v>16</v>
      </c>
      <c r="I616">
        <v>16</v>
      </c>
    </row>
    <row r="617" spans="1:9" x14ac:dyDescent="0.25">
      <c r="A617" t="s">
        <v>683</v>
      </c>
      <c r="B617">
        <v>27</v>
      </c>
      <c r="G617">
        <v>583</v>
      </c>
      <c r="H617">
        <v>583</v>
      </c>
      <c r="I617">
        <v>583</v>
      </c>
    </row>
    <row r="618" spans="1:9" x14ac:dyDescent="0.25">
      <c r="A618" t="s">
        <v>684</v>
      </c>
      <c r="B618">
        <v>27</v>
      </c>
      <c r="G618">
        <v>1320</v>
      </c>
      <c r="H618">
        <v>1980</v>
      </c>
      <c r="I618">
        <v>1980</v>
      </c>
    </row>
    <row r="619" spans="1:9" x14ac:dyDescent="0.25">
      <c r="A619" t="s">
        <v>685</v>
      </c>
      <c r="B619">
        <v>27</v>
      </c>
      <c r="G619">
        <v>880</v>
      </c>
      <c r="H619">
        <v>1320</v>
      </c>
      <c r="I619">
        <v>1320</v>
      </c>
    </row>
    <row r="620" spans="1:9" x14ac:dyDescent="0.25">
      <c r="A620" t="s">
        <v>686</v>
      </c>
      <c r="B620">
        <v>27</v>
      </c>
      <c r="G620">
        <v>1760</v>
      </c>
      <c r="H620">
        <v>2640</v>
      </c>
      <c r="I620">
        <v>2640</v>
      </c>
    </row>
    <row r="621" spans="1:9" x14ac:dyDescent="0.25">
      <c r="A621" t="s">
        <v>687</v>
      </c>
      <c r="B621">
        <v>27</v>
      </c>
    </row>
    <row r="622" spans="1:9" x14ac:dyDescent="0.25">
      <c r="A622" t="s">
        <v>688</v>
      </c>
      <c r="B622">
        <v>27</v>
      </c>
    </row>
    <row r="623" spans="1:9" x14ac:dyDescent="0.25">
      <c r="A623" t="s">
        <v>689</v>
      </c>
      <c r="B623">
        <v>27</v>
      </c>
    </row>
    <row r="624" spans="1:9" x14ac:dyDescent="0.25">
      <c r="A624" t="s">
        <v>690</v>
      </c>
      <c r="B624">
        <v>27</v>
      </c>
      <c r="G624" t="b">
        <v>0</v>
      </c>
      <c r="H624" t="b">
        <v>0</v>
      </c>
      <c r="I624" t="b">
        <v>0</v>
      </c>
    </row>
    <row r="625" spans="1:9" x14ac:dyDescent="0.25">
      <c r="A625" t="s">
        <v>691</v>
      </c>
      <c r="B625">
        <v>27</v>
      </c>
      <c r="G625" t="b">
        <v>0</v>
      </c>
      <c r="H625" t="b">
        <v>0</v>
      </c>
      <c r="I625" t="b">
        <v>0</v>
      </c>
    </row>
    <row r="626" spans="1:9" x14ac:dyDescent="0.25">
      <c r="A626" t="s">
        <v>677</v>
      </c>
      <c r="B626">
        <v>28</v>
      </c>
      <c r="G626">
        <v>24</v>
      </c>
      <c r="H626">
        <v>46</v>
      </c>
      <c r="I626">
        <v>26</v>
      </c>
    </row>
    <row r="627" spans="1:9" x14ac:dyDescent="0.25">
      <c r="A627" t="s">
        <v>36</v>
      </c>
      <c r="B627">
        <v>28</v>
      </c>
      <c r="G627">
        <v>2</v>
      </c>
      <c r="H627">
        <v>4</v>
      </c>
      <c r="I627">
        <v>4</v>
      </c>
    </row>
    <row r="628" spans="1:9" x14ac:dyDescent="0.25">
      <c r="A628" t="s">
        <v>503</v>
      </c>
      <c r="B628">
        <v>28</v>
      </c>
      <c r="G628" t="s">
        <v>752</v>
      </c>
      <c r="H628" t="s">
        <v>741</v>
      </c>
      <c r="I628" t="s">
        <v>741</v>
      </c>
    </row>
    <row r="629" spans="1:9" x14ac:dyDescent="0.25">
      <c r="A629" t="s">
        <v>678</v>
      </c>
      <c r="B629">
        <v>28</v>
      </c>
      <c r="G629">
        <v>274</v>
      </c>
      <c r="H629">
        <v>1161</v>
      </c>
      <c r="I629">
        <v>3236</v>
      </c>
    </row>
    <row r="630" spans="1:9" x14ac:dyDescent="0.25">
      <c r="A630" t="s">
        <v>42</v>
      </c>
      <c r="B630">
        <v>28</v>
      </c>
      <c r="G630">
        <v>25</v>
      </c>
      <c r="H630">
        <v>45</v>
      </c>
      <c r="I630">
        <v>45</v>
      </c>
    </row>
    <row r="631" spans="1:9" x14ac:dyDescent="0.25">
      <c r="A631" t="s">
        <v>679</v>
      </c>
      <c r="B631">
        <v>28</v>
      </c>
      <c r="G631">
        <v>7.5</v>
      </c>
      <c r="H631">
        <v>17.600000000000001</v>
      </c>
      <c r="I631">
        <v>49</v>
      </c>
    </row>
    <row r="632" spans="1:9" x14ac:dyDescent="0.25">
      <c r="A632" t="s">
        <v>41</v>
      </c>
      <c r="B632">
        <v>28</v>
      </c>
      <c r="G632">
        <v>0</v>
      </c>
      <c r="H632">
        <v>0</v>
      </c>
      <c r="I632">
        <v>0</v>
      </c>
    </row>
    <row r="633" spans="1:9" x14ac:dyDescent="0.25">
      <c r="A633" t="s">
        <v>680</v>
      </c>
      <c r="B633">
        <v>28</v>
      </c>
      <c r="G633">
        <v>12</v>
      </c>
      <c r="H633">
        <v>24</v>
      </c>
      <c r="I633">
        <v>24</v>
      </c>
    </row>
    <row r="634" spans="1:9" x14ac:dyDescent="0.25">
      <c r="A634" t="s">
        <v>563</v>
      </c>
      <c r="B634">
        <v>28</v>
      </c>
      <c r="G634">
        <v>0</v>
      </c>
      <c r="H634">
        <v>0</v>
      </c>
      <c r="I634">
        <v>0</v>
      </c>
    </row>
    <row r="635" spans="1:9" x14ac:dyDescent="0.25">
      <c r="A635" t="s">
        <v>681</v>
      </c>
      <c r="B635">
        <v>28</v>
      </c>
      <c r="G635">
        <v>0</v>
      </c>
      <c r="H635">
        <v>0</v>
      </c>
      <c r="I635">
        <v>0</v>
      </c>
    </row>
    <row r="636" spans="1:9" x14ac:dyDescent="0.25">
      <c r="A636" t="s">
        <v>682</v>
      </c>
      <c r="B636">
        <v>28</v>
      </c>
      <c r="G636">
        <v>16</v>
      </c>
      <c r="H636">
        <v>16</v>
      </c>
      <c r="I636">
        <v>16</v>
      </c>
    </row>
    <row r="637" spans="1:9" x14ac:dyDescent="0.25">
      <c r="A637" t="s">
        <v>683</v>
      </c>
      <c r="B637">
        <v>28</v>
      </c>
      <c r="G637">
        <v>583</v>
      </c>
      <c r="H637">
        <v>583</v>
      </c>
      <c r="I637">
        <v>583</v>
      </c>
    </row>
    <row r="638" spans="1:9" x14ac:dyDescent="0.25">
      <c r="A638" t="s">
        <v>684</v>
      </c>
      <c r="B638">
        <v>28</v>
      </c>
      <c r="G638">
        <v>1101</v>
      </c>
      <c r="H638">
        <v>1980</v>
      </c>
      <c r="I638">
        <v>1980</v>
      </c>
    </row>
    <row r="639" spans="1:9" x14ac:dyDescent="0.25">
      <c r="A639" t="s">
        <v>685</v>
      </c>
      <c r="B639">
        <v>28</v>
      </c>
      <c r="G639">
        <v>734</v>
      </c>
      <c r="H639">
        <v>1320</v>
      </c>
      <c r="I639">
        <v>1320</v>
      </c>
    </row>
    <row r="640" spans="1:9" x14ac:dyDescent="0.25">
      <c r="A640" t="s">
        <v>686</v>
      </c>
      <c r="B640">
        <v>28</v>
      </c>
      <c r="G640">
        <v>1468</v>
      </c>
      <c r="H640">
        <v>2640</v>
      </c>
      <c r="I640">
        <v>2640</v>
      </c>
    </row>
    <row r="641" spans="1:10" x14ac:dyDescent="0.25">
      <c r="A641" t="s">
        <v>687</v>
      </c>
      <c r="B641">
        <v>28</v>
      </c>
    </row>
    <row r="642" spans="1:10" x14ac:dyDescent="0.25">
      <c r="A642" t="s">
        <v>688</v>
      </c>
      <c r="B642">
        <v>28</v>
      </c>
    </row>
    <row r="643" spans="1:10" x14ac:dyDescent="0.25">
      <c r="A643" t="s">
        <v>689</v>
      </c>
      <c r="B643">
        <v>28</v>
      </c>
    </row>
    <row r="644" spans="1:10" x14ac:dyDescent="0.25">
      <c r="A644" t="s">
        <v>690</v>
      </c>
      <c r="B644">
        <v>28</v>
      </c>
      <c r="G644" t="b">
        <v>0</v>
      </c>
      <c r="H644" t="b">
        <v>0</v>
      </c>
      <c r="I644" t="b">
        <v>0</v>
      </c>
    </row>
    <row r="645" spans="1:10" x14ac:dyDescent="0.25">
      <c r="A645" t="s">
        <v>691</v>
      </c>
      <c r="B645">
        <v>28</v>
      </c>
      <c r="G645" t="b">
        <v>0</v>
      </c>
      <c r="H645" t="b">
        <v>0</v>
      </c>
      <c r="I645" t="b">
        <v>0</v>
      </c>
    </row>
    <row r="646" spans="1:10" x14ac:dyDescent="0.25">
      <c r="A646" t="s">
        <v>677</v>
      </c>
      <c r="B646">
        <v>29</v>
      </c>
      <c r="J646">
        <v>26</v>
      </c>
    </row>
    <row r="647" spans="1:10" x14ac:dyDescent="0.25">
      <c r="A647" t="s">
        <v>36</v>
      </c>
      <c r="B647">
        <v>29</v>
      </c>
      <c r="J647">
        <v>2</v>
      </c>
    </row>
    <row r="648" spans="1:10" x14ac:dyDescent="0.25">
      <c r="A648" t="s">
        <v>503</v>
      </c>
      <c r="B648">
        <v>29</v>
      </c>
      <c r="J648" t="s">
        <v>754</v>
      </c>
    </row>
    <row r="649" spans="1:10" x14ac:dyDescent="0.25">
      <c r="A649" t="s">
        <v>678</v>
      </c>
      <c r="B649">
        <v>29</v>
      </c>
      <c r="J649">
        <v>298</v>
      </c>
    </row>
    <row r="650" spans="1:10" x14ac:dyDescent="0.25">
      <c r="A650" t="s">
        <v>42</v>
      </c>
      <c r="B650">
        <v>29</v>
      </c>
      <c r="J650">
        <v>30</v>
      </c>
    </row>
    <row r="651" spans="1:10" x14ac:dyDescent="0.25">
      <c r="A651" t="s">
        <v>679</v>
      </c>
      <c r="B651">
        <v>29</v>
      </c>
      <c r="J651">
        <v>6.8</v>
      </c>
    </row>
    <row r="652" spans="1:10" x14ac:dyDescent="0.25">
      <c r="A652" t="s">
        <v>41</v>
      </c>
      <c r="B652">
        <v>29</v>
      </c>
      <c r="J652">
        <v>0</v>
      </c>
    </row>
    <row r="653" spans="1:10" x14ac:dyDescent="0.25">
      <c r="A653" t="s">
        <v>680</v>
      </c>
      <c r="B653">
        <v>29</v>
      </c>
      <c r="J653">
        <v>0</v>
      </c>
    </row>
    <row r="654" spans="1:10" x14ac:dyDescent="0.25">
      <c r="A654" t="s">
        <v>563</v>
      </c>
      <c r="B654">
        <v>29</v>
      </c>
      <c r="J654">
        <v>0</v>
      </c>
    </row>
    <row r="655" spans="1:10" x14ac:dyDescent="0.25">
      <c r="A655" t="s">
        <v>681</v>
      </c>
      <c r="B655">
        <v>29</v>
      </c>
      <c r="J655">
        <v>0</v>
      </c>
    </row>
    <row r="656" spans="1:10" x14ac:dyDescent="0.25">
      <c r="A656" t="s">
        <v>682</v>
      </c>
      <c r="B656">
        <v>29</v>
      </c>
      <c r="J656">
        <v>16</v>
      </c>
    </row>
    <row r="657" spans="1:10" x14ac:dyDescent="0.25">
      <c r="A657" t="s">
        <v>683</v>
      </c>
      <c r="B657">
        <v>29</v>
      </c>
      <c r="J657">
        <v>200</v>
      </c>
    </row>
    <row r="658" spans="1:10" x14ac:dyDescent="0.25">
      <c r="A658" t="s">
        <v>684</v>
      </c>
      <c r="B658">
        <v>29</v>
      </c>
      <c r="J658">
        <v>1320</v>
      </c>
    </row>
    <row r="659" spans="1:10" x14ac:dyDescent="0.25">
      <c r="A659" t="s">
        <v>685</v>
      </c>
      <c r="B659">
        <v>29</v>
      </c>
      <c r="J659">
        <v>880</v>
      </c>
    </row>
    <row r="660" spans="1:10" x14ac:dyDescent="0.25">
      <c r="A660" t="s">
        <v>686</v>
      </c>
      <c r="B660">
        <v>29</v>
      </c>
      <c r="J660">
        <v>1760</v>
      </c>
    </row>
    <row r="661" spans="1:10" x14ac:dyDescent="0.25">
      <c r="A661" t="s">
        <v>687</v>
      </c>
      <c r="B661">
        <v>29</v>
      </c>
    </row>
    <row r="662" spans="1:10" x14ac:dyDescent="0.25">
      <c r="A662" t="s">
        <v>688</v>
      </c>
      <c r="B662">
        <v>29</v>
      </c>
    </row>
    <row r="663" spans="1:10" x14ac:dyDescent="0.25">
      <c r="A663" t="s">
        <v>689</v>
      </c>
      <c r="B663">
        <v>29</v>
      </c>
    </row>
    <row r="664" spans="1:10" x14ac:dyDescent="0.25">
      <c r="A664" t="s">
        <v>690</v>
      </c>
      <c r="B664">
        <v>29</v>
      </c>
      <c r="J664" t="b">
        <v>0</v>
      </c>
    </row>
    <row r="665" spans="1:10" x14ac:dyDescent="0.25">
      <c r="A665" t="s">
        <v>691</v>
      </c>
      <c r="B665">
        <v>29</v>
      </c>
      <c r="J665" t="b">
        <v>0</v>
      </c>
    </row>
    <row r="666" spans="1:10" x14ac:dyDescent="0.25">
      <c r="A666" t="s">
        <v>677</v>
      </c>
      <c r="B666">
        <v>30</v>
      </c>
      <c r="J666">
        <v>27</v>
      </c>
    </row>
    <row r="667" spans="1:10" x14ac:dyDescent="0.25">
      <c r="A667" t="s">
        <v>36</v>
      </c>
      <c r="B667">
        <v>30</v>
      </c>
      <c r="J667">
        <v>2</v>
      </c>
    </row>
    <row r="668" spans="1:10" x14ac:dyDescent="0.25">
      <c r="A668" t="s">
        <v>503</v>
      </c>
      <c r="B668">
        <v>30</v>
      </c>
      <c r="J668" t="s">
        <v>755</v>
      </c>
    </row>
    <row r="669" spans="1:10" x14ac:dyDescent="0.25">
      <c r="A669" t="s">
        <v>678</v>
      </c>
      <c r="B669">
        <v>30</v>
      </c>
      <c r="J669">
        <v>262</v>
      </c>
    </row>
    <row r="670" spans="1:10" x14ac:dyDescent="0.25">
      <c r="A670" t="s">
        <v>42</v>
      </c>
      <c r="B670">
        <v>30</v>
      </c>
      <c r="J670">
        <v>30</v>
      </c>
    </row>
    <row r="671" spans="1:10" x14ac:dyDescent="0.25">
      <c r="A671" t="s">
        <v>679</v>
      </c>
      <c r="B671">
        <v>30</v>
      </c>
      <c r="J671">
        <v>6</v>
      </c>
    </row>
    <row r="672" spans="1:10" x14ac:dyDescent="0.25">
      <c r="A672" t="s">
        <v>41</v>
      </c>
      <c r="B672">
        <v>30</v>
      </c>
      <c r="J672">
        <v>0</v>
      </c>
    </row>
    <row r="673" spans="1:10" x14ac:dyDescent="0.25">
      <c r="A673" t="s">
        <v>680</v>
      </c>
      <c r="B673">
        <v>30</v>
      </c>
      <c r="J673">
        <v>0</v>
      </c>
    </row>
    <row r="674" spans="1:10" x14ac:dyDescent="0.25">
      <c r="A674" t="s">
        <v>563</v>
      </c>
      <c r="B674">
        <v>30</v>
      </c>
      <c r="J674">
        <v>0</v>
      </c>
    </row>
    <row r="675" spans="1:10" x14ac:dyDescent="0.25">
      <c r="A675" t="s">
        <v>681</v>
      </c>
      <c r="B675">
        <v>30</v>
      </c>
      <c r="J675">
        <v>0</v>
      </c>
    </row>
    <row r="676" spans="1:10" x14ac:dyDescent="0.25">
      <c r="A676" t="s">
        <v>682</v>
      </c>
      <c r="B676">
        <v>30</v>
      </c>
      <c r="J676">
        <v>16</v>
      </c>
    </row>
    <row r="677" spans="1:10" x14ac:dyDescent="0.25">
      <c r="A677" t="s">
        <v>683</v>
      </c>
      <c r="B677">
        <v>30</v>
      </c>
      <c r="J677">
        <v>200</v>
      </c>
    </row>
    <row r="678" spans="1:10" x14ac:dyDescent="0.25">
      <c r="A678" t="s">
        <v>684</v>
      </c>
      <c r="B678">
        <v>30</v>
      </c>
      <c r="J678">
        <v>1320</v>
      </c>
    </row>
    <row r="679" spans="1:10" x14ac:dyDescent="0.25">
      <c r="A679" t="s">
        <v>685</v>
      </c>
      <c r="B679">
        <v>30</v>
      </c>
      <c r="J679">
        <v>880</v>
      </c>
    </row>
    <row r="680" spans="1:10" x14ac:dyDescent="0.25">
      <c r="A680" t="s">
        <v>686</v>
      </c>
      <c r="B680">
        <v>30</v>
      </c>
      <c r="J680">
        <v>1760</v>
      </c>
    </row>
    <row r="681" spans="1:10" x14ac:dyDescent="0.25">
      <c r="A681" t="s">
        <v>687</v>
      </c>
      <c r="B681">
        <v>30</v>
      </c>
    </row>
    <row r="682" spans="1:10" x14ac:dyDescent="0.25">
      <c r="A682" t="s">
        <v>688</v>
      </c>
      <c r="B682">
        <v>30</v>
      </c>
    </row>
    <row r="683" spans="1:10" x14ac:dyDescent="0.25">
      <c r="A683" t="s">
        <v>689</v>
      </c>
      <c r="B683">
        <v>30</v>
      </c>
    </row>
    <row r="684" spans="1:10" x14ac:dyDescent="0.25">
      <c r="A684" t="s">
        <v>690</v>
      </c>
      <c r="B684">
        <v>30</v>
      </c>
      <c r="J684" t="b">
        <v>0</v>
      </c>
    </row>
    <row r="685" spans="1:10" x14ac:dyDescent="0.25">
      <c r="A685" t="s">
        <v>691</v>
      </c>
      <c r="B685">
        <v>30</v>
      </c>
      <c r="J685" t="b">
        <v>0</v>
      </c>
    </row>
    <row r="686" spans="1:10" x14ac:dyDescent="0.25">
      <c r="A686" t="s">
        <v>677</v>
      </c>
      <c r="B686">
        <v>31</v>
      </c>
      <c r="G686">
        <v>32</v>
      </c>
      <c r="H686">
        <v>27</v>
      </c>
      <c r="I686">
        <v>33</v>
      </c>
    </row>
    <row r="687" spans="1:10" x14ac:dyDescent="0.25">
      <c r="A687" t="s">
        <v>36</v>
      </c>
      <c r="B687">
        <v>31</v>
      </c>
      <c r="G687">
        <v>3</v>
      </c>
      <c r="H687">
        <v>5</v>
      </c>
      <c r="I687">
        <v>4</v>
      </c>
    </row>
    <row r="688" spans="1:10" x14ac:dyDescent="0.25">
      <c r="A688" t="s">
        <v>503</v>
      </c>
      <c r="B688">
        <v>31</v>
      </c>
      <c r="G688" t="s">
        <v>756</v>
      </c>
      <c r="H688" t="s">
        <v>741</v>
      </c>
      <c r="I688" t="s">
        <v>741</v>
      </c>
    </row>
    <row r="689" spans="1:9" x14ac:dyDescent="0.25">
      <c r="A689" t="s">
        <v>678</v>
      </c>
      <c r="B689">
        <v>31</v>
      </c>
      <c r="G689">
        <v>456</v>
      </c>
      <c r="H689">
        <v>2453</v>
      </c>
      <c r="I689">
        <v>2608</v>
      </c>
    </row>
    <row r="690" spans="1:9" x14ac:dyDescent="0.25">
      <c r="A690" t="s">
        <v>42</v>
      </c>
      <c r="B690">
        <v>31</v>
      </c>
      <c r="G690">
        <v>25</v>
      </c>
      <c r="H690">
        <v>45</v>
      </c>
      <c r="I690">
        <v>45</v>
      </c>
    </row>
    <row r="691" spans="1:9" x14ac:dyDescent="0.25">
      <c r="A691" t="s">
        <v>679</v>
      </c>
      <c r="B691">
        <v>31</v>
      </c>
      <c r="G691">
        <v>12.4</v>
      </c>
      <c r="H691">
        <v>37.200000000000003</v>
      </c>
      <c r="I691">
        <v>39.5</v>
      </c>
    </row>
    <row r="692" spans="1:9" x14ac:dyDescent="0.25">
      <c r="A692" t="s">
        <v>41</v>
      </c>
      <c r="B692">
        <v>31</v>
      </c>
      <c r="G692">
        <v>0</v>
      </c>
      <c r="H692">
        <v>0</v>
      </c>
      <c r="I692">
        <v>0</v>
      </c>
    </row>
    <row r="693" spans="1:9" x14ac:dyDescent="0.25">
      <c r="A693" t="s">
        <v>680</v>
      </c>
      <c r="B693">
        <v>31</v>
      </c>
      <c r="G693">
        <v>24</v>
      </c>
      <c r="H693">
        <v>24</v>
      </c>
      <c r="I693">
        <v>24</v>
      </c>
    </row>
    <row r="694" spans="1:9" x14ac:dyDescent="0.25">
      <c r="A694" t="s">
        <v>563</v>
      </c>
      <c r="B694">
        <v>31</v>
      </c>
      <c r="G694">
        <v>0</v>
      </c>
      <c r="H694">
        <v>0</v>
      </c>
      <c r="I694">
        <v>0</v>
      </c>
    </row>
    <row r="695" spans="1:9" x14ac:dyDescent="0.25">
      <c r="A695" t="s">
        <v>681</v>
      </c>
      <c r="B695">
        <v>31</v>
      </c>
      <c r="G695">
        <v>0</v>
      </c>
      <c r="H695">
        <v>0</v>
      </c>
      <c r="I695">
        <v>0</v>
      </c>
    </row>
    <row r="696" spans="1:9" x14ac:dyDescent="0.25">
      <c r="A696" t="s">
        <v>682</v>
      </c>
      <c r="B696">
        <v>31</v>
      </c>
      <c r="G696">
        <v>16</v>
      </c>
      <c r="H696">
        <v>16</v>
      </c>
      <c r="I696">
        <v>16</v>
      </c>
    </row>
    <row r="697" spans="1:9" x14ac:dyDescent="0.25">
      <c r="A697" t="s">
        <v>683</v>
      </c>
      <c r="B697">
        <v>31</v>
      </c>
      <c r="G697">
        <v>583</v>
      </c>
      <c r="H697">
        <v>583</v>
      </c>
      <c r="I697">
        <v>583</v>
      </c>
    </row>
    <row r="698" spans="1:9" x14ac:dyDescent="0.25">
      <c r="A698" t="s">
        <v>684</v>
      </c>
      <c r="B698">
        <v>31</v>
      </c>
      <c r="G698">
        <v>1101</v>
      </c>
      <c r="H698">
        <v>1980</v>
      </c>
      <c r="I698">
        <v>1980</v>
      </c>
    </row>
    <row r="699" spans="1:9" x14ac:dyDescent="0.25">
      <c r="A699" t="s">
        <v>685</v>
      </c>
      <c r="B699">
        <v>31</v>
      </c>
      <c r="G699">
        <v>734</v>
      </c>
      <c r="H699">
        <v>1320</v>
      </c>
      <c r="I699">
        <v>1320</v>
      </c>
    </row>
    <row r="700" spans="1:9" x14ac:dyDescent="0.25">
      <c r="A700" t="s">
        <v>686</v>
      </c>
      <c r="B700">
        <v>31</v>
      </c>
      <c r="G700">
        <v>1468</v>
      </c>
      <c r="H700">
        <v>2640</v>
      </c>
      <c r="I700">
        <v>2640</v>
      </c>
    </row>
    <row r="701" spans="1:9" x14ac:dyDescent="0.25">
      <c r="A701" t="s">
        <v>687</v>
      </c>
      <c r="B701">
        <v>31</v>
      </c>
    </row>
    <row r="702" spans="1:9" x14ac:dyDescent="0.25">
      <c r="A702" t="s">
        <v>688</v>
      </c>
      <c r="B702">
        <v>31</v>
      </c>
    </row>
    <row r="703" spans="1:9" x14ac:dyDescent="0.25">
      <c r="A703" t="s">
        <v>689</v>
      </c>
      <c r="B703">
        <v>31</v>
      </c>
    </row>
    <row r="704" spans="1:9" x14ac:dyDescent="0.25">
      <c r="A704" t="s">
        <v>690</v>
      </c>
      <c r="B704">
        <v>31</v>
      </c>
      <c r="G704" t="b">
        <v>0</v>
      </c>
      <c r="H704" t="b">
        <v>0</v>
      </c>
      <c r="I704" t="b">
        <v>0</v>
      </c>
    </row>
    <row r="705" spans="1:10" x14ac:dyDescent="0.25">
      <c r="A705" t="s">
        <v>691</v>
      </c>
      <c r="B705">
        <v>31</v>
      </c>
      <c r="G705" t="b">
        <v>0</v>
      </c>
      <c r="H705" t="b">
        <v>0</v>
      </c>
      <c r="I705" t="b">
        <v>0</v>
      </c>
    </row>
    <row r="706" spans="1:10" x14ac:dyDescent="0.25">
      <c r="A706" t="s">
        <v>677</v>
      </c>
      <c r="B706">
        <v>32</v>
      </c>
      <c r="J706">
        <v>31</v>
      </c>
    </row>
    <row r="707" spans="1:10" x14ac:dyDescent="0.25">
      <c r="A707" t="s">
        <v>36</v>
      </c>
      <c r="B707">
        <v>32</v>
      </c>
      <c r="J707">
        <v>2</v>
      </c>
    </row>
    <row r="708" spans="1:10" x14ac:dyDescent="0.25">
      <c r="A708" t="s">
        <v>503</v>
      </c>
      <c r="B708">
        <v>32</v>
      </c>
      <c r="J708" t="s">
        <v>756</v>
      </c>
    </row>
    <row r="709" spans="1:10" x14ac:dyDescent="0.25">
      <c r="A709" t="s">
        <v>678</v>
      </c>
      <c r="B709">
        <v>32</v>
      </c>
      <c r="J709">
        <v>456</v>
      </c>
    </row>
    <row r="710" spans="1:10" x14ac:dyDescent="0.25">
      <c r="A710" t="s">
        <v>42</v>
      </c>
      <c r="B710">
        <v>32</v>
      </c>
      <c r="J710">
        <v>30</v>
      </c>
    </row>
    <row r="711" spans="1:10" x14ac:dyDescent="0.25">
      <c r="A711" t="s">
        <v>679</v>
      </c>
      <c r="B711">
        <v>32</v>
      </c>
      <c r="J711">
        <v>10.4</v>
      </c>
    </row>
    <row r="712" spans="1:10" x14ac:dyDescent="0.25">
      <c r="A712" t="s">
        <v>41</v>
      </c>
      <c r="B712">
        <v>32</v>
      </c>
      <c r="J712">
        <v>0</v>
      </c>
    </row>
    <row r="713" spans="1:10" x14ac:dyDescent="0.25">
      <c r="A713" t="s">
        <v>680</v>
      </c>
      <c r="B713">
        <v>32</v>
      </c>
      <c r="J713">
        <v>12</v>
      </c>
    </row>
    <row r="714" spans="1:10" x14ac:dyDescent="0.25">
      <c r="A714" t="s">
        <v>563</v>
      </c>
      <c r="B714">
        <v>32</v>
      </c>
      <c r="J714">
        <v>0</v>
      </c>
    </row>
    <row r="715" spans="1:10" x14ac:dyDescent="0.25">
      <c r="A715" t="s">
        <v>681</v>
      </c>
      <c r="B715">
        <v>32</v>
      </c>
      <c r="J715">
        <v>0</v>
      </c>
    </row>
    <row r="716" spans="1:10" x14ac:dyDescent="0.25">
      <c r="A716" t="s">
        <v>682</v>
      </c>
      <c r="B716">
        <v>32</v>
      </c>
      <c r="J716">
        <v>16</v>
      </c>
    </row>
    <row r="717" spans="1:10" x14ac:dyDescent="0.25">
      <c r="A717" t="s">
        <v>683</v>
      </c>
      <c r="B717">
        <v>32</v>
      </c>
      <c r="J717">
        <v>200</v>
      </c>
    </row>
    <row r="718" spans="1:10" x14ac:dyDescent="0.25">
      <c r="A718" t="s">
        <v>684</v>
      </c>
      <c r="B718">
        <v>32</v>
      </c>
      <c r="J718">
        <v>1320</v>
      </c>
    </row>
    <row r="719" spans="1:10" x14ac:dyDescent="0.25">
      <c r="A719" t="s">
        <v>685</v>
      </c>
      <c r="B719">
        <v>32</v>
      </c>
      <c r="J719">
        <v>880</v>
      </c>
    </row>
    <row r="720" spans="1:10" x14ac:dyDescent="0.25">
      <c r="A720" t="s">
        <v>686</v>
      </c>
      <c r="B720">
        <v>32</v>
      </c>
      <c r="J720">
        <v>1760</v>
      </c>
    </row>
    <row r="721" spans="1:10" x14ac:dyDescent="0.25">
      <c r="A721" t="s">
        <v>687</v>
      </c>
      <c r="B721">
        <v>32</v>
      </c>
    </row>
    <row r="722" spans="1:10" x14ac:dyDescent="0.25">
      <c r="A722" t="s">
        <v>688</v>
      </c>
      <c r="B722">
        <v>32</v>
      </c>
    </row>
    <row r="723" spans="1:10" x14ac:dyDescent="0.25">
      <c r="A723" t="s">
        <v>689</v>
      </c>
      <c r="B723">
        <v>32</v>
      </c>
    </row>
    <row r="724" spans="1:10" x14ac:dyDescent="0.25">
      <c r="A724" t="s">
        <v>690</v>
      </c>
      <c r="B724">
        <v>32</v>
      </c>
      <c r="J724" t="b">
        <v>0</v>
      </c>
    </row>
    <row r="725" spans="1:10" x14ac:dyDescent="0.25">
      <c r="A725" t="s">
        <v>691</v>
      </c>
      <c r="B725">
        <v>32</v>
      </c>
      <c r="J725" t="b">
        <v>0</v>
      </c>
    </row>
    <row r="726" spans="1:10" x14ac:dyDescent="0.25">
      <c r="A726" t="s">
        <v>677</v>
      </c>
      <c r="B726">
        <v>33</v>
      </c>
      <c r="G726">
        <v>35</v>
      </c>
      <c r="H726">
        <v>31</v>
      </c>
      <c r="I726">
        <v>34</v>
      </c>
    </row>
    <row r="727" spans="1:10" x14ac:dyDescent="0.25">
      <c r="A727" t="s">
        <v>36</v>
      </c>
      <c r="B727">
        <v>33</v>
      </c>
      <c r="G727">
        <v>2</v>
      </c>
      <c r="H727">
        <v>4</v>
      </c>
      <c r="I727">
        <v>4</v>
      </c>
    </row>
    <row r="728" spans="1:10" x14ac:dyDescent="0.25">
      <c r="A728" t="s">
        <v>503</v>
      </c>
      <c r="B728">
        <v>33</v>
      </c>
      <c r="G728" t="s">
        <v>757</v>
      </c>
      <c r="H728" t="s">
        <v>741</v>
      </c>
      <c r="I728" t="s">
        <v>741</v>
      </c>
    </row>
    <row r="729" spans="1:10" x14ac:dyDescent="0.25">
      <c r="A729" t="s">
        <v>678</v>
      </c>
      <c r="B729">
        <v>33</v>
      </c>
      <c r="G729">
        <v>375</v>
      </c>
      <c r="H729">
        <v>2608</v>
      </c>
      <c r="I729">
        <v>1440</v>
      </c>
    </row>
    <row r="730" spans="1:10" x14ac:dyDescent="0.25">
      <c r="A730" t="s">
        <v>42</v>
      </c>
      <c r="B730">
        <v>33</v>
      </c>
      <c r="G730">
        <v>25</v>
      </c>
      <c r="H730">
        <v>45</v>
      </c>
      <c r="I730">
        <v>45</v>
      </c>
    </row>
    <row r="731" spans="1:10" x14ac:dyDescent="0.25">
      <c r="A731" t="s">
        <v>679</v>
      </c>
      <c r="B731">
        <v>33</v>
      </c>
      <c r="G731">
        <v>10.199999999999999</v>
      </c>
      <c r="H731">
        <v>39.5</v>
      </c>
      <c r="I731">
        <v>21.8</v>
      </c>
    </row>
    <row r="732" spans="1:10" x14ac:dyDescent="0.25">
      <c r="A732" t="s">
        <v>41</v>
      </c>
      <c r="B732">
        <v>33</v>
      </c>
      <c r="G732">
        <v>0</v>
      </c>
      <c r="H732">
        <v>0</v>
      </c>
      <c r="I732">
        <v>0</v>
      </c>
    </row>
    <row r="733" spans="1:10" x14ac:dyDescent="0.25">
      <c r="A733" t="s">
        <v>680</v>
      </c>
      <c r="B733">
        <v>33</v>
      </c>
      <c r="G733">
        <v>12</v>
      </c>
      <c r="H733">
        <v>24</v>
      </c>
      <c r="I733">
        <v>24</v>
      </c>
    </row>
    <row r="734" spans="1:10" x14ac:dyDescent="0.25">
      <c r="A734" t="s">
        <v>563</v>
      </c>
      <c r="B734">
        <v>33</v>
      </c>
      <c r="G734">
        <v>0</v>
      </c>
      <c r="H734">
        <v>0</v>
      </c>
      <c r="I734">
        <v>0</v>
      </c>
    </row>
    <row r="735" spans="1:10" x14ac:dyDescent="0.25">
      <c r="A735" t="s">
        <v>681</v>
      </c>
      <c r="B735">
        <v>33</v>
      </c>
      <c r="G735">
        <v>1</v>
      </c>
      <c r="H735">
        <v>0</v>
      </c>
      <c r="I735">
        <v>0</v>
      </c>
    </row>
    <row r="736" spans="1:10" x14ac:dyDescent="0.25">
      <c r="A736" t="s">
        <v>682</v>
      </c>
      <c r="B736">
        <v>33</v>
      </c>
      <c r="G736">
        <v>16</v>
      </c>
      <c r="H736">
        <v>16</v>
      </c>
      <c r="I736">
        <v>16</v>
      </c>
    </row>
    <row r="737" spans="1:10" x14ac:dyDescent="0.25">
      <c r="A737" t="s">
        <v>683</v>
      </c>
      <c r="B737">
        <v>33</v>
      </c>
      <c r="G737">
        <v>583</v>
      </c>
      <c r="H737">
        <v>583</v>
      </c>
      <c r="I737">
        <v>583</v>
      </c>
    </row>
    <row r="738" spans="1:10" x14ac:dyDescent="0.25">
      <c r="A738" t="s">
        <v>684</v>
      </c>
      <c r="B738">
        <v>33</v>
      </c>
      <c r="G738">
        <v>1101</v>
      </c>
      <c r="H738">
        <v>1980</v>
      </c>
      <c r="I738">
        <v>1980</v>
      </c>
    </row>
    <row r="739" spans="1:10" x14ac:dyDescent="0.25">
      <c r="A739" t="s">
        <v>685</v>
      </c>
      <c r="B739">
        <v>33</v>
      </c>
      <c r="G739">
        <v>734</v>
      </c>
      <c r="H739">
        <v>1320</v>
      </c>
      <c r="I739">
        <v>1320</v>
      </c>
    </row>
    <row r="740" spans="1:10" x14ac:dyDescent="0.25">
      <c r="A740" t="s">
        <v>686</v>
      </c>
      <c r="B740">
        <v>33</v>
      </c>
      <c r="G740">
        <v>1468</v>
      </c>
      <c r="H740">
        <v>2640</v>
      </c>
      <c r="I740">
        <v>2640</v>
      </c>
    </row>
    <row r="741" spans="1:10" x14ac:dyDescent="0.25">
      <c r="A741" t="s">
        <v>687</v>
      </c>
      <c r="B741">
        <v>33</v>
      </c>
    </row>
    <row r="742" spans="1:10" x14ac:dyDescent="0.25">
      <c r="A742" t="s">
        <v>688</v>
      </c>
      <c r="B742">
        <v>33</v>
      </c>
    </row>
    <row r="743" spans="1:10" x14ac:dyDescent="0.25">
      <c r="A743" t="s">
        <v>689</v>
      </c>
      <c r="B743">
        <v>33</v>
      </c>
    </row>
    <row r="744" spans="1:10" x14ac:dyDescent="0.25">
      <c r="A744" t="s">
        <v>690</v>
      </c>
      <c r="B744">
        <v>33</v>
      </c>
      <c r="G744" t="b">
        <v>0</v>
      </c>
      <c r="H744" t="b">
        <v>0</v>
      </c>
      <c r="I744" t="b">
        <v>0</v>
      </c>
    </row>
    <row r="745" spans="1:10" x14ac:dyDescent="0.25">
      <c r="A745" t="s">
        <v>691</v>
      </c>
      <c r="B745">
        <v>33</v>
      </c>
      <c r="G745" t="b">
        <v>0</v>
      </c>
      <c r="H745" t="b">
        <v>0</v>
      </c>
      <c r="I745" t="b">
        <v>0</v>
      </c>
    </row>
    <row r="746" spans="1:10" x14ac:dyDescent="0.25">
      <c r="A746" t="s">
        <v>677</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758</v>
      </c>
      <c r="H748" t="s">
        <v>741</v>
      </c>
      <c r="I748" t="s">
        <v>741</v>
      </c>
      <c r="J748" t="s">
        <v>759</v>
      </c>
    </row>
    <row r="749" spans="1:10" x14ac:dyDescent="0.25">
      <c r="A749" t="s">
        <v>678</v>
      </c>
      <c r="B749">
        <v>34</v>
      </c>
      <c r="G749">
        <v>363</v>
      </c>
      <c r="H749">
        <v>1440</v>
      </c>
      <c r="I749">
        <v>6910</v>
      </c>
      <c r="J749">
        <v>590</v>
      </c>
    </row>
    <row r="750" spans="1:10" x14ac:dyDescent="0.25">
      <c r="A750" t="s">
        <v>42</v>
      </c>
      <c r="B750">
        <v>34</v>
      </c>
      <c r="G750">
        <v>35</v>
      </c>
      <c r="H750">
        <v>45</v>
      </c>
      <c r="I750">
        <v>45</v>
      </c>
      <c r="J750">
        <v>35</v>
      </c>
    </row>
    <row r="751" spans="1:10" x14ac:dyDescent="0.25">
      <c r="A751" t="s">
        <v>679</v>
      </c>
      <c r="B751">
        <v>34</v>
      </c>
      <c r="G751">
        <v>7.1</v>
      </c>
      <c r="H751">
        <v>21.8</v>
      </c>
      <c r="I751">
        <v>104.7</v>
      </c>
      <c r="J751">
        <v>11.5</v>
      </c>
    </row>
    <row r="752" spans="1:10" x14ac:dyDescent="0.25">
      <c r="A752" t="s">
        <v>41</v>
      </c>
      <c r="B752">
        <v>34</v>
      </c>
      <c r="G752">
        <v>0</v>
      </c>
      <c r="H752">
        <v>0</v>
      </c>
      <c r="I752">
        <v>0</v>
      </c>
      <c r="J752">
        <v>0</v>
      </c>
    </row>
    <row r="753" spans="1:10" x14ac:dyDescent="0.25">
      <c r="A753" t="s">
        <v>680</v>
      </c>
      <c r="B753">
        <v>34</v>
      </c>
      <c r="G753">
        <v>24</v>
      </c>
      <c r="H753">
        <v>24</v>
      </c>
      <c r="I753">
        <v>24</v>
      </c>
      <c r="J753">
        <v>24</v>
      </c>
    </row>
    <row r="754" spans="1:10" x14ac:dyDescent="0.25">
      <c r="A754" t="s">
        <v>563</v>
      </c>
      <c r="B754">
        <v>34</v>
      </c>
      <c r="G754">
        <v>0</v>
      </c>
      <c r="H754">
        <v>0</v>
      </c>
      <c r="I754">
        <v>0</v>
      </c>
      <c r="J754">
        <v>0</v>
      </c>
    </row>
    <row r="755" spans="1:10" x14ac:dyDescent="0.25">
      <c r="A755" t="s">
        <v>681</v>
      </c>
      <c r="B755">
        <v>34</v>
      </c>
      <c r="G755">
        <v>0</v>
      </c>
      <c r="H755">
        <v>0</v>
      </c>
      <c r="I755">
        <v>0</v>
      </c>
      <c r="J755">
        <v>0</v>
      </c>
    </row>
    <row r="756" spans="1:10" x14ac:dyDescent="0.25">
      <c r="A756" t="s">
        <v>682</v>
      </c>
      <c r="B756">
        <v>34</v>
      </c>
      <c r="G756">
        <v>16</v>
      </c>
      <c r="H756">
        <v>16</v>
      </c>
      <c r="I756">
        <v>16</v>
      </c>
      <c r="J756">
        <v>16</v>
      </c>
    </row>
    <row r="757" spans="1:10" x14ac:dyDescent="0.25">
      <c r="A757" t="s">
        <v>683</v>
      </c>
      <c r="B757">
        <v>34</v>
      </c>
      <c r="G757">
        <v>583</v>
      </c>
      <c r="H757">
        <v>583</v>
      </c>
      <c r="I757">
        <v>583</v>
      </c>
      <c r="J757">
        <v>583</v>
      </c>
    </row>
    <row r="758" spans="1:10" x14ac:dyDescent="0.25">
      <c r="A758" t="s">
        <v>684</v>
      </c>
      <c r="B758">
        <v>34</v>
      </c>
      <c r="G758">
        <v>1539</v>
      </c>
      <c r="H758">
        <v>1980</v>
      </c>
      <c r="I758">
        <v>1980</v>
      </c>
      <c r="J758">
        <v>1539</v>
      </c>
    </row>
    <row r="759" spans="1:10" x14ac:dyDescent="0.25">
      <c r="A759" t="s">
        <v>685</v>
      </c>
      <c r="B759">
        <v>34</v>
      </c>
      <c r="G759">
        <v>1026</v>
      </c>
      <c r="H759">
        <v>1320</v>
      </c>
      <c r="I759">
        <v>1320</v>
      </c>
      <c r="J759">
        <v>1026</v>
      </c>
    </row>
    <row r="760" spans="1:10" x14ac:dyDescent="0.25">
      <c r="A760" t="s">
        <v>686</v>
      </c>
      <c r="B760">
        <v>34</v>
      </c>
      <c r="G760">
        <v>2052</v>
      </c>
      <c r="H760">
        <v>2640</v>
      </c>
      <c r="I760">
        <v>2640</v>
      </c>
      <c r="J760">
        <v>2052</v>
      </c>
    </row>
    <row r="761" spans="1:10" x14ac:dyDescent="0.25">
      <c r="A761" t="s">
        <v>687</v>
      </c>
      <c r="B761">
        <v>34</v>
      </c>
      <c r="I761">
        <v>-379224</v>
      </c>
    </row>
    <row r="762" spans="1:10" x14ac:dyDescent="0.25">
      <c r="A762" t="s">
        <v>688</v>
      </c>
      <c r="B762">
        <v>34</v>
      </c>
      <c r="I762">
        <v>33055</v>
      </c>
    </row>
    <row r="763" spans="1:10" x14ac:dyDescent="0.25">
      <c r="A763" t="s">
        <v>689</v>
      </c>
      <c r="B763">
        <v>34</v>
      </c>
      <c r="I763">
        <v>0</v>
      </c>
    </row>
    <row r="764" spans="1:10" x14ac:dyDescent="0.25">
      <c r="A764" t="s">
        <v>690</v>
      </c>
      <c r="B764">
        <v>34</v>
      </c>
      <c r="G764" t="b">
        <v>0</v>
      </c>
      <c r="H764" t="b">
        <v>0</v>
      </c>
      <c r="I764" t="b">
        <v>0</v>
      </c>
      <c r="J764" t="b">
        <v>0</v>
      </c>
    </row>
    <row r="765" spans="1:10" x14ac:dyDescent="0.25">
      <c r="A765" t="s">
        <v>691</v>
      </c>
      <c r="B765">
        <v>34</v>
      </c>
      <c r="G765" t="b">
        <v>0</v>
      </c>
      <c r="H765" t="b">
        <v>0</v>
      </c>
      <c r="I765" t="b">
        <v>0</v>
      </c>
      <c r="J765" t="b">
        <v>0</v>
      </c>
    </row>
    <row r="766" spans="1:10" x14ac:dyDescent="0.25">
      <c r="A766" t="s">
        <v>677</v>
      </c>
      <c r="B766">
        <v>35</v>
      </c>
      <c r="J766">
        <v>33</v>
      </c>
    </row>
    <row r="767" spans="1:10" x14ac:dyDescent="0.25">
      <c r="A767" t="s">
        <v>36</v>
      </c>
      <c r="B767">
        <v>35</v>
      </c>
      <c r="J767">
        <v>1</v>
      </c>
    </row>
    <row r="768" spans="1:10" x14ac:dyDescent="0.25">
      <c r="A768" t="s">
        <v>503</v>
      </c>
      <c r="B768">
        <v>35</v>
      </c>
      <c r="J768" t="s">
        <v>757</v>
      </c>
    </row>
    <row r="769" spans="1:10" x14ac:dyDescent="0.25">
      <c r="A769" t="s">
        <v>678</v>
      </c>
      <c r="B769">
        <v>35</v>
      </c>
      <c r="J769">
        <v>375</v>
      </c>
    </row>
    <row r="770" spans="1:10" x14ac:dyDescent="0.25">
      <c r="A770" t="s">
        <v>42</v>
      </c>
      <c r="B770">
        <v>35</v>
      </c>
      <c r="J770">
        <v>30</v>
      </c>
    </row>
    <row r="771" spans="1:10" x14ac:dyDescent="0.25">
      <c r="A771" t="s">
        <v>679</v>
      </c>
      <c r="B771">
        <v>35</v>
      </c>
      <c r="J771">
        <v>8.5</v>
      </c>
    </row>
    <row r="772" spans="1:10" x14ac:dyDescent="0.25">
      <c r="A772" t="s">
        <v>41</v>
      </c>
      <c r="B772">
        <v>35</v>
      </c>
      <c r="J772">
        <v>0</v>
      </c>
    </row>
    <row r="773" spans="1:10" x14ac:dyDescent="0.25">
      <c r="A773" t="s">
        <v>680</v>
      </c>
      <c r="B773">
        <v>35</v>
      </c>
      <c r="J773">
        <v>12</v>
      </c>
    </row>
    <row r="774" spans="1:10" x14ac:dyDescent="0.25">
      <c r="A774" t="s">
        <v>563</v>
      </c>
      <c r="B774">
        <v>35</v>
      </c>
      <c r="J774">
        <v>0</v>
      </c>
    </row>
    <row r="775" spans="1:10" x14ac:dyDescent="0.25">
      <c r="A775" t="s">
        <v>681</v>
      </c>
      <c r="B775">
        <v>35</v>
      </c>
      <c r="J775">
        <v>1</v>
      </c>
    </row>
    <row r="776" spans="1:10" x14ac:dyDescent="0.25">
      <c r="A776" t="s">
        <v>682</v>
      </c>
      <c r="B776">
        <v>35</v>
      </c>
      <c r="J776">
        <v>16</v>
      </c>
    </row>
    <row r="777" spans="1:10" x14ac:dyDescent="0.25">
      <c r="A777" t="s">
        <v>683</v>
      </c>
      <c r="B777">
        <v>35</v>
      </c>
      <c r="J777">
        <v>200</v>
      </c>
    </row>
    <row r="778" spans="1:10" x14ac:dyDescent="0.25">
      <c r="A778" t="s">
        <v>684</v>
      </c>
      <c r="B778">
        <v>35</v>
      </c>
      <c r="J778">
        <v>1320</v>
      </c>
    </row>
    <row r="779" spans="1:10" x14ac:dyDescent="0.25">
      <c r="A779" t="s">
        <v>685</v>
      </c>
      <c r="B779">
        <v>35</v>
      </c>
      <c r="J779">
        <v>880</v>
      </c>
    </row>
    <row r="780" spans="1:10" x14ac:dyDescent="0.25">
      <c r="A780" t="s">
        <v>686</v>
      </c>
      <c r="B780">
        <v>35</v>
      </c>
      <c r="J780">
        <v>1760</v>
      </c>
    </row>
    <row r="781" spans="1:10" x14ac:dyDescent="0.25">
      <c r="A781" t="s">
        <v>687</v>
      </c>
      <c r="B781">
        <v>35</v>
      </c>
    </row>
    <row r="782" spans="1:10" x14ac:dyDescent="0.25">
      <c r="A782" t="s">
        <v>688</v>
      </c>
      <c r="B782">
        <v>35</v>
      </c>
    </row>
    <row r="783" spans="1:10" x14ac:dyDescent="0.25">
      <c r="A783" t="s">
        <v>689</v>
      </c>
      <c r="B783">
        <v>35</v>
      </c>
    </row>
    <row r="784" spans="1:10" x14ac:dyDescent="0.25">
      <c r="A784" t="s">
        <v>690</v>
      </c>
      <c r="B784">
        <v>35</v>
      </c>
      <c r="J784" t="b">
        <v>0</v>
      </c>
    </row>
    <row r="785" spans="1:10" x14ac:dyDescent="0.25">
      <c r="A785" t="s">
        <v>691</v>
      </c>
      <c r="B785">
        <v>35</v>
      </c>
      <c r="J785" t="b">
        <v>0</v>
      </c>
    </row>
    <row r="786" spans="1:10" x14ac:dyDescent="0.25">
      <c r="A786" t="s">
        <v>677</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760</v>
      </c>
      <c r="H788" t="s">
        <v>741</v>
      </c>
      <c r="I788" t="s">
        <v>741</v>
      </c>
      <c r="J788" t="s">
        <v>761</v>
      </c>
    </row>
    <row r="789" spans="1:10" x14ac:dyDescent="0.25">
      <c r="A789" t="s">
        <v>678</v>
      </c>
      <c r="B789">
        <v>36</v>
      </c>
      <c r="G789">
        <v>640</v>
      </c>
      <c r="H789">
        <v>6910</v>
      </c>
      <c r="I789">
        <v>5039</v>
      </c>
      <c r="J789">
        <v>378</v>
      </c>
    </row>
    <row r="790" spans="1:10" x14ac:dyDescent="0.25">
      <c r="A790" t="s">
        <v>42</v>
      </c>
      <c r="B790">
        <v>36</v>
      </c>
      <c r="G790">
        <v>35</v>
      </c>
      <c r="H790">
        <v>45</v>
      </c>
      <c r="I790">
        <v>55</v>
      </c>
      <c r="J790">
        <v>35</v>
      </c>
    </row>
    <row r="791" spans="1:10" x14ac:dyDescent="0.25">
      <c r="A791" t="s">
        <v>679</v>
      </c>
      <c r="B791">
        <v>36</v>
      </c>
      <c r="G791">
        <v>12.5</v>
      </c>
      <c r="H791">
        <v>104.7</v>
      </c>
      <c r="I791">
        <v>62.5</v>
      </c>
      <c r="J791">
        <v>7.4</v>
      </c>
    </row>
    <row r="792" spans="1:10" x14ac:dyDescent="0.25">
      <c r="A792" t="s">
        <v>41</v>
      </c>
      <c r="B792">
        <v>36</v>
      </c>
      <c r="G792">
        <v>0</v>
      </c>
      <c r="H792">
        <v>0</v>
      </c>
      <c r="I792">
        <v>0</v>
      </c>
      <c r="J792">
        <v>0</v>
      </c>
    </row>
    <row r="793" spans="1:10" x14ac:dyDescent="0.25">
      <c r="A793" t="s">
        <v>680</v>
      </c>
      <c r="B793">
        <v>36</v>
      </c>
      <c r="G793">
        <v>12</v>
      </c>
      <c r="H793">
        <v>24</v>
      </c>
      <c r="I793">
        <v>24</v>
      </c>
      <c r="J793">
        <v>12</v>
      </c>
    </row>
    <row r="794" spans="1:10" x14ac:dyDescent="0.25">
      <c r="A794" t="s">
        <v>563</v>
      </c>
      <c r="B794">
        <v>36</v>
      </c>
      <c r="G794">
        <v>0</v>
      </c>
      <c r="H794">
        <v>0</v>
      </c>
      <c r="I794">
        <v>0</v>
      </c>
      <c r="J794">
        <v>0</v>
      </c>
    </row>
    <row r="795" spans="1:10" x14ac:dyDescent="0.25">
      <c r="A795" t="s">
        <v>681</v>
      </c>
      <c r="B795">
        <v>36</v>
      </c>
      <c r="G795">
        <v>0</v>
      </c>
      <c r="H795">
        <v>0</v>
      </c>
      <c r="I795">
        <v>0</v>
      </c>
      <c r="J795">
        <v>0</v>
      </c>
    </row>
    <row r="796" spans="1:10" x14ac:dyDescent="0.25">
      <c r="A796" t="s">
        <v>682</v>
      </c>
      <c r="B796">
        <v>36</v>
      </c>
      <c r="G796">
        <v>16</v>
      </c>
      <c r="H796">
        <v>16</v>
      </c>
      <c r="I796">
        <v>16</v>
      </c>
      <c r="J796">
        <v>16</v>
      </c>
    </row>
    <row r="797" spans="1:10" x14ac:dyDescent="0.25">
      <c r="A797" t="s">
        <v>683</v>
      </c>
      <c r="B797">
        <v>36</v>
      </c>
      <c r="G797">
        <v>583</v>
      </c>
      <c r="H797">
        <v>583</v>
      </c>
      <c r="I797">
        <v>583</v>
      </c>
      <c r="J797">
        <v>583</v>
      </c>
    </row>
    <row r="798" spans="1:10" x14ac:dyDescent="0.25">
      <c r="A798" t="s">
        <v>684</v>
      </c>
      <c r="B798">
        <v>36</v>
      </c>
      <c r="G798">
        <v>1539</v>
      </c>
      <c r="H798">
        <v>1980</v>
      </c>
      <c r="I798">
        <v>2421</v>
      </c>
      <c r="J798">
        <v>1539</v>
      </c>
    </row>
    <row r="799" spans="1:10" x14ac:dyDescent="0.25">
      <c r="A799" t="s">
        <v>685</v>
      </c>
      <c r="B799">
        <v>36</v>
      </c>
      <c r="G799">
        <v>1026</v>
      </c>
      <c r="H799">
        <v>1320</v>
      </c>
      <c r="I799">
        <v>1614</v>
      </c>
      <c r="J799">
        <v>1026</v>
      </c>
    </row>
    <row r="800" spans="1:10" x14ac:dyDescent="0.25">
      <c r="A800" t="s">
        <v>686</v>
      </c>
      <c r="B800">
        <v>36</v>
      </c>
      <c r="G800">
        <v>2052</v>
      </c>
      <c r="H800">
        <v>2640</v>
      </c>
      <c r="I800">
        <v>3228</v>
      </c>
      <c r="J800">
        <v>2052</v>
      </c>
    </row>
    <row r="801" spans="1:10" x14ac:dyDescent="0.25">
      <c r="A801" t="s">
        <v>687</v>
      </c>
      <c r="B801">
        <v>36</v>
      </c>
      <c r="H801">
        <v>-380938</v>
      </c>
    </row>
    <row r="802" spans="1:10" x14ac:dyDescent="0.25">
      <c r="A802" t="s">
        <v>688</v>
      </c>
      <c r="B802">
        <v>36</v>
      </c>
      <c r="H802">
        <v>34593</v>
      </c>
    </row>
    <row r="803" spans="1:10" x14ac:dyDescent="0.25">
      <c r="A803" t="s">
        <v>689</v>
      </c>
      <c r="B803">
        <v>36</v>
      </c>
      <c r="H803">
        <v>0</v>
      </c>
    </row>
    <row r="804" spans="1:10" x14ac:dyDescent="0.25">
      <c r="A804" t="s">
        <v>690</v>
      </c>
      <c r="B804">
        <v>36</v>
      </c>
      <c r="G804" t="b">
        <v>0</v>
      </c>
      <c r="H804" t="b">
        <v>0</v>
      </c>
      <c r="I804" t="b">
        <v>0</v>
      </c>
      <c r="J804" t="b">
        <v>0</v>
      </c>
    </row>
    <row r="805" spans="1:10" x14ac:dyDescent="0.25">
      <c r="A805" t="s">
        <v>691</v>
      </c>
      <c r="B805">
        <v>36</v>
      </c>
      <c r="G805" t="b">
        <v>0</v>
      </c>
      <c r="H805" t="b">
        <v>0</v>
      </c>
      <c r="I805" t="b">
        <v>0</v>
      </c>
      <c r="J805" t="b">
        <v>0</v>
      </c>
    </row>
    <row r="806" spans="1:10" x14ac:dyDescent="0.25">
      <c r="A806" t="s">
        <v>677</v>
      </c>
      <c r="B806">
        <v>37</v>
      </c>
      <c r="J806">
        <v>34</v>
      </c>
    </row>
    <row r="807" spans="1:10" x14ac:dyDescent="0.25">
      <c r="A807" t="s">
        <v>36</v>
      </c>
      <c r="B807">
        <v>37</v>
      </c>
      <c r="J807" t="s">
        <v>693</v>
      </c>
    </row>
    <row r="808" spans="1:10" x14ac:dyDescent="0.25">
      <c r="A808" t="s">
        <v>503</v>
      </c>
      <c r="B808">
        <v>37</v>
      </c>
      <c r="J808" t="s">
        <v>758</v>
      </c>
    </row>
    <row r="809" spans="1:10" x14ac:dyDescent="0.25">
      <c r="A809" t="s">
        <v>678</v>
      </c>
      <c r="B809">
        <v>37</v>
      </c>
      <c r="J809">
        <v>363</v>
      </c>
    </row>
    <row r="810" spans="1:10" x14ac:dyDescent="0.25">
      <c r="A810" t="s">
        <v>42</v>
      </c>
      <c r="B810">
        <v>37</v>
      </c>
      <c r="J810">
        <v>35</v>
      </c>
    </row>
    <row r="811" spans="1:10" x14ac:dyDescent="0.25">
      <c r="A811" t="s">
        <v>679</v>
      </c>
      <c r="B811">
        <v>37</v>
      </c>
      <c r="J811">
        <v>7.1</v>
      </c>
    </row>
    <row r="812" spans="1:10" x14ac:dyDescent="0.25">
      <c r="A812" t="s">
        <v>41</v>
      </c>
      <c r="B812">
        <v>37</v>
      </c>
      <c r="J812">
        <v>0</v>
      </c>
    </row>
    <row r="813" spans="1:10" x14ac:dyDescent="0.25">
      <c r="A813" t="s">
        <v>680</v>
      </c>
      <c r="B813">
        <v>37</v>
      </c>
      <c r="J813">
        <v>12</v>
      </c>
    </row>
    <row r="814" spans="1:10" x14ac:dyDescent="0.25">
      <c r="A814" t="s">
        <v>563</v>
      </c>
      <c r="B814">
        <v>37</v>
      </c>
      <c r="J814">
        <v>0</v>
      </c>
    </row>
    <row r="815" spans="1:10" x14ac:dyDescent="0.25">
      <c r="A815" t="s">
        <v>681</v>
      </c>
      <c r="B815">
        <v>37</v>
      </c>
      <c r="J815">
        <v>0</v>
      </c>
    </row>
    <row r="816" spans="1:10" x14ac:dyDescent="0.25">
      <c r="A816" t="s">
        <v>682</v>
      </c>
      <c r="B816">
        <v>37</v>
      </c>
      <c r="J816">
        <v>16</v>
      </c>
    </row>
    <row r="817" spans="1:10" x14ac:dyDescent="0.25">
      <c r="A817" t="s">
        <v>683</v>
      </c>
      <c r="B817">
        <v>37</v>
      </c>
      <c r="J817">
        <v>200</v>
      </c>
    </row>
    <row r="818" spans="1:10" x14ac:dyDescent="0.25">
      <c r="A818" t="s">
        <v>684</v>
      </c>
      <c r="B818">
        <v>37</v>
      </c>
      <c r="J818">
        <v>1539</v>
      </c>
    </row>
    <row r="819" spans="1:10" x14ac:dyDescent="0.25">
      <c r="A819" t="s">
        <v>685</v>
      </c>
      <c r="B819">
        <v>37</v>
      </c>
      <c r="J819">
        <v>1026</v>
      </c>
    </row>
    <row r="820" spans="1:10" x14ac:dyDescent="0.25">
      <c r="A820" t="s">
        <v>686</v>
      </c>
      <c r="B820">
        <v>37</v>
      </c>
      <c r="J820">
        <v>2052</v>
      </c>
    </row>
    <row r="821" spans="1:10" x14ac:dyDescent="0.25">
      <c r="A821" t="s">
        <v>687</v>
      </c>
      <c r="B821">
        <v>37</v>
      </c>
    </row>
    <row r="822" spans="1:10" x14ac:dyDescent="0.25">
      <c r="A822" t="s">
        <v>688</v>
      </c>
      <c r="B822">
        <v>37</v>
      </c>
    </row>
    <row r="823" spans="1:10" x14ac:dyDescent="0.25">
      <c r="A823" t="s">
        <v>689</v>
      </c>
      <c r="B823">
        <v>37</v>
      </c>
    </row>
    <row r="824" spans="1:10" x14ac:dyDescent="0.25">
      <c r="A824" t="s">
        <v>690</v>
      </c>
      <c r="B824">
        <v>37</v>
      </c>
      <c r="J824" t="b">
        <v>0</v>
      </c>
    </row>
    <row r="825" spans="1:10" x14ac:dyDescent="0.25">
      <c r="A825" t="s">
        <v>691</v>
      </c>
      <c r="B825">
        <v>37</v>
      </c>
      <c r="J825" t="b">
        <v>0</v>
      </c>
    </row>
    <row r="826" spans="1:10" x14ac:dyDescent="0.25">
      <c r="A826" t="s">
        <v>677</v>
      </c>
      <c r="B826">
        <v>38</v>
      </c>
      <c r="G826">
        <v>34</v>
      </c>
    </row>
    <row r="827" spans="1:10" x14ac:dyDescent="0.25">
      <c r="A827" t="s">
        <v>36</v>
      </c>
      <c r="B827">
        <v>38</v>
      </c>
      <c r="G827" t="s">
        <v>693</v>
      </c>
    </row>
    <row r="828" spans="1:10" x14ac:dyDescent="0.25">
      <c r="A828" t="s">
        <v>503</v>
      </c>
      <c r="B828">
        <v>38</v>
      </c>
      <c r="G828" t="s">
        <v>759</v>
      </c>
    </row>
    <row r="829" spans="1:10" x14ac:dyDescent="0.25">
      <c r="A829" t="s">
        <v>678</v>
      </c>
      <c r="B829">
        <v>38</v>
      </c>
      <c r="G829">
        <v>590</v>
      </c>
    </row>
    <row r="830" spans="1:10" x14ac:dyDescent="0.25">
      <c r="A830" t="s">
        <v>42</v>
      </c>
      <c r="B830">
        <v>38</v>
      </c>
      <c r="G830">
        <v>30</v>
      </c>
    </row>
    <row r="831" spans="1:10" x14ac:dyDescent="0.25">
      <c r="A831" t="s">
        <v>679</v>
      </c>
      <c r="B831">
        <v>38</v>
      </c>
      <c r="G831">
        <v>13.4</v>
      </c>
    </row>
    <row r="832" spans="1:10" x14ac:dyDescent="0.25">
      <c r="A832" t="s">
        <v>41</v>
      </c>
      <c r="B832">
        <v>38</v>
      </c>
      <c r="G832">
        <v>0</v>
      </c>
    </row>
    <row r="833" spans="1:9" x14ac:dyDescent="0.25">
      <c r="A833" t="s">
        <v>680</v>
      </c>
      <c r="B833">
        <v>38</v>
      </c>
      <c r="G833">
        <v>12</v>
      </c>
    </row>
    <row r="834" spans="1:9" x14ac:dyDescent="0.25">
      <c r="A834" t="s">
        <v>563</v>
      </c>
      <c r="B834">
        <v>38</v>
      </c>
      <c r="G834">
        <v>0</v>
      </c>
    </row>
    <row r="835" spans="1:9" x14ac:dyDescent="0.25">
      <c r="A835" t="s">
        <v>681</v>
      </c>
      <c r="B835">
        <v>38</v>
      </c>
      <c r="G835">
        <v>0</v>
      </c>
    </row>
    <row r="836" spans="1:9" x14ac:dyDescent="0.25">
      <c r="A836" t="s">
        <v>682</v>
      </c>
      <c r="B836">
        <v>38</v>
      </c>
      <c r="G836">
        <v>16</v>
      </c>
    </row>
    <row r="837" spans="1:9" x14ac:dyDescent="0.25">
      <c r="A837" t="s">
        <v>683</v>
      </c>
      <c r="B837">
        <v>38</v>
      </c>
      <c r="G837">
        <v>200</v>
      </c>
    </row>
    <row r="838" spans="1:9" x14ac:dyDescent="0.25">
      <c r="A838" t="s">
        <v>684</v>
      </c>
      <c r="B838">
        <v>38</v>
      </c>
      <c r="G838">
        <v>1320</v>
      </c>
    </row>
    <row r="839" spans="1:9" x14ac:dyDescent="0.25">
      <c r="A839" t="s">
        <v>685</v>
      </c>
      <c r="B839">
        <v>38</v>
      </c>
      <c r="G839">
        <v>880</v>
      </c>
    </row>
    <row r="840" spans="1:9" x14ac:dyDescent="0.25">
      <c r="A840" t="s">
        <v>686</v>
      </c>
      <c r="B840">
        <v>38</v>
      </c>
      <c r="G840">
        <v>1760</v>
      </c>
    </row>
    <row r="841" spans="1:9" x14ac:dyDescent="0.25">
      <c r="A841" t="s">
        <v>687</v>
      </c>
      <c r="B841">
        <v>38</v>
      </c>
    </row>
    <row r="842" spans="1:9" x14ac:dyDescent="0.25">
      <c r="A842" t="s">
        <v>688</v>
      </c>
      <c r="B842">
        <v>38</v>
      </c>
    </row>
    <row r="843" spans="1:9" x14ac:dyDescent="0.25">
      <c r="A843" t="s">
        <v>689</v>
      </c>
      <c r="B843">
        <v>38</v>
      </c>
    </row>
    <row r="844" spans="1:9" x14ac:dyDescent="0.25">
      <c r="A844" t="s">
        <v>690</v>
      </c>
      <c r="B844">
        <v>38</v>
      </c>
      <c r="G844" t="b">
        <v>0</v>
      </c>
    </row>
    <row r="845" spans="1:9" x14ac:dyDescent="0.25">
      <c r="A845" t="s">
        <v>691</v>
      </c>
      <c r="B845">
        <v>38</v>
      </c>
      <c r="G845" t="b">
        <v>0</v>
      </c>
    </row>
    <row r="846" spans="1:9" x14ac:dyDescent="0.25">
      <c r="A846" t="s">
        <v>677</v>
      </c>
      <c r="B846">
        <v>39</v>
      </c>
      <c r="G846">
        <v>42</v>
      </c>
      <c r="H846">
        <v>36</v>
      </c>
      <c r="I846">
        <v>43</v>
      </c>
    </row>
    <row r="847" spans="1:9" x14ac:dyDescent="0.25">
      <c r="A847" t="s">
        <v>36</v>
      </c>
      <c r="B847">
        <v>39</v>
      </c>
      <c r="G847">
        <v>3</v>
      </c>
      <c r="H847">
        <v>5</v>
      </c>
      <c r="I847">
        <v>4</v>
      </c>
    </row>
    <row r="848" spans="1:9" x14ac:dyDescent="0.25">
      <c r="A848" t="s">
        <v>503</v>
      </c>
      <c r="B848">
        <v>39</v>
      </c>
      <c r="G848" t="s">
        <v>762</v>
      </c>
      <c r="H848" t="s">
        <v>741</v>
      </c>
      <c r="I848" t="s">
        <v>741</v>
      </c>
    </row>
    <row r="849" spans="1:9" x14ac:dyDescent="0.25">
      <c r="A849" t="s">
        <v>678</v>
      </c>
      <c r="B849">
        <v>39</v>
      </c>
      <c r="G849">
        <v>610</v>
      </c>
      <c r="H849">
        <v>5039</v>
      </c>
      <c r="I849">
        <v>1361</v>
      </c>
    </row>
    <row r="850" spans="1:9" x14ac:dyDescent="0.25">
      <c r="A850" t="s">
        <v>42</v>
      </c>
      <c r="B850">
        <v>39</v>
      </c>
      <c r="G850">
        <v>45</v>
      </c>
      <c r="H850">
        <v>55</v>
      </c>
      <c r="I850">
        <v>55</v>
      </c>
    </row>
    <row r="851" spans="1:9" x14ac:dyDescent="0.25">
      <c r="A851" t="s">
        <v>679</v>
      </c>
      <c r="B851">
        <v>39</v>
      </c>
      <c r="G851">
        <v>9.1999999999999993</v>
      </c>
      <c r="H851">
        <v>62.5</v>
      </c>
      <c r="I851">
        <v>16.899999999999999</v>
      </c>
    </row>
    <row r="852" spans="1:9" x14ac:dyDescent="0.25">
      <c r="A852" t="s">
        <v>41</v>
      </c>
      <c r="B852">
        <v>39</v>
      </c>
      <c r="G852">
        <v>0</v>
      </c>
      <c r="H852">
        <v>0</v>
      </c>
      <c r="I852">
        <v>0</v>
      </c>
    </row>
    <row r="853" spans="1:9" x14ac:dyDescent="0.25">
      <c r="A853" t="s">
        <v>680</v>
      </c>
      <c r="B853">
        <v>39</v>
      </c>
      <c r="G853">
        <v>24</v>
      </c>
      <c r="H853">
        <v>24</v>
      </c>
      <c r="I853">
        <v>24</v>
      </c>
    </row>
    <row r="854" spans="1:9" x14ac:dyDescent="0.25">
      <c r="A854" t="s">
        <v>563</v>
      </c>
      <c r="B854">
        <v>39</v>
      </c>
      <c r="G854">
        <v>0</v>
      </c>
      <c r="H854">
        <v>0</v>
      </c>
      <c r="I854">
        <v>0</v>
      </c>
    </row>
    <row r="855" spans="1:9" x14ac:dyDescent="0.25">
      <c r="A855" t="s">
        <v>681</v>
      </c>
      <c r="B855">
        <v>39</v>
      </c>
      <c r="G855">
        <v>0</v>
      </c>
      <c r="H855">
        <v>0</v>
      </c>
      <c r="I855">
        <v>0</v>
      </c>
    </row>
    <row r="856" spans="1:9" x14ac:dyDescent="0.25">
      <c r="A856" t="s">
        <v>682</v>
      </c>
      <c r="B856">
        <v>39</v>
      </c>
      <c r="G856">
        <v>16</v>
      </c>
      <c r="H856">
        <v>16</v>
      </c>
      <c r="I856">
        <v>16</v>
      </c>
    </row>
    <row r="857" spans="1:9" x14ac:dyDescent="0.25">
      <c r="A857" t="s">
        <v>683</v>
      </c>
      <c r="B857">
        <v>39</v>
      </c>
      <c r="G857">
        <v>583</v>
      </c>
      <c r="H857">
        <v>583</v>
      </c>
      <c r="I857">
        <v>583</v>
      </c>
    </row>
    <row r="858" spans="1:9" x14ac:dyDescent="0.25">
      <c r="A858" t="s">
        <v>684</v>
      </c>
      <c r="B858">
        <v>39</v>
      </c>
      <c r="G858">
        <v>1980</v>
      </c>
      <c r="H858">
        <v>2421</v>
      </c>
      <c r="I858">
        <v>2421</v>
      </c>
    </row>
    <row r="859" spans="1:9" x14ac:dyDescent="0.25">
      <c r="A859" t="s">
        <v>685</v>
      </c>
      <c r="B859">
        <v>39</v>
      </c>
      <c r="G859">
        <v>1320</v>
      </c>
      <c r="H859">
        <v>1614</v>
      </c>
      <c r="I859">
        <v>1614</v>
      </c>
    </row>
    <row r="860" spans="1:9" x14ac:dyDescent="0.25">
      <c r="A860" t="s">
        <v>686</v>
      </c>
      <c r="B860">
        <v>39</v>
      </c>
      <c r="G860">
        <v>2640</v>
      </c>
      <c r="H860">
        <v>3228</v>
      </c>
      <c r="I860">
        <v>3228</v>
      </c>
    </row>
    <row r="861" spans="1:9" x14ac:dyDescent="0.25">
      <c r="A861" t="s">
        <v>687</v>
      </c>
      <c r="B861">
        <v>39</v>
      </c>
    </row>
    <row r="862" spans="1:9" x14ac:dyDescent="0.25">
      <c r="A862" t="s">
        <v>688</v>
      </c>
      <c r="B862">
        <v>39</v>
      </c>
    </row>
    <row r="863" spans="1:9" x14ac:dyDescent="0.25">
      <c r="A863" t="s">
        <v>689</v>
      </c>
      <c r="B863">
        <v>39</v>
      </c>
    </row>
    <row r="864" spans="1:9" x14ac:dyDescent="0.25">
      <c r="A864" t="s">
        <v>690</v>
      </c>
      <c r="B864">
        <v>39</v>
      </c>
      <c r="G864" t="b">
        <v>0</v>
      </c>
      <c r="H864" t="b">
        <v>0</v>
      </c>
      <c r="I864" t="b">
        <v>0</v>
      </c>
    </row>
    <row r="865" spans="1:10" x14ac:dyDescent="0.25">
      <c r="A865" t="s">
        <v>691</v>
      </c>
      <c r="B865">
        <v>39</v>
      </c>
      <c r="G865" t="b">
        <v>0</v>
      </c>
      <c r="H865" t="b">
        <v>0</v>
      </c>
      <c r="I865" t="b">
        <v>0</v>
      </c>
    </row>
    <row r="866" spans="1:10" x14ac:dyDescent="0.25">
      <c r="A866" t="s">
        <v>677</v>
      </c>
      <c r="B866">
        <v>40</v>
      </c>
      <c r="J866">
        <v>36</v>
      </c>
    </row>
    <row r="867" spans="1:10" x14ac:dyDescent="0.25">
      <c r="A867" t="s">
        <v>36</v>
      </c>
      <c r="B867">
        <v>40</v>
      </c>
      <c r="J867">
        <v>2</v>
      </c>
    </row>
    <row r="868" spans="1:10" x14ac:dyDescent="0.25">
      <c r="A868" t="s">
        <v>503</v>
      </c>
      <c r="B868">
        <v>40</v>
      </c>
      <c r="J868" t="s">
        <v>760</v>
      </c>
    </row>
    <row r="869" spans="1:10" x14ac:dyDescent="0.25">
      <c r="A869" t="s">
        <v>678</v>
      </c>
      <c r="B869">
        <v>40</v>
      </c>
      <c r="J869">
        <v>640</v>
      </c>
    </row>
    <row r="870" spans="1:10" x14ac:dyDescent="0.25">
      <c r="A870" t="s">
        <v>42</v>
      </c>
      <c r="B870">
        <v>40</v>
      </c>
      <c r="J870">
        <v>30</v>
      </c>
    </row>
    <row r="871" spans="1:10" x14ac:dyDescent="0.25">
      <c r="A871" t="s">
        <v>679</v>
      </c>
      <c r="B871">
        <v>40</v>
      </c>
      <c r="J871">
        <v>14.5</v>
      </c>
    </row>
    <row r="872" spans="1:10" x14ac:dyDescent="0.25">
      <c r="A872" t="s">
        <v>41</v>
      </c>
      <c r="B872">
        <v>40</v>
      </c>
      <c r="J872">
        <v>0</v>
      </c>
    </row>
    <row r="873" spans="1:10" x14ac:dyDescent="0.25">
      <c r="A873" t="s">
        <v>680</v>
      </c>
      <c r="B873">
        <v>40</v>
      </c>
      <c r="J873">
        <v>12</v>
      </c>
    </row>
    <row r="874" spans="1:10" x14ac:dyDescent="0.25">
      <c r="A874" t="s">
        <v>563</v>
      </c>
      <c r="B874">
        <v>40</v>
      </c>
      <c r="J874">
        <v>0</v>
      </c>
    </row>
    <row r="875" spans="1:10" x14ac:dyDescent="0.25">
      <c r="A875" t="s">
        <v>681</v>
      </c>
      <c r="B875">
        <v>40</v>
      </c>
      <c r="J875">
        <v>0</v>
      </c>
    </row>
    <row r="876" spans="1:10" x14ac:dyDescent="0.25">
      <c r="A876" t="s">
        <v>682</v>
      </c>
      <c r="B876">
        <v>40</v>
      </c>
      <c r="J876">
        <v>16</v>
      </c>
    </row>
    <row r="877" spans="1:10" x14ac:dyDescent="0.25">
      <c r="A877" t="s">
        <v>683</v>
      </c>
      <c r="B877">
        <v>40</v>
      </c>
      <c r="J877">
        <v>200</v>
      </c>
    </row>
    <row r="878" spans="1:10" x14ac:dyDescent="0.25">
      <c r="A878" t="s">
        <v>684</v>
      </c>
      <c r="B878">
        <v>40</v>
      </c>
      <c r="J878">
        <v>1320</v>
      </c>
    </row>
    <row r="879" spans="1:10" x14ac:dyDescent="0.25">
      <c r="A879" t="s">
        <v>685</v>
      </c>
      <c r="B879">
        <v>40</v>
      </c>
      <c r="J879">
        <v>880</v>
      </c>
    </row>
    <row r="880" spans="1:10" x14ac:dyDescent="0.25">
      <c r="A880" t="s">
        <v>686</v>
      </c>
      <c r="B880">
        <v>40</v>
      </c>
      <c r="J880">
        <v>1760</v>
      </c>
    </row>
    <row r="881" spans="1:10" x14ac:dyDescent="0.25">
      <c r="A881" t="s">
        <v>687</v>
      </c>
      <c r="B881">
        <v>40</v>
      </c>
    </row>
    <row r="882" spans="1:10" x14ac:dyDescent="0.25">
      <c r="A882" t="s">
        <v>688</v>
      </c>
      <c r="B882">
        <v>40</v>
      </c>
    </row>
    <row r="883" spans="1:10" x14ac:dyDescent="0.25">
      <c r="A883" t="s">
        <v>689</v>
      </c>
      <c r="B883">
        <v>40</v>
      </c>
    </row>
    <row r="884" spans="1:10" x14ac:dyDescent="0.25">
      <c r="A884" t="s">
        <v>690</v>
      </c>
      <c r="B884">
        <v>40</v>
      </c>
      <c r="J884" t="b">
        <v>0</v>
      </c>
    </row>
    <row r="885" spans="1:10" x14ac:dyDescent="0.25">
      <c r="A885" t="s">
        <v>691</v>
      </c>
      <c r="B885">
        <v>40</v>
      </c>
      <c r="J885" t="b">
        <v>0</v>
      </c>
    </row>
    <row r="886" spans="1:10" x14ac:dyDescent="0.25">
      <c r="A886" t="s">
        <v>677</v>
      </c>
      <c r="B886">
        <v>41</v>
      </c>
      <c r="G886">
        <v>36</v>
      </c>
    </row>
    <row r="887" spans="1:10" x14ac:dyDescent="0.25">
      <c r="A887" t="s">
        <v>36</v>
      </c>
      <c r="B887">
        <v>41</v>
      </c>
      <c r="G887">
        <v>2</v>
      </c>
    </row>
    <row r="888" spans="1:10" x14ac:dyDescent="0.25">
      <c r="A888" t="s">
        <v>503</v>
      </c>
      <c r="B888">
        <v>41</v>
      </c>
      <c r="G888" t="s">
        <v>761</v>
      </c>
    </row>
    <row r="889" spans="1:10" x14ac:dyDescent="0.25">
      <c r="A889" t="s">
        <v>678</v>
      </c>
      <c r="B889">
        <v>41</v>
      </c>
      <c r="G889">
        <v>378</v>
      </c>
    </row>
    <row r="890" spans="1:10" x14ac:dyDescent="0.25">
      <c r="A890" t="s">
        <v>42</v>
      </c>
      <c r="B890">
        <v>41</v>
      </c>
      <c r="G890">
        <v>35</v>
      </c>
    </row>
    <row r="891" spans="1:10" x14ac:dyDescent="0.25">
      <c r="A891" t="s">
        <v>679</v>
      </c>
      <c r="B891">
        <v>41</v>
      </c>
      <c r="G891">
        <v>7.4</v>
      </c>
    </row>
    <row r="892" spans="1:10" x14ac:dyDescent="0.25">
      <c r="A892" t="s">
        <v>41</v>
      </c>
      <c r="B892">
        <v>41</v>
      </c>
      <c r="G892">
        <v>0</v>
      </c>
    </row>
    <row r="893" spans="1:10" x14ac:dyDescent="0.25">
      <c r="A893" t="s">
        <v>680</v>
      </c>
      <c r="B893">
        <v>41</v>
      </c>
      <c r="G893">
        <v>12</v>
      </c>
    </row>
    <row r="894" spans="1:10" x14ac:dyDescent="0.25">
      <c r="A894" t="s">
        <v>563</v>
      </c>
      <c r="B894">
        <v>41</v>
      </c>
      <c r="G894">
        <v>0</v>
      </c>
    </row>
    <row r="895" spans="1:10" x14ac:dyDescent="0.25">
      <c r="A895" t="s">
        <v>681</v>
      </c>
      <c r="B895">
        <v>41</v>
      </c>
      <c r="G895">
        <v>0</v>
      </c>
    </row>
    <row r="896" spans="1:10" x14ac:dyDescent="0.25">
      <c r="A896" t="s">
        <v>682</v>
      </c>
      <c r="B896">
        <v>41</v>
      </c>
      <c r="G896">
        <v>16</v>
      </c>
    </row>
    <row r="897" spans="1:10" x14ac:dyDescent="0.25">
      <c r="A897" t="s">
        <v>683</v>
      </c>
      <c r="B897">
        <v>41</v>
      </c>
      <c r="G897">
        <v>200</v>
      </c>
    </row>
    <row r="898" spans="1:10" x14ac:dyDescent="0.25">
      <c r="A898" t="s">
        <v>684</v>
      </c>
      <c r="B898">
        <v>41</v>
      </c>
      <c r="G898">
        <v>1539</v>
      </c>
    </row>
    <row r="899" spans="1:10" x14ac:dyDescent="0.25">
      <c r="A899" t="s">
        <v>685</v>
      </c>
      <c r="B899">
        <v>41</v>
      </c>
      <c r="G899">
        <v>1026</v>
      </c>
    </row>
    <row r="900" spans="1:10" x14ac:dyDescent="0.25">
      <c r="A900" t="s">
        <v>686</v>
      </c>
      <c r="B900">
        <v>41</v>
      </c>
      <c r="G900">
        <v>2052</v>
      </c>
    </row>
    <row r="901" spans="1:10" x14ac:dyDescent="0.25">
      <c r="A901" t="s">
        <v>687</v>
      </c>
      <c r="B901">
        <v>41</v>
      </c>
    </row>
    <row r="902" spans="1:10" x14ac:dyDescent="0.25">
      <c r="A902" t="s">
        <v>688</v>
      </c>
      <c r="B902">
        <v>41</v>
      </c>
    </row>
    <row r="903" spans="1:10" x14ac:dyDescent="0.25">
      <c r="A903" t="s">
        <v>689</v>
      </c>
      <c r="B903">
        <v>41</v>
      </c>
    </row>
    <row r="904" spans="1:10" x14ac:dyDescent="0.25">
      <c r="A904" t="s">
        <v>690</v>
      </c>
      <c r="B904">
        <v>41</v>
      </c>
      <c r="G904" t="b">
        <v>0</v>
      </c>
    </row>
    <row r="905" spans="1:10" x14ac:dyDescent="0.25">
      <c r="A905" t="s">
        <v>691</v>
      </c>
      <c r="B905">
        <v>41</v>
      </c>
      <c r="G905" t="b">
        <v>0</v>
      </c>
    </row>
    <row r="906" spans="1:10" x14ac:dyDescent="0.25">
      <c r="A906" t="s">
        <v>677</v>
      </c>
      <c r="B906">
        <v>42</v>
      </c>
      <c r="J906">
        <v>39</v>
      </c>
    </row>
    <row r="907" spans="1:10" x14ac:dyDescent="0.25">
      <c r="A907" t="s">
        <v>36</v>
      </c>
      <c r="B907">
        <v>42</v>
      </c>
      <c r="J907">
        <v>2</v>
      </c>
    </row>
    <row r="908" spans="1:10" x14ac:dyDescent="0.25">
      <c r="A908" t="s">
        <v>503</v>
      </c>
      <c r="B908">
        <v>42</v>
      </c>
      <c r="J908" t="s">
        <v>762</v>
      </c>
    </row>
    <row r="909" spans="1:10" x14ac:dyDescent="0.25">
      <c r="A909" t="s">
        <v>678</v>
      </c>
      <c r="B909">
        <v>42</v>
      </c>
      <c r="J909">
        <v>610</v>
      </c>
    </row>
    <row r="910" spans="1:10" x14ac:dyDescent="0.25">
      <c r="A910" t="s">
        <v>42</v>
      </c>
      <c r="B910">
        <v>42</v>
      </c>
      <c r="J910">
        <v>30</v>
      </c>
    </row>
    <row r="911" spans="1:10" x14ac:dyDescent="0.25">
      <c r="A911" t="s">
        <v>679</v>
      </c>
      <c r="B911">
        <v>42</v>
      </c>
      <c r="J911">
        <v>13.9</v>
      </c>
    </row>
    <row r="912" spans="1:10" x14ac:dyDescent="0.25">
      <c r="A912" t="s">
        <v>41</v>
      </c>
      <c r="B912">
        <v>42</v>
      </c>
      <c r="J912">
        <v>0</v>
      </c>
    </row>
    <row r="913" spans="1:10" x14ac:dyDescent="0.25">
      <c r="A913" t="s">
        <v>680</v>
      </c>
      <c r="B913">
        <v>42</v>
      </c>
      <c r="J913">
        <v>0</v>
      </c>
    </row>
    <row r="914" spans="1:10" x14ac:dyDescent="0.25">
      <c r="A914" t="s">
        <v>563</v>
      </c>
      <c r="B914">
        <v>42</v>
      </c>
      <c r="J914">
        <v>0</v>
      </c>
    </row>
    <row r="915" spans="1:10" x14ac:dyDescent="0.25">
      <c r="A915" t="s">
        <v>681</v>
      </c>
      <c r="B915">
        <v>42</v>
      </c>
      <c r="J915">
        <v>0</v>
      </c>
    </row>
    <row r="916" spans="1:10" x14ac:dyDescent="0.25">
      <c r="A916" t="s">
        <v>682</v>
      </c>
      <c r="B916">
        <v>42</v>
      </c>
      <c r="J916">
        <v>16</v>
      </c>
    </row>
    <row r="917" spans="1:10" x14ac:dyDescent="0.25">
      <c r="A917" t="s">
        <v>683</v>
      </c>
      <c r="B917">
        <v>42</v>
      </c>
      <c r="J917">
        <v>200</v>
      </c>
    </row>
    <row r="918" spans="1:10" x14ac:dyDescent="0.25">
      <c r="A918" t="s">
        <v>684</v>
      </c>
      <c r="B918">
        <v>42</v>
      </c>
      <c r="J918">
        <v>1320</v>
      </c>
    </row>
    <row r="919" spans="1:10" x14ac:dyDescent="0.25">
      <c r="A919" t="s">
        <v>685</v>
      </c>
      <c r="B919">
        <v>42</v>
      </c>
      <c r="J919">
        <v>880</v>
      </c>
    </row>
    <row r="920" spans="1:10" x14ac:dyDescent="0.25">
      <c r="A920" t="s">
        <v>686</v>
      </c>
      <c r="B920">
        <v>42</v>
      </c>
      <c r="J920">
        <v>1760</v>
      </c>
    </row>
    <row r="921" spans="1:10" x14ac:dyDescent="0.25">
      <c r="A921" t="s">
        <v>687</v>
      </c>
      <c r="B921">
        <v>42</v>
      </c>
    </row>
    <row r="922" spans="1:10" x14ac:dyDescent="0.25">
      <c r="A922" t="s">
        <v>688</v>
      </c>
      <c r="B922">
        <v>42</v>
      </c>
    </row>
    <row r="923" spans="1:10" x14ac:dyDescent="0.25">
      <c r="A923" t="s">
        <v>689</v>
      </c>
      <c r="B923">
        <v>42</v>
      </c>
    </row>
    <row r="924" spans="1:10" x14ac:dyDescent="0.25">
      <c r="A924" t="s">
        <v>690</v>
      </c>
      <c r="B924">
        <v>42</v>
      </c>
      <c r="J924" t="b">
        <v>0</v>
      </c>
    </row>
    <row r="925" spans="1:10" x14ac:dyDescent="0.25">
      <c r="A925" t="s">
        <v>691</v>
      </c>
      <c r="B925">
        <v>42</v>
      </c>
      <c r="J925" t="b">
        <v>0</v>
      </c>
    </row>
    <row r="926" spans="1:10" x14ac:dyDescent="0.25">
      <c r="A926" t="s">
        <v>677</v>
      </c>
      <c r="B926">
        <v>43</v>
      </c>
      <c r="G926">
        <v>45</v>
      </c>
      <c r="H926">
        <v>39</v>
      </c>
      <c r="I926">
        <v>44</v>
      </c>
    </row>
    <row r="927" spans="1:10" x14ac:dyDescent="0.25">
      <c r="A927" t="s">
        <v>36</v>
      </c>
      <c r="B927">
        <v>43</v>
      </c>
      <c r="G927">
        <v>3</v>
      </c>
      <c r="H927">
        <v>5</v>
      </c>
      <c r="I927">
        <v>4</v>
      </c>
    </row>
    <row r="928" spans="1:10" x14ac:dyDescent="0.25">
      <c r="A928" t="s">
        <v>503</v>
      </c>
      <c r="B928">
        <v>43</v>
      </c>
      <c r="G928" t="s">
        <v>763</v>
      </c>
      <c r="H928" t="s">
        <v>741</v>
      </c>
      <c r="I928" t="s">
        <v>741</v>
      </c>
    </row>
    <row r="929" spans="1:9" x14ac:dyDescent="0.25">
      <c r="A929" t="s">
        <v>678</v>
      </c>
      <c r="B929">
        <v>43</v>
      </c>
      <c r="G929">
        <v>666</v>
      </c>
      <c r="H929">
        <v>1361</v>
      </c>
      <c r="I929">
        <v>2677</v>
      </c>
    </row>
    <row r="930" spans="1:9" x14ac:dyDescent="0.25">
      <c r="A930" t="s">
        <v>42</v>
      </c>
      <c r="B930">
        <v>43</v>
      </c>
      <c r="G930">
        <v>45</v>
      </c>
      <c r="H930">
        <v>55</v>
      </c>
      <c r="I930">
        <v>55</v>
      </c>
    </row>
    <row r="931" spans="1:9" x14ac:dyDescent="0.25">
      <c r="A931" t="s">
        <v>679</v>
      </c>
      <c r="B931">
        <v>43</v>
      </c>
      <c r="G931">
        <v>10.1</v>
      </c>
      <c r="H931">
        <v>16.899999999999999</v>
      </c>
      <c r="I931">
        <v>33.200000000000003</v>
      </c>
    </row>
    <row r="932" spans="1:9" x14ac:dyDescent="0.25">
      <c r="A932" t="s">
        <v>41</v>
      </c>
      <c r="B932">
        <v>43</v>
      </c>
      <c r="G932">
        <v>0</v>
      </c>
      <c r="H932">
        <v>0</v>
      </c>
      <c r="I932">
        <v>0</v>
      </c>
    </row>
    <row r="933" spans="1:9" x14ac:dyDescent="0.25">
      <c r="A933" t="s">
        <v>680</v>
      </c>
      <c r="B933">
        <v>43</v>
      </c>
      <c r="G933">
        <v>24</v>
      </c>
      <c r="H933">
        <v>24</v>
      </c>
      <c r="I933">
        <v>24</v>
      </c>
    </row>
    <row r="934" spans="1:9" x14ac:dyDescent="0.25">
      <c r="A934" t="s">
        <v>563</v>
      </c>
      <c r="B934">
        <v>43</v>
      </c>
      <c r="G934">
        <v>0</v>
      </c>
      <c r="H934">
        <v>0</v>
      </c>
      <c r="I934">
        <v>0</v>
      </c>
    </row>
    <row r="935" spans="1:9" x14ac:dyDescent="0.25">
      <c r="A935" t="s">
        <v>681</v>
      </c>
      <c r="B935">
        <v>43</v>
      </c>
      <c r="G935">
        <v>0</v>
      </c>
      <c r="H935">
        <v>0</v>
      </c>
      <c r="I935">
        <v>0</v>
      </c>
    </row>
    <row r="936" spans="1:9" x14ac:dyDescent="0.25">
      <c r="A936" t="s">
        <v>682</v>
      </c>
      <c r="B936">
        <v>43</v>
      </c>
      <c r="G936">
        <v>16</v>
      </c>
      <c r="H936">
        <v>16</v>
      </c>
      <c r="I936">
        <v>16</v>
      </c>
    </row>
    <row r="937" spans="1:9" x14ac:dyDescent="0.25">
      <c r="A937" t="s">
        <v>683</v>
      </c>
      <c r="B937">
        <v>43</v>
      </c>
      <c r="G937">
        <v>583</v>
      </c>
      <c r="H937">
        <v>583</v>
      </c>
      <c r="I937">
        <v>583</v>
      </c>
    </row>
    <row r="938" spans="1:9" x14ac:dyDescent="0.25">
      <c r="A938" t="s">
        <v>684</v>
      </c>
      <c r="B938">
        <v>43</v>
      </c>
      <c r="G938">
        <v>1980</v>
      </c>
      <c r="H938">
        <v>2421</v>
      </c>
      <c r="I938">
        <v>2421</v>
      </c>
    </row>
    <row r="939" spans="1:9" x14ac:dyDescent="0.25">
      <c r="A939" t="s">
        <v>685</v>
      </c>
      <c r="B939">
        <v>43</v>
      </c>
      <c r="G939">
        <v>1320</v>
      </c>
      <c r="H939">
        <v>1614</v>
      </c>
      <c r="I939">
        <v>1614</v>
      </c>
    </row>
    <row r="940" spans="1:9" x14ac:dyDescent="0.25">
      <c r="A940" t="s">
        <v>686</v>
      </c>
      <c r="B940">
        <v>43</v>
      </c>
      <c r="G940">
        <v>2640</v>
      </c>
      <c r="H940">
        <v>3228</v>
      </c>
      <c r="I940">
        <v>3228</v>
      </c>
    </row>
    <row r="941" spans="1:9" x14ac:dyDescent="0.25">
      <c r="A941" t="s">
        <v>687</v>
      </c>
      <c r="B941">
        <v>43</v>
      </c>
    </row>
    <row r="942" spans="1:9" x14ac:dyDescent="0.25">
      <c r="A942" t="s">
        <v>688</v>
      </c>
      <c r="B942">
        <v>43</v>
      </c>
    </row>
    <row r="943" spans="1:9" x14ac:dyDescent="0.25">
      <c r="A943" t="s">
        <v>689</v>
      </c>
      <c r="B943">
        <v>43</v>
      </c>
    </row>
    <row r="944" spans="1:9" x14ac:dyDescent="0.25">
      <c r="A944" t="s">
        <v>690</v>
      </c>
      <c r="B944">
        <v>43</v>
      </c>
      <c r="G944" t="b">
        <v>0</v>
      </c>
      <c r="H944" t="b">
        <v>0</v>
      </c>
      <c r="I944" t="b">
        <v>0</v>
      </c>
    </row>
    <row r="945" spans="1:10" x14ac:dyDescent="0.25">
      <c r="A945" t="s">
        <v>691</v>
      </c>
      <c r="B945">
        <v>43</v>
      </c>
      <c r="G945" t="b">
        <v>0</v>
      </c>
      <c r="H945" t="b">
        <v>0</v>
      </c>
      <c r="I945" t="b">
        <v>0</v>
      </c>
    </row>
    <row r="946" spans="1:10" x14ac:dyDescent="0.25">
      <c r="A946" t="s">
        <v>677</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764</v>
      </c>
      <c r="H948" t="s">
        <v>741</v>
      </c>
      <c r="I948" t="s">
        <v>741</v>
      </c>
      <c r="J948" t="s">
        <v>764</v>
      </c>
    </row>
    <row r="949" spans="1:10" x14ac:dyDescent="0.25">
      <c r="A949" t="s">
        <v>678</v>
      </c>
      <c r="B949">
        <v>44</v>
      </c>
      <c r="G949">
        <v>385</v>
      </c>
      <c r="H949">
        <v>2677</v>
      </c>
      <c r="I949">
        <v>809</v>
      </c>
      <c r="J949">
        <v>601</v>
      </c>
    </row>
    <row r="950" spans="1:10" x14ac:dyDescent="0.25">
      <c r="A950" t="s">
        <v>42</v>
      </c>
      <c r="B950">
        <v>44</v>
      </c>
      <c r="G950">
        <v>30</v>
      </c>
      <c r="H950">
        <v>55</v>
      </c>
      <c r="I950">
        <v>55</v>
      </c>
      <c r="J950">
        <v>45</v>
      </c>
    </row>
    <row r="951" spans="1:10" x14ac:dyDescent="0.25">
      <c r="A951" t="s">
        <v>679</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680</v>
      </c>
      <c r="B953">
        <v>44</v>
      </c>
      <c r="G953">
        <v>24</v>
      </c>
      <c r="H953">
        <v>12</v>
      </c>
      <c r="I953">
        <v>12</v>
      </c>
      <c r="J953">
        <v>24</v>
      </c>
    </row>
    <row r="954" spans="1:10" x14ac:dyDescent="0.25">
      <c r="A954" t="s">
        <v>563</v>
      </c>
      <c r="B954">
        <v>44</v>
      </c>
      <c r="G954">
        <v>0</v>
      </c>
      <c r="H954">
        <v>0</v>
      </c>
      <c r="I954">
        <v>0</v>
      </c>
      <c r="J954">
        <v>0</v>
      </c>
    </row>
    <row r="955" spans="1:10" x14ac:dyDescent="0.25">
      <c r="A955" t="s">
        <v>681</v>
      </c>
      <c r="B955">
        <v>44</v>
      </c>
      <c r="G955">
        <v>0</v>
      </c>
      <c r="H955">
        <v>0</v>
      </c>
      <c r="I955">
        <v>0</v>
      </c>
      <c r="J955">
        <v>0</v>
      </c>
    </row>
    <row r="956" spans="1:10" x14ac:dyDescent="0.25">
      <c r="A956" t="s">
        <v>682</v>
      </c>
      <c r="B956">
        <v>44</v>
      </c>
      <c r="G956">
        <v>16</v>
      </c>
      <c r="H956">
        <v>16</v>
      </c>
      <c r="I956">
        <v>16</v>
      </c>
      <c r="J956">
        <v>16</v>
      </c>
    </row>
    <row r="957" spans="1:10" x14ac:dyDescent="0.25">
      <c r="A957" t="s">
        <v>683</v>
      </c>
      <c r="B957">
        <v>44</v>
      </c>
      <c r="G957">
        <v>708</v>
      </c>
      <c r="H957">
        <v>708</v>
      </c>
      <c r="I957">
        <v>708</v>
      </c>
      <c r="J957">
        <v>708</v>
      </c>
    </row>
    <row r="958" spans="1:10" x14ac:dyDescent="0.25">
      <c r="A958" t="s">
        <v>684</v>
      </c>
      <c r="B958">
        <v>44</v>
      </c>
      <c r="G958">
        <v>1320</v>
      </c>
      <c r="H958">
        <v>2421</v>
      </c>
      <c r="I958">
        <v>2421</v>
      </c>
      <c r="J958">
        <v>1980</v>
      </c>
    </row>
    <row r="959" spans="1:10" x14ac:dyDescent="0.25">
      <c r="A959" t="s">
        <v>685</v>
      </c>
      <c r="B959">
        <v>44</v>
      </c>
      <c r="G959">
        <v>880</v>
      </c>
      <c r="H959">
        <v>1614</v>
      </c>
      <c r="I959">
        <v>1614</v>
      </c>
      <c r="J959">
        <v>1320</v>
      </c>
    </row>
    <row r="960" spans="1:10" x14ac:dyDescent="0.25">
      <c r="A960" t="s">
        <v>686</v>
      </c>
      <c r="B960">
        <v>44</v>
      </c>
      <c r="G960">
        <v>1760</v>
      </c>
      <c r="H960">
        <v>3228</v>
      </c>
      <c r="I960">
        <v>3228</v>
      </c>
      <c r="J960">
        <v>2640</v>
      </c>
    </row>
    <row r="961" spans="1:10" x14ac:dyDescent="0.25">
      <c r="A961" t="s">
        <v>687</v>
      </c>
      <c r="B961">
        <v>44</v>
      </c>
    </row>
    <row r="962" spans="1:10" x14ac:dyDescent="0.25">
      <c r="A962" t="s">
        <v>688</v>
      </c>
      <c r="B962">
        <v>44</v>
      </c>
    </row>
    <row r="963" spans="1:10" x14ac:dyDescent="0.25">
      <c r="A963" t="s">
        <v>689</v>
      </c>
      <c r="B963">
        <v>44</v>
      </c>
    </row>
    <row r="964" spans="1:10" x14ac:dyDescent="0.25">
      <c r="A964" t="s">
        <v>690</v>
      </c>
      <c r="B964">
        <v>44</v>
      </c>
      <c r="G964" t="b">
        <v>0</v>
      </c>
      <c r="H964" t="b">
        <v>0</v>
      </c>
      <c r="I964" t="b">
        <v>0</v>
      </c>
      <c r="J964" t="b">
        <v>0</v>
      </c>
    </row>
    <row r="965" spans="1:10" x14ac:dyDescent="0.25">
      <c r="A965" t="s">
        <v>691</v>
      </c>
      <c r="B965">
        <v>44</v>
      </c>
      <c r="G965" t="b">
        <v>0</v>
      </c>
      <c r="H965" t="b">
        <v>0</v>
      </c>
      <c r="I965" t="b">
        <v>0</v>
      </c>
      <c r="J965" t="b">
        <v>0</v>
      </c>
    </row>
    <row r="966" spans="1:10" x14ac:dyDescent="0.25">
      <c r="A966" t="s">
        <v>677</v>
      </c>
      <c r="B966">
        <v>45</v>
      </c>
      <c r="J966">
        <v>43</v>
      </c>
    </row>
    <row r="967" spans="1:10" x14ac:dyDescent="0.25">
      <c r="A967" t="s">
        <v>36</v>
      </c>
      <c r="B967">
        <v>45</v>
      </c>
      <c r="J967">
        <v>2</v>
      </c>
    </row>
    <row r="968" spans="1:10" x14ac:dyDescent="0.25">
      <c r="A968" t="s">
        <v>503</v>
      </c>
      <c r="B968">
        <v>45</v>
      </c>
      <c r="J968" t="s">
        <v>763</v>
      </c>
    </row>
    <row r="969" spans="1:10" x14ac:dyDescent="0.25">
      <c r="A969" t="s">
        <v>678</v>
      </c>
      <c r="B969">
        <v>45</v>
      </c>
      <c r="J969">
        <v>666</v>
      </c>
    </row>
    <row r="970" spans="1:10" x14ac:dyDescent="0.25">
      <c r="A970" t="s">
        <v>42</v>
      </c>
      <c r="B970">
        <v>45</v>
      </c>
      <c r="J970">
        <v>30</v>
      </c>
    </row>
    <row r="971" spans="1:10" x14ac:dyDescent="0.25">
      <c r="A971" t="s">
        <v>679</v>
      </c>
      <c r="B971">
        <v>45</v>
      </c>
      <c r="J971">
        <v>15.1</v>
      </c>
    </row>
    <row r="972" spans="1:10" x14ac:dyDescent="0.25">
      <c r="A972" t="s">
        <v>41</v>
      </c>
      <c r="B972">
        <v>45</v>
      </c>
      <c r="J972">
        <v>0</v>
      </c>
    </row>
    <row r="973" spans="1:10" x14ac:dyDescent="0.25">
      <c r="A973" t="s">
        <v>680</v>
      </c>
      <c r="B973">
        <v>45</v>
      </c>
      <c r="J973">
        <v>0</v>
      </c>
    </row>
    <row r="974" spans="1:10" x14ac:dyDescent="0.25">
      <c r="A974" t="s">
        <v>563</v>
      </c>
      <c r="B974">
        <v>45</v>
      </c>
      <c r="J974">
        <v>0</v>
      </c>
    </row>
    <row r="975" spans="1:10" x14ac:dyDescent="0.25">
      <c r="A975" t="s">
        <v>681</v>
      </c>
      <c r="B975">
        <v>45</v>
      </c>
      <c r="J975">
        <v>0</v>
      </c>
    </row>
    <row r="976" spans="1:10" x14ac:dyDescent="0.25">
      <c r="A976" t="s">
        <v>682</v>
      </c>
      <c r="B976">
        <v>45</v>
      </c>
      <c r="J976">
        <v>16</v>
      </c>
    </row>
    <row r="977" spans="1:10" x14ac:dyDescent="0.25">
      <c r="A977" t="s">
        <v>683</v>
      </c>
      <c r="B977">
        <v>45</v>
      </c>
      <c r="J977">
        <v>200</v>
      </c>
    </row>
    <row r="978" spans="1:10" x14ac:dyDescent="0.25">
      <c r="A978" t="s">
        <v>684</v>
      </c>
      <c r="B978">
        <v>45</v>
      </c>
      <c r="J978">
        <v>1320</v>
      </c>
    </row>
    <row r="979" spans="1:10" x14ac:dyDescent="0.25">
      <c r="A979" t="s">
        <v>685</v>
      </c>
      <c r="B979">
        <v>45</v>
      </c>
      <c r="J979">
        <v>880</v>
      </c>
    </row>
    <row r="980" spans="1:10" x14ac:dyDescent="0.25">
      <c r="A980" t="s">
        <v>686</v>
      </c>
      <c r="B980">
        <v>45</v>
      </c>
      <c r="J980">
        <v>1760</v>
      </c>
    </row>
    <row r="981" spans="1:10" x14ac:dyDescent="0.25">
      <c r="A981" t="s">
        <v>687</v>
      </c>
      <c r="B981">
        <v>45</v>
      </c>
    </row>
    <row r="982" spans="1:10" x14ac:dyDescent="0.25">
      <c r="A982" t="s">
        <v>688</v>
      </c>
      <c r="B982">
        <v>45</v>
      </c>
    </row>
    <row r="983" spans="1:10" x14ac:dyDescent="0.25">
      <c r="A983" t="s">
        <v>689</v>
      </c>
      <c r="B983">
        <v>45</v>
      </c>
    </row>
    <row r="984" spans="1:10" x14ac:dyDescent="0.25">
      <c r="A984" t="s">
        <v>690</v>
      </c>
      <c r="B984">
        <v>45</v>
      </c>
      <c r="J984" t="b">
        <v>0</v>
      </c>
    </row>
    <row r="985" spans="1:10" x14ac:dyDescent="0.25">
      <c r="A985" t="s">
        <v>691</v>
      </c>
      <c r="B985">
        <v>45</v>
      </c>
      <c r="J985" t="b">
        <v>0</v>
      </c>
    </row>
    <row r="986" spans="1:10" x14ac:dyDescent="0.25">
      <c r="A986" t="s">
        <v>677</v>
      </c>
      <c r="B986">
        <v>46</v>
      </c>
      <c r="G986">
        <v>47</v>
      </c>
      <c r="H986">
        <v>21</v>
      </c>
      <c r="I986">
        <v>28</v>
      </c>
    </row>
    <row r="987" spans="1:10" x14ac:dyDescent="0.25">
      <c r="A987" t="s">
        <v>36</v>
      </c>
      <c r="B987">
        <v>46</v>
      </c>
      <c r="G987">
        <v>3</v>
      </c>
      <c r="H987">
        <v>4</v>
      </c>
      <c r="I987">
        <v>4</v>
      </c>
    </row>
    <row r="988" spans="1:10" x14ac:dyDescent="0.25">
      <c r="A988" t="s">
        <v>503</v>
      </c>
      <c r="B988">
        <v>46</v>
      </c>
      <c r="G988" t="s">
        <v>765</v>
      </c>
      <c r="H988" t="s">
        <v>741</v>
      </c>
      <c r="I988" t="s">
        <v>741</v>
      </c>
    </row>
    <row r="989" spans="1:10" x14ac:dyDescent="0.25">
      <c r="A989" t="s">
        <v>678</v>
      </c>
      <c r="B989">
        <v>46</v>
      </c>
      <c r="G989">
        <v>276</v>
      </c>
      <c r="H989">
        <v>906</v>
      </c>
      <c r="I989">
        <v>1161</v>
      </c>
    </row>
    <row r="990" spans="1:10" x14ac:dyDescent="0.25">
      <c r="A990" t="s">
        <v>42</v>
      </c>
      <c r="B990">
        <v>46</v>
      </c>
      <c r="G990">
        <v>25</v>
      </c>
      <c r="H990">
        <v>45</v>
      </c>
      <c r="I990">
        <v>45</v>
      </c>
    </row>
    <row r="991" spans="1:10" x14ac:dyDescent="0.25">
      <c r="A991" t="s">
        <v>679</v>
      </c>
      <c r="B991">
        <v>46</v>
      </c>
      <c r="G991">
        <v>7.5</v>
      </c>
      <c r="H991">
        <v>13.7</v>
      </c>
      <c r="I991">
        <v>17.600000000000001</v>
      </c>
    </row>
    <row r="992" spans="1:10" x14ac:dyDescent="0.25">
      <c r="A992" t="s">
        <v>41</v>
      </c>
      <c r="B992">
        <v>46</v>
      </c>
      <c r="G992">
        <v>0</v>
      </c>
      <c r="H992">
        <v>0</v>
      </c>
      <c r="I992">
        <v>0</v>
      </c>
    </row>
    <row r="993" spans="1:10" x14ac:dyDescent="0.25">
      <c r="A993" t="s">
        <v>680</v>
      </c>
      <c r="B993">
        <v>46</v>
      </c>
      <c r="G993">
        <v>24</v>
      </c>
      <c r="H993">
        <v>24</v>
      </c>
      <c r="I993">
        <v>24</v>
      </c>
    </row>
    <row r="994" spans="1:10" x14ac:dyDescent="0.25">
      <c r="A994" t="s">
        <v>563</v>
      </c>
      <c r="B994">
        <v>46</v>
      </c>
      <c r="G994">
        <v>0</v>
      </c>
      <c r="H994">
        <v>0</v>
      </c>
      <c r="I994">
        <v>0</v>
      </c>
    </row>
    <row r="995" spans="1:10" x14ac:dyDescent="0.25">
      <c r="A995" t="s">
        <v>681</v>
      </c>
      <c r="B995">
        <v>46</v>
      </c>
      <c r="G995">
        <v>0</v>
      </c>
      <c r="H995">
        <v>0</v>
      </c>
      <c r="I995">
        <v>0</v>
      </c>
    </row>
    <row r="996" spans="1:10" x14ac:dyDescent="0.25">
      <c r="A996" t="s">
        <v>682</v>
      </c>
      <c r="B996">
        <v>46</v>
      </c>
      <c r="G996">
        <v>16</v>
      </c>
      <c r="H996">
        <v>16</v>
      </c>
      <c r="I996">
        <v>16</v>
      </c>
    </row>
    <row r="997" spans="1:10" x14ac:dyDescent="0.25">
      <c r="A997" t="s">
        <v>683</v>
      </c>
      <c r="B997">
        <v>46</v>
      </c>
      <c r="G997">
        <v>583</v>
      </c>
      <c r="H997">
        <v>583</v>
      </c>
      <c r="I997">
        <v>583</v>
      </c>
    </row>
    <row r="998" spans="1:10" x14ac:dyDescent="0.25">
      <c r="A998" t="s">
        <v>684</v>
      </c>
      <c r="B998">
        <v>46</v>
      </c>
      <c r="G998">
        <v>1101</v>
      </c>
      <c r="H998">
        <v>1980</v>
      </c>
      <c r="I998">
        <v>1980</v>
      </c>
    </row>
    <row r="999" spans="1:10" x14ac:dyDescent="0.25">
      <c r="A999" t="s">
        <v>685</v>
      </c>
      <c r="B999">
        <v>46</v>
      </c>
      <c r="G999">
        <v>734</v>
      </c>
      <c r="H999">
        <v>1320</v>
      </c>
      <c r="I999">
        <v>1320</v>
      </c>
    </row>
    <row r="1000" spans="1:10" x14ac:dyDescent="0.25">
      <c r="A1000" t="s">
        <v>686</v>
      </c>
      <c r="B1000">
        <v>46</v>
      </c>
      <c r="G1000">
        <v>1468</v>
      </c>
      <c r="H1000">
        <v>2640</v>
      </c>
      <c r="I1000">
        <v>2640</v>
      </c>
    </row>
    <row r="1001" spans="1:10" x14ac:dyDescent="0.25">
      <c r="A1001" t="s">
        <v>687</v>
      </c>
      <c r="B1001">
        <v>46</v>
      </c>
    </row>
    <row r="1002" spans="1:10" x14ac:dyDescent="0.25">
      <c r="A1002" t="s">
        <v>688</v>
      </c>
      <c r="B1002">
        <v>46</v>
      </c>
    </row>
    <row r="1003" spans="1:10" x14ac:dyDescent="0.25">
      <c r="A1003" t="s">
        <v>689</v>
      </c>
      <c r="B1003">
        <v>46</v>
      </c>
    </row>
    <row r="1004" spans="1:10" x14ac:dyDescent="0.25">
      <c r="A1004" t="s">
        <v>690</v>
      </c>
      <c r="B1004">
        <v>46</v>
      </c>
      <c r="G1004" t="b">
        <v>0</v>
      </c>
      <c r="H1004" t="b">
        <v>0</v>
      </c>
      <c r="I1004" t="b">
        <v>0</v>
      </c>
    </row>
    <row r="1005" spans="1:10" x14ac:dyDescent="0.25">
      <c r="A1005" t="s">
        <v>691</v>
      </c>
      <c r="B1005">
        <v>46</v>
      </c>
      <c r="G1005" t="b">
        <v>0</v>
      </c>
      <c r="H1005" t="b">
        <v>0</v>
      </c>
      <c r="I1005" t="b">
        <v>0</v>
      </c>
    </row>
    <row r="1006" spans="1:10" x14ac:dyDescent="0.25">
      <c r="A1006" t="s">
        <v>677</v>
      </c>
      <c r="B1006">
        <v>47</v>
      </c>
      <c r="J1006">
        <v>46</v>
      </c>
    </row>
    <row r="1007" spans="1:10" x14ac:dyDescent="0.25">
      <c r="A1007" t="s">
        <v>36</v>
      </c>
      <c r="B1007">
        <v>47</v>
      </c>
      <c r="J1007" t="s">
        <v>692</v>
      </c>
    </row>
    <row r="1008" spans="1:10" x14ac:dyDescent="0.25">
      <c r="A1008" t="s">
        <v>503</v>
      </c>
      <c r="B1008">
        <v>47</v>
      </c>
      <c r="J1008" t="s">
        <v>765</v>
      </c>
    </row>
    <row r="1009" spans="1:10" x14ac:dyDescent="0.25">
      <c r="A1009" t="s">
        <v>678</v>
      </c>
      <c r="B1009">
        <v>47</v>
      </c>
      <c r="J1009">
        <v>276</v>
      </c>
    </row>
    <row r="1010" spans="1:10" x14ac:dyDescent="0.25">
      <c r="A1010" t="s">
        <v>42</v>
      </c>
      <c r="B1010">
        <v>47</v>
      </c>
      <c r="J1010">
        <v>30</v>
      </c>
    </row>
    <row r="1011" spans="1:10" x14ac:dyDescent="0.25">
      <c r="A1011" t="s">
        <v>679</v>
      </c>
      <c r="B1011">
        <v>47</v>
      </c>
      <c r="J1011">
        <v>6.3</v>
      </c>
    </row>
    <row r="1012" spans="1:10" x14ac:dyDescent="0.25">
      <c r="A1012" t="s">
        <v>41</v>
      </c>
      <c r="B1012">
        <v>47</v>
      </c>
      <c r="J1012">
        <v>0</v>
      </c>
    </row>
    <row r="1013" spans="1:10" x14ac:dyDescent="0.25">
      <c r="A1013" t="s">
        <v>680</v>
      </c>
      <c r="B1013">
        <v>47</v>
      </c>
      <c r="J1013">
        <v>0</v>
      </c>
    </row>
    <row r="1014" spans="1:10" x14ac:dyDescent="0.25">
      <c r="A1014" t="s">
        <v>563</v>
      </c>
      <c r="B1014">
        <v>47</v>
      </c>
      <c r="J1014">
        <v>0</v>
      </c>
    </row>
    <row r="1015" spans="1:10" x14ac:dyDescent="0.25">
      <c r="A1015" t="s">
        <v>681</v>
      </c>
      <c r="B1015">
        <v>47</v>
      </c>
      <c r="J1015">
        <v>0</v>
      </c>
    </row>
    <row r="1016" spans="1:10" x14ac:dyDescent="0.25">
      <c r="A1016" t="s">
        <v>682</v>
      </c>
      <c r="B1016">
        <v>47</v>
      </c>
      <c r="J1016">
        <v>16</v>
      </c>
    </row>
    <row r="1017" spans="1:10" x14ac:dyDescent="0.25">
      <c r="A1017" t="s">
        <v>683</v>
      </c>
      <c r="B1017">
        <v>47</v>
      </c>
      <c r="J1017">
        <v>200</v>
      </c>
    </row>
    <row r="1018" spans="1:10" x14ac:dyDescent="0.25">
      <c r="A1018" t="s">
        <v>684</v>
      </c>
      <c r="B1018">
        <v>47</v>
      </c>
      <c r="J1018">
        <v>1320</v>
      </c>
    </row>
    <row r="1019" spans="1:10" x14ac:dyDescent="0.25">
      <c r="A1019" t="s">
        <v>685</v>
      </c>
      <c r="B1019">
        <v>47</v>
      </c>
      <c r="J1019">
        <v>880</v>
      </c>
    </row>
    <row r="1020" spans="1:10" x14ac:dyDescent="0.25">
      <c r="A1020" t="s">
        <v>686</v>
      </c>
      <c r="B1020">
        <v>47</v>
      </c>
      <c r="J1020">
        <v>1760</v>
      </c>
    </row>
    <row r="1021" spans="1:10" x14ac:dyDescent="0.25">
      <c r="A1021" t="s">
        <v>687</v>
      </c>
      <c r="B1021">
        <v>47</v>
      </c>
    </row>
    <row r="1022" spans="1:10" x14ac:dyDescent="0.25">
      <c r="A1022" t="s">
        <v>688</v>
      </c>
      <c r="B1022">
        <v>47</v>
      </c>
    </row>
    <row r="1023" spans="1:10" x14ac:dyDescent="0.25">
      <c r="A1023" t="s">
        <v>689</v>
      </c>
      <c r="B1023">
        <v>47</v>
      </c>
    </row>
    <row r="1024" spans="1:10" x14ac:dyDescent="0.25">
      <c r="A1024" t="s">
        <v>690</v>
      </c>
      <c r="B1024">
        <v>47</v>
      </c>
      <c r="J1024" t="b">
        <v>0</v>
      </c>
    </row>
    <row r="1025" spans="1:10" x14ac:dyDescent="0.25">
      <c r="A1025" t="s">
        <v>691</v>
      </c>
      <c r="B1025">
        <v>47</v>
      </c>
      <c r="J1025" t="b">
        <v>0</v>
      </c>
    </row>
    <row r="1026" spans="1:10" x14ac:dyDescent="0.25">
      <c r="A1026" t="s">
        <v>677</v>
      </c>
      <c r="B1026">
        <v>48</v>
      </c>
      <c r="D1026">
        <v>25</v>
      </c>
    </row>
    <row r="1027" spans="1:10" x14ac:dyDescent="0.25">
      <c r="A1027" t="s">
        <v>36</v>
      </c>
      <c r="B1027">
        <v>48</v>
      </c>
      <c r="D1027">
        <v>1</v>
      </c>
    </row>
    <row r="1028" spans="1:10" x14ac:dyDescent="0.25">
      <c r="A1028" t="s">
        <v>503</v>
      </c>
      <c r="B1028">
        <v>48</v>
      </c>
      <c r="D1028" t="s">
        <v>753</v>
      </c>
    </row>
    <row r="1029" spans="1:10" x14ac:dyDescent="0.25">
      <c r="A1029" t="s">
        <v>678</v>
      </c>
      <c r="B1029">
        <v>48</v>
      </c>
      <c r="D1029">
        <v>656</v>
      </c>
    </row>
    <row r="1030" spans="1:10" x14ac:dyDescent="0.25">
      <c r="A1030" t="s">
        <v>42</v>
      </c>
      <c r="B1030">
        <v>48</v>
      </c>
      <c r="D1030">
        <v>30</v>
      </c>
    </row>
    <row r="1031" spans="1:10" x14ac:dyDescent="0.25">
      <c r="A1031" t="s">
        <v>679</v>
      </c>
      <c r="B1031">
        <v>48</v>
      </c>
      <c r="D1031">
        <v>14.9</v>
      </c>
    </row>
    <row r="1032" spans="1:10" x14ac:dyDescent="0.25">
      <c r="A1032" t="s">
        <v>41</v>
      </c>
      <c r="B1032">
        <v>48</v>
      </c>
      <c r="D1032">
        <v>0</v>
      </c>
    </row>
    <row r="1033" spans="1:10" x14ac:dyDescent="0.25">
      <c r="A1033" t="s">
        <v>680</v>
      </c>
      <c r="B1033">
        <v>48</v>
      </c>
      <c r="D1033">
        <v>0</v>
      </c>
    </row>
    <row r="1034" spans="1:10" x14ac:dyDescent="0.25">
      <c r="A1034" t="s">
        <v>563</v>
      </c>
      <c r="B1034">
        <v>48</v>
      </c>
      <c r="D1034">
        <v>0</v>
      </c>
    </row>
    <row r="1035" spans="1:10" x14ac:dyDescent="0.25">
      <c r="A1035" t="s">
        <v>681</v>
      </c>
      <c r="B1035">
        <v>48</v>
      </c>
      <c r="D1035">
        <v>0</v>
      </c>
    </row>
    <row r="1036" spans="1:10" x14ac:dyDescent="0.25">
      <c r="A1036" t="s">
        <v>682</v>
      </c>
      <c r="B1036">
        <v>48</v>
      </c>
      <c r="D1036">
        <v>16</v>
      </c>
    </row>
    <row r="1037" spans="1:10" x14ac:dyDescent="0.25">
      <c r="A1037" t="s">
        <v>683</v>
      </c>
      <c r="B1037">
        <v>48</v>
      </c>
      <c r="D1037">
        <v>200</v>
      </c>
    </row>
    <row r="1038" spans="1:10" x14ac:dyDescent="0.25">
      <c r="A1038" t="s">
        <v>684</v>
      </c>
      <c r="B1038">
        <v>48</v>
      </c>
      <c r="D1038">
        <v>1320</v>
      </c>
    </row>
    <row r="1039" spans="1:10" x14ac:dyDescent="0.25">
      <c r="A1039" t="s">
        <v>685</v>
      </c>
      <c r="B1039">
        <v>48</v>
      </c>
      <c r="D1039">
        <v>880</v>
      </c>
    </row>
    <row r="1040" spans="1:10" x14ac:dyDescent="0.25">
      <c r="A1040" t="s">
        <v>686</v>
      </c>
      <c r="B1040">
        <v>48</v>
      </c>
      <c r="D1040">
        <v>1760</v>
      </c>
    </row>
    <row r="1041" spans="1:9" x14ac:dyDescent="0.25">
      <c r="A1041" t="s">
        <v>687</v>
      </c>
      <c r="B1041">
        <v>48</v>
      </c>
    </row>
    <row r="1042" spans="1:9" x14ac:dyDescent="0.25">
      <c r="A1042" t="s">
        <v>688</v>
      </c>
      <c r="B1042">
        <v>48</v>
      </c>
    </row>
    <row r="1043" spans="1:9" x14ac:dyDescent="0.25">
      <c r="A1043" t="s">
        <v>689</v>
      </c>
      <c r="B1043">
        <v>48</v>
      </c>
    </row>
    <row r="1044" spans="1:9" x14ac:dyDescent="0.25">
      <c r="A1044" t="s">
        <v>690</v>
      </c>
      <c r="B1044">
        <v>48</v>
      </c>
      <c r="D1044" t="b">
        <v>0</v>
      </c>
    </row>
    <row r="1045" spans="1:9" x14ac:dyDescent="0.25">
      <c r="A1045" t="s">
        <v>691</v>
      </c>
      <c r="B1045">
        <v>48</v>
      </c>
      <c r="D1045" t="b">
        <v>0</v>
      </c>
    </row>
    <row r="1046" spans="1:9" x14ac:dyDescent="0.25">
      <c r="A1046" t="s">
        <v>677</v>
      </c>
      <c r="B1046">
        <v>49</v>
      </c>
      <c r="G1046">
        <v>50</v>
      </c>
      <c r="H1046">
        <v>13</v>
      </c>
      <c r="I1046">
        <v>17</v>
      </c>
    </row>
    <row r="1047" spans="1:9" x14ac:dyDescent="0.25">
      <c r="A1047" t="s">
        <v>36</v>
      </c>
      <c r="B1047">
        <v>49</v>
      </c>
      <c r="G1047">
        <v>2</v>
      </c>
      <c r="H1047">
        <v>4</v>
      </c>
      <c r="I1047">
        <v>3</v>
      </c>
    </row>
    <row r="1048" spans="1:9" x14ac:dyDescent="0.25">
      <c r="A1048" t="s">
        <v>503</v>
      </c>
      <c r="B1048">
        <v>49</v>
      </c>
      <c r="G1048" t="s">
        <v>766</v>
      </c>
      <c r="H1048" t="s">
        <v>741</v>
      </c>
      <c r="I1048" t="s">
        <v>741</v>
      </c>
    </row>
    <row r="1049" spans="1:9" x14ac:dyDescent="0.25">
      <c r="A1049" t="s">
        <v>678</v>
      </c>
      <c r="B1049">
        <v>49</v>
      </c>
      <c r="G1049">
        <v>299</v>
      </c>
      <c r="H1049">
        <v>2934</v>
      </c>
      <c r="I1049">
        <v>4063</v>
      </c>
    </row>
    <row r="1050" spans="1:9" x14ac:dyDescent="0.25">
      <c r="A1050" t="s">
        <v>42</v>
      </c>
      <c r="B1050">
        <v>49</v>
      </c>
      <c r="G1050">
        <v>30</v>
      </c>
      <c r="H1050">
        <v>45</v>
      </c>
      <c r="I1050">
        <v>45</v>
      </c>
    </row>
    <row r="1051" spans="1:9" x14ac:dyDescent="0.25">
      <c r="A1051" t="s">
        <v>679</v>
      </c>
      <c r="B1051">
        <v>49</v>
      </c>
      <c r="G1051">
        <v>6.8</v>
      </c>
      <c r="H1051">
        <v>44.5</v>
      </c>
      <c r="I1051">
        <v>61.6</v>
      </c>
    </row>
    <row r="1052" spans="1:9" x14ac:dyDescent="0.25">
      <c r="A1052" t="s">
        <v>41</v>
      </c>
      <c r="B1052">
        <v>49</v>
      </c>
      <c r="G1052">
        <v>0</v>
      </c>
      <c r="H1052">
        <v>0</v>
      </c>
      <c r="I1052">
        <v>0</v>
      </c>
    </row>
    <row r="1053" spans="1:9" x14ac:dyDescent="0.25">
      <c r="A1053" t="s">
        <v>680</v>
      </c>
      <c r="B1053">
        <v>49</v>
      </c>
      <c r="G1053">
        <v>12</v>
      </c>
      <c r="H1053">
        <v>24</v>
      </c>
      <c r="I1053">
        <v>24</v>
      </c>
    </row>
    <row r="1054" spans="1:9" x14ac:dyDescent="0.25">
      <c r="A1054" t="s">
        <v>563</v>
      </c>
      <c r="B1054">
        <v>49</v>
      </c>
      <c r="G1054">
        <v>0</v>
      </c>
      <c r="H1054">
        <v>0</v>
      </c>
      <c r="I1054">
        <v>0</v>
      </c>
    </row>
    <row r="1055" spans="1:9" x14ac:dyDescent="0.25">
      <c r="A1055" t="s">
        <v>681</v>
      </c>
      <c r="B1055">
        <v>49</v>
      </c>
      <c r="G1055">
        <v>0</v>
      </c>
      <c r="H1055">
        <v>0</v>
      </c>
      <c r="I1055">
        <v>0</v>
      </c>
    </row>
    <row r="1056" spans="1:9" x14ac:dyDescent="0.25">
      <c r="A1056" t="s">
        <v>682</v>
      </c>
      <c r="B1056">
        <v>49</v>
      </c>
      <c r="G1056">
        <v>16</v>
      </c>
      <c r="H1056">
        <v>16</v>
      </c>
      <c r="I1056">
        <v>16</v>
      </c>
    </row>
    <row r="1057" spans="1:10" x14ac:dyDescent="0.25">
      <c r="A1057" t="s">
        <v>683</v>
      </c>
      <c r="B1057">
        <v>49</v>
      </c>
      <c r="G1057">
        <v>583</v>
      </c>
      <c r="H1057">
        <v>583</v>
      </c>
      <c r="I1057">
        <v>583</v>
      </c>
    </row>
    <row r="1058" spans="1:10" x14ac:dyDescent="0.25">
      <c r="A1058" t="s">
        <v>684</v>
      </c>
      <c r="B1058">
        <v>49</v>
      </c>
      <c r="G1058">
        <v>1320</v>
      </c>
      <c r="H1058">
        <v>1980</v>
      </c>
      <c r="I1058">
        <v>1980</v>
      </c>
    </row>
    <row r="1059" spans="1:10" x14ac:dyDescent="0.25">
      <c r="A1059" t="s">
        <v>685</v>
      </c>
      <c r="B1059">
        <v>49</v>
      </c>
      <c r="G1059">
        <v>880</v>
      </c>
      <c r="H1059">
        <v>1320</v>
      </c>
      <c r="I1059">
        <v>1320</v>
      </c>
    </row>
    <row r="1060" spans="1:10" x14ac:dyDescent="0.25">
      <c r="A1060" t="s">
        <v>686</v>
      </c>
      <c r="B1060">
        <v>49</v>
      </c>
      <c r="G1060">
        <v>1760</v>
      </c>
      <c r="H1060">
        <v>2640</v>
      </c>
      <c r="I1060">
        <v>2640</v>
      </c>
    </row>
    <row r="1061" spans="1:10" x14ac:dyDescent="0.25">
      <c r="A1061" t="s">
        <v>687</v>
      </c>
      <c r="B1061">
        <v>49</v>
      </c>
      <c r="G1061">
        <v>-361676</v>
      </c>
    </row>
    <row r="1062" spans="1:10" x14ac:dyDescent="0.25">
      <c r="A1062" t="s">
        <v>688</v>
      </c>
      <c r="B1062">
        <v>49</v>
      </c>
      <c r="G1062">
        <v>16455</v>
      </c>
    </row>
    <row r="1063" spans="1:10" x14ac:dyDescent="0.25">
      <c r="A1063" t="s">
        <v>689</v>
      </c>
      <c r="B1063">
        <v>49</v>
      </c>
      <c r="G1063">
        <v>0</v>
      </c>
    </row>
    <row r="1064" spans="1:10" x14ac:dyDescent="0.25">
      <c r="A1064" t="s">
        <v>690</v>
      </c>
      <c r="B1064">
        <v>49</v>
      </c>
      <c r="G1064" t="b">
        <v>0</v>
      </c>
      <c r="H1064" t="b">
        <v>0</v>
      </c>
      <c r="I1064" t="b">
        <v>0</v>
      </c>
    </row>
    <row r="1065" spans="1:10" x14ac:dyDescent="0.25">
      <c r="A1065" t="s">
        <v>691</v>
      </c>
      <c r="B1065">
        <v>49</v>
      </c>
      <c r="G1065" t="b">
        <v>0</v>
      </c>
      <c r="H1065" t="b">
        <v>0</v>
      </c>
      <c r="I1065" t="b">
        <v>0</v>
      </c>
    </row>
    <row r="1066" spans="1:10" x14ac:dyDescent="0.25">
      <c r="A1066" t="s">
        <v>677</v>
      </c>
      <c r="B1066">
        <v>50</v>
      </c>
      <c r="J1066">
        <v>49</v>
      </c>
    </row>
    <row r="1067" spans="1:10" x14ac:dyDescent="0.25">
      <c r="A1067" t="s">
        <v>36</v>
      </c>
      <c r="B1067">
        <v>50</v>
      </c>
      <c r="J1067">
        <v>1</v>
      </c>
    </row>
    <row r="1068" spans="1:10" x14ac:dyDescent="0.25">
      <c r="A1068" t="s">
        <v>503</v>
      </c>
      <c r="B1068">
        <v>50</v>
      </c>
      <c r="J1068" t="s">
        <v>766</v>
      </c>
    </row>
    <row r="1069" spans="1:10" x14ac:dyDescent="0.25">
      <c r="A1069" t="s">
        <v>678</v>
      </c>
      <c r="B1069">
        <v>50</v>
      </c>
      <c r="J1069">
        <v>299</v>
      </c>
    </row>
    <row r="1070" spans="1:10" x14ac:dyDescent="0.25">
      <c r="A1070" t="s">
        <v>42</v>
      </c>
      <c r="B1070">
        <v>50</v>
      </c>
      <c r="J1070">
        <v>30</v>
      </c>
    </row>
    <row r="1071" spans="1:10" x14ac:dyDescent="0.25">
      <c r="A1071" t="s">
        <v>679</v>
      </c>
      <c r="B1071">
        <v>50</v>
      </c>
      <c r="J1071">
        <v>6.8</v>
      </c>
    </row>
    <row r="1072" spans="1:10" x14ac:dyDescent="0.25">
      <c r="A1072" t="s">
        <v>41</v>
      </c>
      <c r="B1072">
        <v>50</v>
      </c>
      <c r="J1072">
        <v>0</v>
      </c>
    </row>
    <row r="1073" spans="1:10" x14ac:dyDescent="0.25">
      <c r="A1073" t="s">
        <v>680</v>
      </c>
      <c r="B1073">
        <v>50</v>
      </c>
      <c r="J1073">
        <v>12</v>
      </c>
    </row>
    <row r="1074" spans="1:10" x14ac:dyDescent="0.25">
      <c r="A1074" t="s">
        <v>563</v>
      </c>
      <c r="B1074">
        <v>50</v>
      </c>
      <c r="J1074">
        <v>0</v>
      </c>
    </row>
    <row r="1075" spans="1:10" x14ac:dyDescent="0.25">
      <c r="A1075" t="s">
        <v>681</v>
      </c>
      <c r="B1075">
        <v>50</v>
      </c>
      <c r="J1075">
        <v>0</v>
      </c>
    </row>
    <row r="1076" spans="1:10" x14ac:dyDescent="0.25">
      <c r="A1076" t="s">
        <v>682</v>
      </c>
      <c r="B1076">
        <v>50</v>
      </c>
      <c r="J1076">
        <v>16</v>
      </c>
    </row>
    <row r="1077" spans="1:10" x14ac:dyDescent="0.25">
      <c r="A1077" t="s">
        <v>683</v>
      </c>
      <c r="B1077">
        <v>50</v>
      </c>
      <c r="J1077">
        <v>200</v>
      </c>
    </row>
    <row r="1078" spans="1:10" x14ac:dyDescent="0.25">
      <c r="A1078" t="s">
        <v>684</v>
      </c>
      <c r="B1078">
        <v>50</v>
      </c>
      <c r="J1078">
        <v>1320</v>
      </c>
    </row>
    <row r="1079" spans="1:10" x14ac:dyDescent="0.25">
      <c r="A1079" t="s">
        <v>685</v>
      </c>
      <c r="B1079">
        <v>50</v>
      </c>
      <c r="J1079">
        <v>880</v>
      </c>
    </row>
    <row r="1080" spans="1:10" x14ac:dyDescent="0.25">
      <c r="A1080" t="s">
        <v>686</v>
      </c>
      <c r="B1080">
        <v>50</v>
      </c>
      <c r="J1080">
        <v>1760</v>
      </c>
    </row>
    <row r="1081" spans="1:10" x14ac:dyDescent="0.25">
      <c r="A1081" t="s">
        <v>687</v>
      </c>
      <c r="B1081">
        <v>50</v>
      </c>
      <c r="J1081">
        <v>-361742</v>
      </c>
    </row>
    <row r="1082" spans="1:10" x14ac:dyDescent="0.25">
      <c r="A1082" t="s">
        <v>688</v>
      </c>
      <c r="B1082">
        <v>50</v>
      </c>
      <c r="J1082">
        <v>16380</v>
      </c>
    </row>
    <row r="1083" spans="1:10" x14ac:dyDescent="0.25">
      <c r="A1083" t="s">
        <v>689</v>
      </c>
      <c r="B1083">
        <v>50</v>
      </c>
      <c r="J1083">
        <v>0</v>
      </c>
    </row>
    <row r="1084" spans="1:10" x14ac:dyDescent="0.25">
      <c r="A1084" t="s">
        <v>690</v>
      </c>
      <c r="B1084">
        <v>50</v>
      </c>
      <c r="J1084" t="b">
        <v>0</v>
      </c>
    </row>
    <row r="1085" spans="1:10" x14ac:dyDescent="0.25">
      <c r="A1085" t="s">
        <v>691</v>
      </c>
      <c r="B1085">
        <v>50</v>
      </c>
      <c r="J1085" t="b">
        <v>0</v>
      </c>
    </row>
    <row r="1086" spans="1:10" x14ac:dyDescent="0.25">
      <c r="A1086" t="s">
        <v>677</v>
      </c>
      <c r="B1086">
        <v>51</v>
      </c>
      <c r="J1086">
        <v>44</v>
      </c>
    </row>
    <row r="1087" spans="1:10" x14ac:dyDescent="0.25">
      <c r="A1087" t="s">
        <v>36</v>
      </c>
      <c r="B1087">
        <v>51</v>
      </c>
      <c r="J1087">
        <v>1</v>
      </c>
    </row>
    <row r="1088" spans="1:10" x14ac:dyDescent="0.25">
      <c r="A1088" t="s">
        <v>503</v>
      </c>
      <c r="B1088">
        <v>51</v>
      </c>
      <c r="J1088" t="s">
        <v>764</v>
      </c>
    </row>
    <row r="1089" spans="1:10" x14ac:dyDescent="0.25">
      <c r="A1089" t="s">
        <v>678</v>
      </c>
      <c r="B1089">
        <v>51</v>
      </c>
      <c r="J1089">
        <v>385</v>
      </c>
    </row>
    <row r="1090" spans="1:10" x14ac:dyDescent="0.25">
      <c r="A1090" t="s">
        <v>42</v>
      </c>
      <c r="B1090">
        <v>51</v>
      </c>
      <c r="J1090">
        <v>30</v>
      </c>
    </row>
    <row r="1091" spans="1:10" x14ac:dyDescent="0.25">
      <c r="A1091" t="s">
        <v>679</v>
      </c>
      <c r="B1091">
        <v>51</v>
      </c>
      <c r="J1091">
        <v>8.8000000000000007</v>
      </c>
    </row>
    <row r="1092" spans="1:10" x14ac:dyDescent="0.25">
      <c r="A1092" t="s">
        <v>41</v>
      </c>
      <c r="B1092">
        <v>51</v>
      </c>
      <c r="J1092">
        <v>0</v>
      </c>
    </row>
    <row r="1093" spans="1:10" x14ac:dyDescent="0.25">
      <c r="A1093" t="s">
        <v>680</v>
      </c>
      <c r="B1093">
        <v>51</v>
      </c>
      <c r="J1093">
        <v>12</v>
      </c>
    </row>
    <row r="1094" spans="1:10" x14ac:dyDescent="0.25">
      <c r="A1094" t="s">
        <v>563</v>
      </c>
      <c r="B1094">
        <v>51</v>
      </c>
      <c r="J1094">
        <v>0</v>
      </c>
    </row>
    <row r="1095" spans="1:10" x14ac:dyDescent="0.25">
      <c r="A1095" t="s">
        <v>681</v>
      </c>
      <c r="B1095">
        <v>51</v>
      </c>
      <c r="J1095">
        <v>0</v>
      </c>
    </row>
    <row r="1096" spans="1:10" x14ac:dyDescent="0.25">
      <c r="A1096" t="s">
        <v>682</v>
      </c>
      <c r="B1096">
        <v>51</v>
      </c>
      <c r="J1096">
        <v>16</v>
      </c>
    </row>
    <row r="1097" spans="1:10" x14ac:dyDescent="0.25">
      <c r="A1097" t="s">
        <v>683</v>
      </c>
      <c r="B1097">
        <v>51</v>
      </c>
      <c r="J1097">
        <v>200</v>
      </c>
    </row>
    <row r="1098" spans="1:10" x14ac:dyDescent="0.25">
      <c r="A1098" t="s">
        <v>684</v>
      </c>
      <c r="B1098">
        <v>51</v>
      </c>
      <c r="J1098">
        <v>1320</v>
      </c>
    </row>
    <row r="1099" spans="1:10" x14ac:dyDescent="0.25">
      <c r="A1099" t="s">
        <v>685</v>
      </c>
      <c r="B1099">
        <v>51</v>
      </c>
      <c r="J1099">
        <v>880</v>
      </c>
    </row>
    <row r="1100" spans="1:10" x14ac:dyDescent="0.25">
      <c r="A1100" t="s">
        <v>686</v>
      </c>
      <c r="B1100">
        <v>51</v>
      </c>
      <c r="J1100">
        <v>1760</v>
      </c>
    </row>
    <row r="1101" spans="1:10" x14ac:dyDescent="0.25">
      <c r="A1101" t="s">
        <v>687</v>
      </c>
      <c r="B1101">
        <v>51</v>
      </c>
    </row>
    <row r="1102" spans="1:10" x14ac:dyDescent="0.25">
      <c r="A1102" t="s">
        <v>688</v>
      </c>
      <c r="B1102">
        <v>51</v>
      </c>
    </row>
    <row r="1103" spans="1:10" x14ac:dyDescent="0.25">
      <c r="A1103" t="s">
        <v>689</v>
      </c>
      <c r="B1103">
        <v>51</v>
      </c>
    </row>
    <row r="1104" spans="1:10" x14ac:dyDescent="0.25">
      <c r="A1104" t="s">
        <v>690</v>
      </c>
      <c r="B1104">
        <v>51</v>
      </c>
      <c r="J1104" t="b">
        <v>0</v>
      </c>
    </row>
    <row r="1105" spans="1:10" x14ac:dyDescent="0.25">
      <c r="A1105" t="s">
        <v>691</v>
      </c>
      <c r="B1105">
        <v>51</v>
      </c>
      <c r="J1105" t="b">
        <v>0</v>
      </c>
    </row>
    <row r="1106" spans="1:10" x14ac:dyDescent="0.25">
      <c r="A1106" t="s">
        <v>677</v>
      </c>
      <c r="B1106">
        <v>52</v>
      </c>
      <c r="H1106">
        <v>44</v>
      </c>
    </row>
    <row r="1107" spans="1:10" x14ac:dyDescent="0.25">
      <c r="A1107" t="s">
        <v>36</v>
      </c>
      <c r="B1107">
        <v>52</v>
      </c>
      <c r="H1107">
        <v>2</v>
      </c>
    </row>
    <row r="1108" spans="1:10" x14ac:dyDescent="0.25">
      <c r="A1108" t="s">
        <v>503</v>
      </c>
      <c r="B1108">
        <v>52</v>
      </c>
      <c r="H1108" t="s">
        <v>741</v>
      </c>
    </row>
    <row r="1109" spans="1:10" x14ac:dyDescent="0.25">
      <c r="A1109" t="s">
        <v>678</v>
      </c>
      <c r="B1109">
        <v>52</v>
      </c>
      <c r="H1109">
        <v>809</v>
      </c>
    </row>
    <row r="1110" spans="1:10" x14ac:dyDescent="0.25">
      <c r="A1110" t="s">
        <v>42</v>
      </c>
      <c r="B1110">
        <v>52</v>
      </c>
      <c r="H1110">
        <v>30</v>
      </c>
    </row>
    <row r="1111" spans="1:10" x14ac:dyDescent="0.25">
      <c r="A1111" t="s">
        <v>679</v>
      </c>
      <c r="B1111">
        <v>52</v>
      </c>
      <c r="H1111">
        <v>18.399999999999999</v>
      </c>
    </row>
    <row r="1112" spans="1:10" x14ac:dyDescent="0.25">
      <c r="A1112" t="s">
        <v>41</v>
      </c>
      <c r="B1112">
        <v>52</v>
      </c>
      <c r="H1112">
        <v>0</v>
      </c>
    </row>
    <row r="1113" spans="1:10" x14ac:dyDescent="0.25">
      <c r="A1113" t="s">
        <v>680</v>
      </c>
      <c r="B1113">
        <v>52</v>
      </c>
      <c r="H1113">
        <v>12</v>
      </c>
    </row>
    <row r="1114" spans="1:10" x14ac:dyDescent="0.25">
      <c r="A1114" t="s">
        <v>563</v>
      </c>
      <c r="B1114">
        <v>52</v>
      </c>
      <c r="H1114">
        <v>0</v>
      </c>
    </row>
    <row r="1115" spans="1:10" x14ac:dyDescent="0.25">
      <c r="A1115" t="s">
        <v>681</v>
      </c>
      <c r="B1115">
        <v>52</v>
      </c>
      <c r="H1115">
        <v>0</v>
      </c>
    </row>
    <row r="1116" spans="1:10" x14ac:dyDescent="0.25">
      <c r="A1116" t="s">
        <v>682</v>
      </c>
      <c r="B1116">
        <v>52</v>
      </c>
      <c r="H1116">
        <v>16</v>
      </c>
    </row>
    <row r="1117" spans="1:10" x14ac:dyDescent="0.25">
      <c r="A1117" t="s">
        <v>683</v>
      </c>
      <c r="B1117">
        <v>52</v>
      </c>
      <c r="H1117">
        <v>200</v>
      </c>
    </row>
    <row r="1118" spans="1:10" x14ac:dyDescent="0.25">
      <c r="A1118" t="s">
        <v>684</v>
      </c>
      <c r="B1118">
        <v>52</v>
      </c>
      <c r="H1118">
        <v>1320</v>
      </c>
    </row>
    <row r="1119" spans="1:10" x14ac:dyDescent="0.25">
      <c r="A1119" t="s">
        <v>685</v>
      </c>
      <c r="B1119">
        <v>52</v>
      </c>
      <c r="H1119">
        <v>880</v>
      </c>
    </row>
    <row r="1120" spans="1:10" x14ac:dyDescent="0.25">
      <c r="A1120" t="s">
        <v>686</v>
      </c>
      <c r="B1120">
        <v>52</v>
      </c>
      <c r="H1120">
        <v>1760</v>
      </c>
    </row>
    <row r="1121" spans="1:8" x14ac:dyDescent="0.25">
      <c r="A1121" t="s">
        <v>687</v>
      </c>
      <c r="B1121">
        <v>52</v>
      </c>
    </row>
    <row r="1122" spans="1:8" x14ac:dyDescent="0.25">
      <c r="A1122" t="s">
        <v>688</v>
      </c>
      <c r="B1122">
        <v>52</v>
      </c>
    </row>
    <row r="1123" spans="1:8" x14ac:dyDescent="0.25">
      <c r="A1123" t="s">
        <v>689</v>
      </c>
      <c r="B1123">
        <v>52</v>
      </c>
    </row>
    <row r="1124" spans="1:8" x14ac:dyDescent="0.25">
      <c r="A1124" t="s">
        <v>690</v>
      </c>
      <c r="B1124">
        <v>52</v>
      </c>
      <c r="H1124" t="b">
        <v>0</v>
      </c>
    </row>
    <row r="1125" spans="1:8" x14ac:dyDescent="0.25">
      <c r="A1125" t="s">
        <v>691</v>
      </c>
      <c r="B1125">
        <v>52</v>
      </c>
      <c r="H1125" t="b">
        <v>0</v>
      </c>
    </row>
    <row r="1126" spans="1:8" x14ac:dyDescent="0.25">
      <c r="A1126" t="s">
        <v>677</v>
      </c>
      <c r="B1126">
        <v>53</v>
      </c>
      <c r="G1126">
        <v>44</v>
      </c>
    </row>
    <row r="1127" spans="1:8" x14ac:dyDescent="0.25">
      <c r="A1127" t="s">
        <v>36</v>
      </c>
      <c r="B1127">
        <v>53</v>
      </c>
      <c r="G1127" t="s">
        <v>692</v>
      </c>
    </row>
    <row r="1128" spans="1:8" x14ac:dyDescent="0.25">
      <c r="A1128" t="s">
        <v>503</v>
      </c>
      <c r="B1128">
        <v>53</v>
      </c>
      <c r="G1128" t="s">
        <v>764</v>
      </c>
    </row>
    <row r="1129" spans="1:8" x14ac:dyDescent="0.25">
      <c r="A1129" t="s">
        <v>678</v>
      </c>
      <c r="B1129">
        <v>53</v>
      </c>
      <c r="G1129">
        <v>601</v>
      </c>
    </row>
    <row r="1130" spans="1:8" x14ac:dyDescent="0.25">
      <c r="A1130" t="s">
        <v>42</v>
      </c>
      <c r="B1130">
        <v>53</v>
      </c>
      <c r="G1130">
        <v>30</v>
      </c>
    </row>
    <row r="1131" spans="1:8" x14ac:dyDescent="0.25">
      <c r="A1131" t="s">
        <v>679</v>
      </c>
      <c r="B1131">
        <v>53</v>
      </c>
      <c r="G1131">
        <v>13.7</v>
      </c>
    </row>
    <row r="1132" spans="1:8" x14ac:dyDescent="0.25">
      <c r="A1132" t="s">
        <v>41</v>
      </c>
      <c r="B1132">
        <v>53</v>
      </c>
      <c r="G1132">
        <v>0</v>
      </c>
    </row>
    <row r="1133" spans="1:8" x14ac:dyDescent="0.25">
      <c r="A1133" t="s">
        <v>680</v>
      </c>
      <c r="B1133">
        <v>53</v>
      </c>
      <c r="G1133">
        <v>12</v>
      </c>
    </row>
    <row r="1134" spans="1:8" x14ac:dyDescent="0.25">
      <c r="A1134" t="s">
        <v>563</v>
      </c>
      <c r="B1134">
        <v>53</v>
      </c>
      <c r="G1134">
        <v>0</v>
      </c>
    </row>
    <row r="1135" spans="1:8" x14ac:dyDescent="0.25">
      <c r="A1135" t="s">
        <v>681</v>
      </c>
      <c r="B1135">
        <v>53</v>
      </c>
      <c r="G1135">
        <v>0</v>
      </c>
    </row>
    <row r="1136" spans="1:8" x14ac:dyDescent="0.25">
      <c r="A1136" t="s">
        <v>682</v>
      </c>
      <c r="B1136">
        <v>53</v>
      </c>
      <c r="G1136">
        <v>16</v>
      </c>
    </row>
    <row r="1137" spans="1:30" x14ac:dyDescent="0.25">
      <c r="A1137" t="s">
        <v>683</v>
      </c>
      <c r="B1137">
        <v>53</v>
      </c>
      <c r="G1137">
        <v>200</v>
      </c>
    </row>
    <row r="1138" spans="1:30" x14ac:dyDescent="0.25">
      <c r="A1138" t="s">
        <v>684</v>
      </c>
      <c r="B1138">
        <v>53</v>
      </c>
      <c r="G1138">
        <v>1320</v>
      </c>
    </row>
    <row r="1139" spans="1:30" x14ac:dyDescent="0.25">
      <c r="A1139" t="s">
        <v>685</v>
      </c>
      <c r="B1139">
        <v>53</v>
      </c>
      <c r="G1139">
        <v>880</v>
      </c>
    </row>
    <row r="1140" spans="1:30" x14ac:dyDescent="0.25">
      <c r="A1140" t="s">
        <v>686</v>
      </c>
      <c r="B1140">
        <v>53</v>
      </c>
      <c r="G1140">
        <v>1760</v>
      </c>
    </row>
    <row r="1141" spans="1:30" x14ac:dyDescent="0.25">
      <c r="A1141" t="s">
        <v>687</v>
      </c>
      <c r="B1141">
        <v>53</v>
      </c>
    </row>
    <row r="1142" spans="1:30" x14ac:dyDescent="0.25">
      <c r="A1142" t="s">
        <v>688</v>
      </c>
      <c r="B1142">
        <v>53</v>
      </c>
    </row>
    <row r="1143" spans="1:30" x14ac:dyDescent="0.25">
      <c r="A1143" t="s">
        <v>689</v>
      </c>
      <c r="B1143">
        <v>53</v>
      </c>
    </row>
    <row r="1144" spans="1:30" x14ac:dyDescent="0.25">
      <c r="A1144" t="s">
        <v>690</v>
      </c>
      <c r="B1144">
        <v>53</v>
      </c>
      <c r="G1144" t="b">
        <v>0</v>
      </c>
    </row>
    <row r="1145" spans="1:30" x14ac:dyDescent="0.25">
      <c r="A1145" t="s">
        <v>691</v>
      </c>
      <c r="B1145">
        <v>53</v>
      </c>
      <c r="G1145" t="b">
        <v>0</v>
      </c>
    </row>
    <row r="1147" spans="1:30" x14ac:dyDescent="0.25">
      <c r="A1147" t="s">
        <v>564</v>
      </c>
    </row>
    <row r="1148" spans="1:30" x14ac:dyDescent="0.25">
      <c r="A1148" t="s">
        <v>694</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695</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696</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698</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699</v>
      </c>
      <c r="B1176">
        <v>1</v>
      </c>
      <c r="D1176">
        <v>0</v>
      </c>
      <c r="G1176">
        <v>0</v>
      </c>
      <c r="K1176">
        <v>0</v>
      </c>
      <c r="N1176">
        <v>0</v>
      </c>
    </row>
    <row r="1177" spans="1:15" x14ac:dyDescent="0.25">
      <c r="A1177" t="s">
        <v>678</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700</v>
      </c>
      <c r="B1179">
        <v>1</v>
      </c>
      <c r="E1179">
        <v>0</v>
      </c>
      <c r="H1179">
        <v>0</v>
      </c>
      <c r="L1179">
        <v>0</v>
      </c>
      <c r="O1179">
        <v>0</v>
      </c>
    </row>
    <row r="1180" spans="1:15" x14ac:dyDescent="0.25">
      <c r="A1180" t="s">
        <v>701</v>
      </c>
      <c r="B1180">
        <v>1</v>
      </c>
      <c r="C1180">
        <v>0</v>
      </c>
      <c r="D1180">
        <v>0</v>
      </c>
      <c r="E1180">
        <v>1</v>
      </c>
      <c r="F1180">
        <v>0</v>
      </c>
      <c r="G1180">
        <v>0</v>
      </c>
      <c r="H1180">
        <v>1</v>
      </c>
      <c r="J1180">
        <v>0</v>
      </c>
      <c r="K1180">
        <v>0</v>
      </c>
      <c r="L1180">
        <v>1</v>
      </c>
      <c r="M1180">
        <v>0</v>
      </c>
      <c r="N1180">
        <v>0</v>
      </c>
      <c r="O1180">
        <v>1</v>
      </c>
    </row>
    <row r="1181" spans="1:15" x14ac:dyDescent="0.25">
      <c r="A1181" t="s">
        <v>702</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703</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704</v>
      </c>
      <c r="B1187">
        <v>1</v>
      </c>
      <c r="C1187">
        <v>0</v>
      </c>
      <c r="D1187">
        <v>0</v>
      </c>
      <c r="E1187">
        <v>0</v>
      </c>
      <c r="F1187">
        <v>0</v>
      </c>
      <c r="G1187">
        <v>0</v>
      </c>
      <c r="H1187">
        <v>0</v>
      </c>
      <c r="J1187">
        <v>0</v>
      </c>
      <c r="K1187">
        <v>0</v>
      </c>
      <c r="M1187">
        <v>0</v>
      </c>
      <c r="N1187">
        <v>0</v>
      </c>
    </row>
    <row r="1188" spans="1:14" x14ac:dyDescent="0.25">
      <c r="A1188" t="s">
        <v>705</v>
      </c>
      <c r="B1188">
        <v>1</v>
      </c>
      <c r="C1188">
        <v>0</v>
      </c>
      <c r="D1188">
        <v>0</v>
      </c>
      <c r="E1188">
        <v>0</v>
      </c>
      <c r="F1188">
        <v>0</v>
      </c>
      <c r="G1188">
        <v>0</v>
      </c>
      <c r="H1188">
        <v>0</v>
      </c>
      <c r="J1188">
        <v>0</v>
      </c>
      <c r="K1188">
        <v>0</v>
      </c>
      <c r="M1188">
        <v>0</v>
      </c>
      <c r="N1188">
        <v>0</v>
      </c>
    </row>
    <row r="1189" spans="1:14" x14ac:dyDescent="0.25">
      <c r="A1189" t="s">
        <v>706</v>
      </c>
      <c r="B1189">
        <v>1</v>
      </c>
      <c r="C1189">
        <v>0</v>
      </c>
      <c r="D1189">
        <v>0</v>
      </c>
      <c r="E1189">
        <v>0</v>
      </c>
      <c r="F1189">
        <v>0</v>
      </c>
      <c r="G1189">
        <v>0</v>
      </c>
      <c r="H1189">
        <v>0</v>
      </c>
      <c r="J1189">
        <v>0</v>
      </c>
      <c r="K1189">
        <v>0</v>
      </c>
      <c r="M1189">
        <v>0</v>
      </c>
      <c r="N1189">
        <v>0</v>
      </c>
    </row>
    <row r="1190" spans="1:14" x14ac:dyDescent="0.25">
      <c r="A1190" t="s">
        <v>707</v>
      </c>
      <c r="B1190">
        <v>1</v>
      </c>
      <c r="C1190">
        <v>0</v>
      </c>
      <c r="D1190">
        <v>0</v>
      </c>
      <c r="E1190">
        <v>0</v>
      </c>
      <c r="F1190">
        <v>0</v>
      </c>
      <c r="G1190">
        <v>0</v>
      </c>
      <c r="H1190">
        <v>0</v>
      </c>
      <c r="J1190">
        <v>0</v>
      </c>
      <c r="K1190">
        <v>0</v>
      </c>
      <c r="M1190">
        <v>0</v>
      </c>
      <c r="N1190">
        <v>0</v>
      </c>
    </row>
    <row r="1191" spans="1:14" x14ac:dyDescent="0.25">
      <c r="A1191" t="s">
        <v>708</v>
      </c>
      <c r="B1191">
        <v>1</v>
      </c>
      <c r="C1191">
        <v>1</v>
      </c>
      <c r="D1191">
        <v>2</v>
      </c>
      <c r="E1191">
        <v>1</v>
      </c>
      <c r="F1191">
        <v>1</v>
      </c>
      <c r="G1191">
        <v>2</v>
      </c>
      <c r="H1191">
        <v>1</v>
      </c>
      <c r="J1191">
        <v>1</v>
      </c>
      <c r="K1191">
        <v>2</v>
      </c>
      <c r="M1191">
        <v>1</v>
      </c>
      <c r="N1191">
        <v>2</v>
      </c>
    </row>
    <row r="1192" spans="1:14" x14ac:dyDescent="0.25">
      <c r="A1192" t="s">
        <v>709</v>
      </c>
      <c r="B1192">
        <v>1</v>
      </c>
      <c r="C1192">
        <v>0</v>
      </c>
      <c r="D1192">
        <v>0</v>
      </c>
      <c r="E1192">
        <v>0</v>
      </c>
      <c r="F1192">
        <v>0</v>
      </c>
      <c r="G1192">
        <v>0</v>
      </c>
      <c r="H1192">
        <v>0</v>
      </c>
      <c r="J1192">
        <v>0</v>
      </c>
      <c r="K1192">
        <v>0</v>
      </c>
      <c r="M1192">
        <v>0</v>
      </c>
      <c r="N1192">
        <v>0</v>
      </c>
    </row>
    <row r="1193" spans="1:14" x14ac:dyDescent="0.25">
      <c r="A1193" t="s">
        <v>710</v>
      </c>
      <c r="B1193">
        <v>1</v>
      </c>
      <c r="C1193">
        <v>20</v>
      </c>
      <c r="D1193">
        <v>6</v>
      </c>
      <c r="E1193">
        <v>20</v>
      </c>
      <c r="F1193">
        <v>20</v>
      </c>
      <c r="G1193">
        <v>6</v>
      </c>
      <c r="H1193">
        <v>20</v>
      </c>
      <c r="J1193">
        <v>20</v>
      </c>
      <c r="K1193">
        <v>6</v>
      </c>
      <c r="M1193">
        <v>20</v>
      </c>
      <c r="N1193">
        <v>6</v>
      </c>
    </row>
    <row r="1194" spans="1:14" x14ac:dyDescent="0.25">
      <c r="A1194" t="s">
        <v>711</v>
      </c>
      <c r="B1194">
        <v>1</v>
      </c>
      <c r="C1194">
        <v>3</v>
      </c>
      <c r="D1194">
        <v>3</v>
      </c>
      <c r="E1194">
        <v>3</v>
      </c>
      <c r="F1194">
        <v>3</v>
      </c>
      <c r="G1194">
        <v>3</v>
      </c>
      <c r="H1194">
        <v>3</v>
      </c>
      <c r="J1194">
        <v>3</v>
      </c>
      <c r="K1194">
        <v>3</v>
      </c>
      <c r="M1194">
        <v>3</v>
      </c>
      <c r="N1194">
        <v>3</v>
      </c>
    </row>
    <row r="1195" spans="1:14" x14ac:dyDescent="0.25">
      <c r="A1195" t="s">
        <v>712</v>
      </c>
      <c r="B1195">
        <v>1</v>
      </c>
      <c r="C1195">
        <v>0</v>
      </c>
      <c r="D1195">
        <v>0</v>
      </c>
      <c r="E1195">
        <v>0</v>
      </c>
      <c r="F1195">
        <v>0</v>
      </c>
      <c r="G1195">
        <v>0</v>
      </c>
      <c r="H1195">
        <v>0</v>
      </c>
      <c r="J1195">
        <v>0</v>
      </c>
      <c r="K1195">
        <v>0</v>
      </c>
      <c r="M1195">
        <v>0</v>
      </c>
      <c r="N1195">
        <v>0</v>
      </c>
    </row>
    <row r="1196" spans="1:14" x14ac:dyDescent="0.25">
      <c r="A1196" t="s">
        <v>713</v>
      </c>
      <c r="B1196">
        <v>1</v>
      </c>
      <c r="C1196">
        <v>0</v>
      </c>
      <c r="D1196">
        <v>0</v>
      </c>
      <c r="E1196">
        <v>0</v>
      </c>
      <c r="F1196">
        <v>0</v>
      </c>
      <c r="G1196">
        <v>0</v>
      </c>
      <c r="H1196">
        <v>0</v>
      </c>
      <c r="J1196">
        <v>0</v>
      </c>
      <c r="K1196">
        <v>0</v>
      </c>
      <c r="M1196">
        <v>0</v>
      </c>
      <c r="N1196">
        <v>0</v>
      </c>
    </row>
    <row r="1197" spans="1:14" x14ac:dyDescent="0.25">
      <c r="A1197" t="s">
        <v>714</v>
      </c>
      <c r="B1197">
        <v>1</v>
      </c>
      <c r="C1197">
        <v>0</v>
      </c>
      <c r="D1197">
        <v>0</v>
      </c>
      <c r="E1197">
        <v>0</v>
      </c>
      <c r="F1197">
        <v>0</v>
      </c>
      <c r="G1197">
        <v>0</v>
      </c>
      <c r="H1197">
        <v>0</v>
      </c>
      <c r="J1197">
        <v>0</v>
      </c>
      <c r="K1197">
        <v>0</v>
      </c>
      <c r="M1197">
        <v>0</v>
      </c>
      <c r="N1197">
        <v>0</v>
      </c>
    </row>
    <row r="1198" spans="1:14" x14ac:dyDescent="0.25">
      <c r="A1198" t="s">
        <v>715</v>
      </c>
      <c r="B1198">
        <v>1</v>
      </c>
      <c r="D1198">
        <v>94</v>
      </c>
      <c r="G1198">
        <v>94</v>
      </c>
      <c r="K1198">
        <v>94</v>
      </c>
      <c r="N1198">
        <v>94</v>
      </c>
    </row>
    <row r="1199" spans="1:14" x14ac:dyDescent="0.25">
      <c r="A1199" t="s">
        <v>716</v>
      </c>
      <c r="B1199">
        <v>1</v>
      </c>
      <c r="D1199">
        <v>6</v>
      </c>
      <c r="G1199">
        <v>6</v>
      </c>
      <c r="K1199">
        <v>6</v>
      </c>
      <c r="N1199">
        <v>6</v>
      </c>
    </row>
    <row r="1200" spans="1:14" x14ac:dyDescent="0.25">
      <c r="A1200" t="s">
        <v>717</v>
      </c>
      <c r="B1200">
        <v>1</v>
      </c>
      <c r="D1200">
        <v>3</v>
      </c>
      <c r="G1200">
        <v>3</v>
      </c>
      <c r="K1200">
        <v>3</v>
      </c>
      <c r="N1200">
        <v>3</v>
      </c>
    </row>
    <row r="1201" spans="1:15" x14ac:dyDescent="0.25">
      <c r="A1201" t="s">
        <v>718</v>
      </c>
      <c r="B1201">
        <v>1</v>
      </c>
      <c r="D1201">
        <v>0</v>
      </c>
      <c r="G1201">
        <v>0</v>
      </c>
      <c r="K1201">
        <v>0</v>
      </c>
      <c r="N1201">
        <v>0</v>
      </c>
    </row>
    <row r="1202" spans="1:15" x14ac:dyDescent="0.25">
      <c r="A1202" t="s">
        <v>719</v>
      </c>
      <c r="B1202">
        <v>1</v>
      </c>
      <c r="D1202">
        <v>0</v>
      </c>
      <c r="G1202">
        <v>0</v>
      </c>
      <c r="K1202">
        <v>0</v>
      </c>
      <c r="N1202">
        <v>0</v>
      </c>
    </row>
    <row r="1203" spans="1:15" x14ac:dyDescent="0.25">
      <c r="A1203" t="s">
        <v>405</v>
      </c>
      <c r="B1203">
        <v>1</v>
      </c>
      <c r="D1203">
        <v>0</v>
      </c>
    </row>
    <row r="1204" spans="1:15" x14ac:dyDescent="0.25">
      <c r="A1204" t="s">
        <v>720</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695</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696</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698</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699</v>
      </c>
      <c r="B1231">
        <v>7</v>
      </c>
      <c r="D1231">
        <v>0</v>
      </c>
      <c r="G1231">
        <v>0</v>
      </c>
      <c r="K1231">
        <v>0</v>
      </c>
      <c r="N1231">
        <v>0</v>
      </c>
    </row>
    <row r="1232" spans="1:15" x14ac:dyDescent="0.25">
      <c r="A1232" t="s">
        <v>678</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700</v>
      </c>
      <c r="B1234">
        <v>7</v>
      </c>
      <c r="E1234">
        <v>0</v>
      </c>
      <c r="H1234">
        <v>0</v>
      </c>
      <c r="L1234">
        <v>0</v>
      </c>
      <c r="O1234">
        <v>0</v>
      </c>
    </row>
    <row r="1235" spans="1:15" x14ac:dyDescent="0.25">
      <c r="A1235" t="s">
        <v>701</v>
      </c>
      <c r="B1235">
        <v>7</v>
      </c>
      <c r="C1235">
        <v>0</v>
      </c>
      <c r="D1235">
        <v>0</v>
      </c>
      <c r="E1235">
        <v>1</v>
      </c>
      <c r="F1235">
        <v>0</v>
      </c>
      <c r="G1235">
        <v>0</v>
      </c>
      <c r="H1235">
        <v>1</v>
      </c>
      <c r="J1235">
        <v>0</v>
      </c>
      <c r="K1235">
        <v>0</v>
      </c>
      <c r="L1235">
        <v>1</v>
      </c>
      <c r="M1235">
        <v>0</v>
      </c>
      <c r="N1235">
        <v>0</v>
      </c>
      <c r="O1235">
        <v>1</v>
      </c>
    </row>
    <row r="1236" spans="1:15" x14ac:dyDescent="0.25">
      <c r="A1236" t="s">
        <v>702</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703</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704</v>
      </c>
      <c r="B1242">
        <v>7</v>
      </c>
      <c r="C1242">
        <v>0</v>
      </c>
      <c r="D1242">
        <v>0</v>
      </c>
      <c r="E1242">
        <v>0</v>
      </c>
      <c r="F1242">
        <v>0</v>
      </c>
      <c r="G1242">
        <v>0</v>
      </c>
      <c r="J1242">
        <v>0</v>
      </c>
      <c r="K1242">
        <v>0</v>
      </c>
      <c r="M1242">
        <v>0</v>
      </c>
      <c r="N1242">
        <v>0</v>
      </c>
    </row>
    <row r="1243" spans="1:15" x14ac:dyDescent="0.25">
      <c r="A1243" t="s">
        <v>705</v>
      </c>
      <c r="B1243">
        <v>7</v>
      </c>
      <c r="C1243">
        <v>0</v>
      </c>
      <c r="D1243">
        <v>0</v>
      </c>
      <c r="E1243">
        <v>0</v>
      </c>
      <c r="F1243">
        <v>0</v>
      </c>
      <c r="G1243">
        <v>0</v>
      </c>
      <c r="J1243">
        <v>0</v>
      </c>
      <c r="K1243">
        <v>0</v>
      </c>
      <c r="M1243">
        <v>0</v>
      </c>
      <c r="N1243">
        <v>0</v>
      </c>
    </row>
    <row r="1244" spans="1:15" x14ac:dyDescent="0.25">
      <c r="A1244" t="s">
        <v>706</v>
      </c>
      <c r="B1244">
        <v>7</v>
      </c>
      <c r="C1244">
        <v>0</v>
      </c>
      <c r="D1244">
        <v>0</v>
      </c>
      <c r="E1244">
        <v>0</v>
      </c>
      <c r="F1244">
        <v>0</v>
      </c>
      <c r="G1244">
        <v>0</v>
      </c>
      <c r="J1244">
        <v>0</v>
      </c>
      <c r="K1244">
        <v>0</v>
      </c>
      <c r="M1244">
        <v>0</v>
      </c>
      <c r="N1244">
        <v>0</v>
      </c>
    </row>
    <row r="1245" spans="1:15" x14ac:dyDescent="0.25">
      <c r="A1245" t="s">
        <v>707</v>
      </c>
      <c r="B1245">
        <v>7</v>
      </c>
      <c r="C1245">
        <v>0</v>
      </c>
      <c r="D1245">
        <v>0</v>
      </c>
      <c r="E1245">
        <v>0</v>
      </c>
      <c r="F1245">
        <v>0</v>
      </c>
      <c r="G1245">
        <v>0</v>
      </c>
      <c r="J1245">
        <v>0</v>
      </c>
      <c r="K1245">
        <v>0</v>
      </c>
      <c r="M1245">
        <v>0</v>
      </c>
      <c r="N1245">
        <v>0</v>
      </c>
    </row>
    <row r="1246" spans="1:15" x14ac:dyDescent="0.25">
      <c r="A1246" t="s">
        <v>708</v>
      </c>
      <c r="B1246">
        <v>7</v>
      </c>
      <c r="C1246">
        <v>0</v>
      </c>
      <c r="D1246">
        <v>0</v>
      </c>
      <c r="E1246">
        <v>0</v>
      </c>
      <c r="F1246">
        <v>0</v>
      </c>
      <c r="G1246">
        <v>0</v>
      </c>
      <c r="J1246">
        <v>0</v>
      </c>
      <c r="K1246">
        <v>0</v>
      </c>
      <c r="M1246">
        <v>0</v>
      </c>
      <c r="N1246">
        <v>0</v>
      </c>
    </row>
    <row r="1247" spans="1:15" x14ac:dyDescent="0.25">
      <c r="A1247" t="s">
        <v>719</v>
      </c>
      <c r="B1247">
        <v>7</v>
      </c>
      <c r="D1247">
        <v>0</v>
      </c>
      <c r="G1247">
        <v>0</v>
      </c>
      <c r="K1247">
        <v>0</v>
      </c>
      <c r="N1247">
        <v>0</v>
      </c>
    </row>
    <row r="1248" spans="1:15" x14ac:dyDescent="0.25">
      <c r="A1248" t="s">
        <v>405</v>
      </c>
      <c r="B1248">
        <v>7</v>
      </c>
      <c r="D1248">
        <v>0</v>
      </c>
    </row>
    <row r="1249" spans="1:15" x14ac:dyDescent="0.25">
      <c r="A1249" t="s">
        <v>720</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695</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696</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698</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699</v>
      </c>
      <c r="B1276">
        <v>9</v>
      </c>
      <c r="D1276">
        <v>0</v>
      </c>
      <c r="G1276">
        <v>0</v>
      </c>
      <c r="K1276">
        <v>0</v>
      </c>
      <c r="N1276">
        <v>0</v>
      </c>
    </row>
    <row r="1277" spans="1:15" x14ac:dyDescent="0.25">
      <c r="A1277" t="s">
        <v>678</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700</v>
      </c>
      <c r="B1279">
        <v>9</v>
      </c>
      <c r="E1279">
        <v>0</v>
      </c>
      <c r="H1279">
        <v>0</v>
      </c>
      <c r="L1279">
        <v>0</v>
      </c>
      <c r="O1279">
        <v>0</v>
      </c>
    </row>
    <row r="1280" spans="1:15" x14ac:dyDescent="0.25">
      <c r="A1280" t="s">
        <v>701</v>
      </c>
      <c r="B1280">
        <v>9</v>
      </c>
      <c r="C1280">
        <v>0</v>
      </c>
      <c r="D1280">
        <v>0</v>
      </c>
      <c r="E1280">
        <v>1</v>
      </c>
      <c r="F1280">
        <v>0</v>
      </c>
      <c r="G1280">
        <v>0</v>
      </c>
      <c r="H1280">
        <v>1</v>
      </c>
      <c r="J1280">
        <v>0</v>
      </c>
      <c r="K1280">
        <v>0</v>
      </c>
      <c r="L1280">
        <v>1</v>
      </c>
      <c r="M1280">
        <v>0</v>
      </c>
      <c r="N1280">
        <v>0</v>
      </c>
      <c r="O1280">
        <v>1</v>
      </c>
    </row>
    <row r="1281" spans="1:15" x14ac:dyDescent="0.25">
      <c r="A1281" t="s">
        <v>702</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703</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704</v>
      </c>
      <c r="B1287">
        <v>9</v>
      </c>
      <c r="C1287">
        <v>0</v>
      </c>
      <c r="D1287">
        <v>0</v>
      </c>
      <c r="E1287">
        <v>0</v>
      </c>
      <c r="F1287">
        <v>0</v>
      </c>
      <c r="G1287">
        <v>0</v>
      </c>
      <c r="H1287">
        <v>0</v>
      </c>
      <c r="J1287">
        <v>0</v>
      </c>
      <c r="K1287">
        <v>0</v>
      </c>
      <c r="M1287">
        <v>0</v>
      </c>
      <c r="N1287">
        <v>0</v>
      </c>
    </row>
    <row r="1288" spans="1:15" x14ac:dyDescent="0.25">
      <c r="A1288" t="s">
        <v>705</v>
      </c>
      <c r="B1288">
        <v>9</v>
      </c>
      <c r="C1288">
        <v>0</v>
      </c>
      <c r="D1288">
        <v>0</v>
      </c>
      <c r="E1288">
        <v>0</v>
      </c>
      <c r="F1288">
        <v>0</v>
      </c>
      <c r="G1288">
        <v>0</v>
      </c>
      <c r="H1288">
        <v>0</v>
      </c>
      <c r="J1288">
        <v>0</v>
      </c>
      <c r="K1288">
        <v>0</v>
      </c>
      <c r="M1288">
        <v>0</v>
      </c>
      <c r="N1288">
        <v>0</v>
      </c>
    </row>
    <row r="1289" spans="1:15" x14ac:dyDescent="0.25">
      <c r="A1289" t="s">
        <v>706</v>
      </c>
      <c r="B1289">
        <v>9</v>
      </c>
      <c r="C1289">
        <v>0</v>
      </c>
      <c r="D1289">
        <v>0</v>
      </c>
      <c r="E1289">
        <v>0</v>
      </c>
      <c r="F1289">
        <v>0</v>
      </c>
      <c r="G1289">
        <v>0</v>
      </c>
      <c r="H1289">
        <v>0</v>
      </c>
      <c r="J1289">
        <v>0</v>
      </c>
      <c r="K1289">
        <v>0</v>
      </c>
      <c r="M1289">
        <v>0</v>
      </c>
      <c r="N1289">
        <v>0</v>
      </c>
    </row>
    <row r="1290" spans="1:15" x14ac:dyDescent="0.25">
      <c r="A1290" t="s">
        <v>707</v>
      </c>
      <c r="B1290">
        <v>9</v>
      </c>
      <c r="C1290">
        <v>0</v>
      </c>
      <c r="D1290">
        <v>0</v>
      </c>
      <c r="E1290">
        <v>0</v>
      </c>
      <c r="F1290">
        <v>0</v>
      </c>
      <c r="G1290">
        <v>0</v>
      </c>
      <c r="H1290">
        <v>0</v>
      </c>
      <c r="J1290">
        <v>0</v>
      </c>
      <c r="K1290">
        <v>0</v>
      </c>
      <c r="M1290">
        <v>0</v>
      </c>
      <c r="N1290">
        <v>0</v>
      </c>
    </row>
    <row r="1291" spans="1:15" x14ac:dyDescent="0.25">
      <c r="A1291" t="s">
        <v>708</v>
      </c>
      <c r="B1291">
        <v>9</v>
      </c>
      <c r="C1291">
        <v>0</v>
      </c>
      <c r="D1291">
        <v>0</v>
      </c>
      <c r="E1291">
        <v>0</v>
      </c>
      <c r="F1291">
        <v>0</v>
      </c>
      <c r="G1291">
        <v>0</v>
      </c>
      <c r="H1291">
        <v>0</v>
      </c>
      <c r="J1291">
        <v>0</v>
      </c>
      <c r="K1291">
        <v>0</v>
      </c>
      <c r="M1291">
        <v>0</v>
      </c>
      <c r="N1291">
        <v>0</v>
      </c>
    </row>
    <row r="1292" spans="1:15" x14ac:dyDescent="0.25">
      <c r="A1292" t="s">
        <v>719</v>
      </c>
      <c r="B1292">
        <v>9</v>
      </c>
      <c r="D1292">
        <v>0</v>
      </c>
      <c r="G1292">
        <v>0</v>
      </c>
      <c r="K1292">
        <v>0</v>
      </c>
      <c r="N1292">
        <v>0</v>
      </c>
    </row>
    <row r="1293" spans="1:15" x14ac:dyDescent="0.25">
      <c r="A1293" t="s">
        <v>405</v>
      </c>
      <c r="B1293">
        <v>9</v>
      </c>
      <c r="D1293">
        <v>0</v>
      </c>
    </row>
    <row r="1294" spans="1:15" x14ac:dyDescent="0.25">
      <c r="A1294" t="s">
        <v>720</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695</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696</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697</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698</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699</v>
      </c>
      <c r="B1320">
        <v>11</v>
      </c>
      <c r="D1320">
        <v>0</v>
      </c>
      <c r="G1320">
        <v>0</v>
      </c>
      <c r="K1320">
        <v>0</v>
      </c>
      <c r="N1320">
        <v>0</v>
      </c>
    </row>
    <row r="1321" spans="1:15" x14ac:dyDescent="0.25">
      <c r="A1321" t="s">
        <v>678</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700</v>
      </c>
      <c r="B1323">
        <v>11</v>
      </c>
      <c r="E1323">
        <v>0</v>
      </c>
      <c r="H1323">
        <v>0</v>
      </c>
      <c r="L1323">
        <v>0</v>
      </c>
      <c r="O1323">
        <v>0</v>
      </c>
    </row>
    <row r="1324" spans="1:15" x14ac:dyDescent="0.25">
      <c r="A1324" t="s">
        <v>701</v>
      </c>
      <c r="B1324">
        <v>11</v>
      </c>
      <c r="C1324">
        <v>0</v>
      </c>
      <c r="D1324">
        <v>0</v>
      </c>
      <c r="E1324">
        <v>1</v>
      </c>
      <c r="F1324">
        <v>0</v>
      </c>
      <c r="G1324">
        <v>0</v>
      </c>
      <c r="H1324">
        <v>1</v>
      </c>
      <c r="J1324">
        <v>0</v>
      </c>
      <c r="K1324">
        <v>0</v>
      </c>
      <c r="L1324">
        <v>1</v>
      </c>
      <c r="M1324">
        <v>0</v>
      </c>
      <c r="N1324">
        <v>0</v>
      </c>
      <c r="O1324">
        <v>1</v>
      </c>
    </row>
    <row r="1325" spans="1:15" x14ac:dyDescent="0.25">
      <c r="A1325" t="s">
        <v>702</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703</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704</v>
      </c>
      <c r="B1331">
        <v>11</v>
      </c>
      <c r="C1331">
        <v>0</v>
      </c>
      <c r="D1331">
        <v>0</v>
      </c>
      <c r="F1331">
        <v>0</v>
      </c>
      <c r="G1331">
        <v>0</v>
      </c>
      <c r="J1331">
        <v>0</v>
      </c>
      <c r="K1331">
        <v>0</v>
      </c>
      <c r="M1331">
        <v>0</v>
      </c>
      <c r="N1331">
        <v>0</v>
      </c>
    </row>
    <row r="1332" spans="1:27" x14ac:dyDescent="0.25">
      <c r="A1332" t="s">
        <v>705</v>
      </c>
      <c r="B1332">
        <v>11</v>
      </c>
      <c r="C1332">
        <v>0</v>
      </c>
      <c r="D1332">
        <v>0</v>
      </c>
      <c r="F1332">
        <v>0</v>
      </c>
      <c r="G1332">
        <v>0</v>
      </c>
      <c r="J1332">
        <v>0</v>
      </c>
      <c r="K1332">
        <v>0</v>
      </c>
      <c r="M1332">
        <v>0</v>
      </c>
      <c r="N1332">
        <v>0</v>
      </c>
    </row>
    <row r="1333" spans="1:27" x14ac:dyDescent="0.25">
      <c r="A1333" t="s">
        <v>706</v>
      </c>
      <c r="B1333">
        <v>11</v>
      </c>
      <c r="C1333">
        <v>0</v>
      </c>
      <c r="D1333">
        <v>0</v>
      </c>
      <c r="F1333">
        <v>0</v>
      </c>
      <c r="G1333">
        <v>0</v>
      </c>
      <c r="J1333">
        <v>0</v>
      </c>
      <c r="K1333">
        <v>0</v>
      </c>
      <c r="M1333">
        <v>0</v>
      </c>
      <c r="N1333">
        <v>0</v>
      </c>
    </row>
    <row r="1334" spans="1:27" x14ac:dyDescent="0.25">
      <c r="A1334" t="s">
        <v>707</v>
      </c>
      <c r="B1334">
        <v>11</v>
      </c>
      <c r="C1334">
        <v>0</v>
      </c>
      <c r="D1334">
        <v>0</v>
      </c>
      <c r="F1334">
        <v>0</v>
      </c>
      <c r="G1334">
        <v>0</v>
      </c>
      <c r="J1334">
        <v>0</v>
      </c>
      <c r="K1334">
        <v>0</v>
      </c>
      <c r="M1334">
        <v>0</v>
      </c>
      <c r="N1334">
        <v>0</v>
      </c>
    </row>
    <row r="1335" spans="1:27" x14ac:dyDescent="0.25">
      <c r="A1335" t="s">
        <v>708</v>
      </c>
      <c r="B1335">
        <v>11</v>
      </c>
      <c r="C1335">
        <v>0</v>
      </c>
      <c r="D1335">
        <v>0</v>
      </c>
      <c r="F1335">
        <v>0</v>
      </c>
      <c r="G1335">
        <v>0</v>
      </c>
      <c r="J1335">
        <v>0</v>
      </c>
      <c r="K1335">
        <v>0</v>
      </c>
      <c r="M1335">
        <v>0</v>
      </c>
      <c r="N1335">
        <v>0</v>
      </c>
    </row>
    <row r="1336" spans="1:27" x14ac:dyDescent="0.25">
      <c r="A1336" t="s">
        <v>719</v>
      </c>
      <c r="B1336">
        <v>11</v>
      </c>
      <c r="D1336">
        <v>0</v>
      </c>
      <c r="G1336">
        <v>0</v>
      </c>
      <c r="K1336">
        <v>0</v>
      </c>
      <c r="N1336">
        <v>0</v>
      </c>
    </row>
    <row r="1337" spans="1:27" x14ac:dyDescent="0.25">
      <c r="A1337" t="s">
        <v>405</v>
      </c>
      <c r="B1337">
        <v>11</v>
      </c>
      <c r="D1337">
        <v>0</v>
      </c>
    </row>
    <row r="1338" spans="1:27" x14ac:dyDescent="0.25">
      <c r="A1338" t="s">
        <v>720</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695</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696</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698</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699</v>
      </c>
      <c r="B1365">
        <v>13</v>
      </c>
      <c r="Q1365">
        <v>0</v>
      </c>
      <c r="T1365">
        <v>0</v>
      </c>
      <c r="W1365">
        <v>0</v>
      </c>
      <c r="Z1365">
        <v>0</v>
      </c>
    </row>
    <row r="1366" spans="1:27" x14ac:dyDescent="0.25">
      <c r="A1366" t="s">
        <v>678</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700</v>
      </c>
      <c r="B1368">
        <v>13</v>
      </c>
      <c r="R1368">
        <v>0</v>
      </c>
      <c r="U1368">
        <v>0</v>
      </c>
      <c r="X1368">
        <v>0</v>
      </c>
      <c r="AA1368">
        <v>0</v>
      </c>
    </row>
    <row r="1369" spans="1:27" x14ac:dyDescent="0.25">
      <c r="A1369" t="s">
        <v>701</v>
      </c>
      <c r="B1369">
        <v>13</v>
      </c>
      <c r="P1369">
        <v>0</v>
      </c>
      <c r="Q1369">
        <v>0</v>
      </c>
      <c r="R1369">
        <v>1</v>
      </c>
      <c r="S1369">
        <v>0</v>
      </c>
      <c r="T1369">
        <v>0</v>
      </c>
      <c r="U1369">
        <v>1</v>
      </c>
      <c r="V1369">
        <v>0</v>
      </c>
      <c r="W1369">
        <v>0</v>
      </c>
      <c r="X1369">
        <v>1</v>
      </c>
      <c r="Y1369">
        <v>0</v>
      </c>
      <c r="Z1369">
        <v>0</v>
      </c>
      <c r="AA1369">
        <v>1</v>
      </c>
    </row>
    <row r="1370" spans="1:27" x14ac:dyDescent="0.25">
      <c r="A1370" t="s">
        <v>702</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703</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704</v>
      </c>
      <c r="B1376">
        <v>13</v>
      </c>
      <c r="P1376">
        <v>0</v>
      </c>
      <c r="Q1376">
        <v>0</v>
      </c>
      <c r="R1376">
        <v>0</v>
      </c>
      <c r="S1376">
        <v>0</v>
      </c>
      <c r="T1376">
        <v>0</v>
      </c>
      <c r="U1376">
        <v>0</v>
      </c>
      <c r="V1376">
        <v>0</v>
      </c>
      <c r="W1376">
        <v>0</v>
      </c>
      <c r="X1376">
        <v>0</v>
      </c>
      <c r="Y1376">
        <v>0</v>
      </c>
      <c r="Z1376">
        <v>0</v>
      </c>
    </row>
    <row r="1377" spans="1:28" x14ac:dyDescent="0.25">
      <c r="A1377" t="s">
        <v>705</v>
      </c>
      <c r="B1377">
        <v>13</v>
      </c>
      <c r="P1377">
        <v>0</v>
      </c>
      <c r="Q1377">
        <v>0</v>
      </c>
      <c r="R1377">
        <v>0</v>
      </c>
      <c r="S1377">
        <v>0</v>
      </c>
      <c r="T1377">
        <v>0</v>
      </c>
      <c r="U1377">
        <v>0</v>
      </c>
      <c r="V1377">
        <v>0</v>
      </c>
      <c r="W1377">
        <v>0</v>
      </c>
      <c r="X1377">
        <v>0</v>
      </c>
      <c r="Y1377">
        <v>0</v>
      </c>
      <c r="Z1377">
        <v>0</v>
      </c>
    </row>
    <row r="1378" spans="1:28" x14ac:dyDescent="0.25">
      <c r="A1378" t="s">
        <v>706</v>
      </c>
      <c r="B1378">
        <v>13</v>
      </c>
      <c r="P1378">
        <v>0</v>
      </c>
      <c r="Q1378">
        <v>0</v>
      </c>
      <c r="R1378">
        <v>0</v>
      </c>
      <c r="S1378">
        <v>0</v>
      </c>
      <c r="T1378">
        <v>0</v>
      </c>
      <c r="U1378">
        <v>0</v>
      </c>
      <c r="V1378">
        <v>0</v>
      </c>
      <c r="W1378">
        <v>0</v>
      </c>
      <c r="X1378">
        <v>0</v>
      </c>
      <c r="Y1378">
        <v>0</v>
      </c>
      <c r="Z1378">
        <v>0</v>
      </c>
    </row>
    <row r="1379" spans="1:28" x14ac:dyDescent="0.25">
      <c r="A1379" t="s">
        <v>707</v>
      </c>
      <c r="B1379">
        <v>13</v>
      </c>
      <c r="P1379">
        <v>0</v>
      </c>
      <c r="Q1379">
        <v>0</v>
      </c>
      <c r="R1379">
        <v>0</v>
      </c>
      <c r="S1379">
        <v>0</v>
      </c>
      <c r="T1379">
        <v>0</v>
      </c>
      <c r="U1379">
        <v>0</v>
      </c>
      <c r="V1379">
        <v>0</v>
      </c>
      <c r="W1379">
        <v>0</v>
      </c>
      <c r="X1379">
        <v>0</v>
      </c>
      <c r="Y1379">
        <v>0</v>
      </c>
      <c r="Z1379">
        <v>0</v>
      </c>
    </row>
    <row r="1380" spans="1:28" x14ac:dyDescent="0.25">
      <c r="A1380" t="s">
        <v>708</v>
      </c>
      <c r="B1380">
        <v>13</v>
      </c>
      <c r="P1380">
        <v>0</v>
      </c>
      <c r="Q1380">
        <v>0</v>
      </c>
      <c r="R1380">
        <v>0</v>
      </c>
      <c r="S1380">
        <v>0</v>
      </c>
      <c r="T1380">
        <v>0</v>
      </c>
      <c r="U1380">
        <v>0</v>
      </c>
      <c r="V1380">
        <v>0</v>
      </c>
      <c r="W1380">
        <v>0</v>
      </c>
      <c r="X1380">
        <v>0</v>
      </c>
      <c r="Y1380">
        <v>0</v>
      </c>
      <c r="Z1380">
        <v>0</v>
      </c>
    </row>
    <row r="1381" spans="1:28" x14ac:dyDescent="0.25">
      <c r="A1381" t="s">
        <v>719</v>
      </c>
      <c r="B1381">
        <v>13</v>
      </c>
      <c r="Q1381">
        <v>0</v>
      </c>
      <c r="T1381">
        <v>0</v>
      </c>
      <c r="W1381">
        <v>0</v>
      </c>
      <c r="Z1381">
        <v>0</v>
      </c>
    </row>
    <row r="1382" spans="1:28" x14ac:dyDescent="0.25">
      <c r="A1382" t="s">
        <v>405</v>
      </c>
      <c r="B1382">
        <v>13</v>
      </c>
      <c r="Q1382">
        <v>0</v>
      </c>
    </row>
    <row r="1383" spans="1:28" x14ac:dyDescent="0.25">
      <c r="A1383" t="s">
        <v>720</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695</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696</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698</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699</v>
      </c>
      <c r="B1410">
        <v>17</v>
      </c>
      <c r="J1410">
        <v>0</v>
      </c>
      <c r="T1410">
        <v>0</v>
      </c>
      <c r="W1410">
        <v>0</v>
      </c>
      <c r="Y1410">
        <v>0</v>
      </c>
    </row>
    <row r="1411" spans="1:28" x14ac:dyDescent="0.25">
      <c r="A1411" t="s">
        <v>678</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700</v>
      </c>
      <c r="B1413">
        <v>17</v>
      </c>
      <c r="L1413">
        <v>0</v>
      </c>
      <c r="U1413">
        <v>0</v>
      </c>
      <c r="X1413">
        <v>1</v>
      </c>
      <c r="AB1413">
        <v>0</v>
      </c>
    </row>
    <row r="1414" spans="1:28" x14ac:dyDescent="0.25">
      <c r="A1414" t="s">
        <v>721</v>
      </c>
      <c r="B1414">
        <v>17</v>
      </c>
      <c r="X1414">
        <v>50</v>
      </c>
    </row>
    <row r="1415" spans="1:28" x14ac:dyDescent="0.25">
      <c r="A1415" t="s">
        <v>722</v>
      </c>
      <c r="B1415">
        <v>17</v>
      </c>
      <c r="X1415">
        <v>0</v>
      </c>
    </row>
    <row r="1416" spans="1:28" x14ac:dyDescent="0.25">
      <c r="A1416" t="s">
        <v>701</v>
      </c>
      <c r="B1416">
        <v>17</v>
      </c>
      <c r="I1416">
        <v>0</v>
      </c>
      <c r="J1416">
        <v>0</v>
      </c>
      <c r="L1416">
        <v>1</v>
      </c>
      <c r="S1416">
        <v>0</v>
      </c>
      <c r="T1416">
        <v>0</v>
      </c>
      <c r="U1416">
        <v>1</v>
      </c>
      <c r="V1416">
        <v>0</v>
      </c>
      <c r="W1416">
        <v>0</v>
      </c>
      <c r="X1416">
        <v>1</v>
      </c>
      <c r="Y1416">
        <v>0</v>
      </c>
      <c r="AA1416">
        <v>1</v>
      </c>
      <c r="AB1416">
        <v>1</v>
      </c>
    </row>
    <row r="1417" spans="1:28" x14ac:dyDescent="0.25">
      <c r="A1417" t="s">
        <v>702</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703</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704</v>
      </c>
      <c r="B1423">
        <v>17</v>
      </c>
      <c r="I1423">
        <v>0</v>
      </c>
      <c r="J1423">
        <v>0</v>
      </c>
      <c r="L1423">
        <v>0</v>
      </c>
      <c r="S1423">
        <v>0</v>
      </c>
      <c r="T1423">
        <v>0</v>
      </c>
      <c r="U1423">
        <v>0</v>
      </c>
      <c r="V1423">
        <v>0</v>
      </c>
      <c r="W1423">
        <v>0</v>
      </c>
      <c r="Y1423">
        <v>0</v>
      </c>
      <c r="AA1423">
        <v>0</v>
      </c>
    </row>
    <row r="1424" spans="1:28" x14ac:dyDescent="0.25">
      <c r="A1424" t="s">
        <v>705</v>
      </c>
      <c r="B1424">
        <v>17</v>
      </c>
      <c r="I1424">
        <v>0</v>
      </c>
      <c r="J1424">
        <v>0</v>
      </c>
      <c r="L1424">
        <v>0</v>
      </c>
      <c r="S1424">
        <v>0</v>
      </c>
      <c r="T1424">
        <v>0</v>
      </c>
      <c r="U1424">
        <v>0</v>
      </c>
      <c r="V1424">
        <v>0</v>
      </c>
      <c r="W1424">
        <v>0</v>
      </c>
      <c r="Y1424">
        <v>0</v>
      </c>
      <c r="AA1424">
        <v>0</v>
      </c>
    </row>
    <row r="1425" spans="1:28" x14ac:dyDescent="0.25">
      <c r="A1425" t="s">
        <v>706</v>
      </c>
      <c r="B1425">
        <v>17</v>
      </c>
      <c r="I1425">
        <v>0</v>
      </c>
      <c r="J1425">
        <v>0</v>
      </c>
      <c r="L1425">
        <v>0</v>
      </c>
      <c r="S1425">
        <v>0</v>
      </c>
      <c r="T1425">
        <v>0</v>
      </c>
      <c r="U1425">
        <v>0</v>
      </c>
      <c r="V1425">
        <v>0</v>
      </c>
      <c r="W1425">
        <v>0</v>
      </c>
      <c r="Y1425">
        <v>0</v>
      </c>
      <c r="AA1425">
        <v>0</v>
      </c>
    </row>
    <row r="1426" spans="1:28" x14ac:dyDescent="0.25">
      <c r="A1426" t="s">
        <v>707</v>
      </c>
      <c r="B1426">
        <v>17</v>
      </c>
      <c r="I1426">
        <v>0</v>
      </c>
      <c r="J1426">
        <v>0</v>
      </c>
      <c r="L1426">
        <v>0</v>
      </c>
      <c r="S1426">
        <v>0</v>
      </c>
      <c r="T1426">
        <v>0</v>
      </c>
      <c r="U1426">
        <v>0</v>
      </c>
      <c r="V1426">
        <v>0</v>
      </c>
      <c r="W1426">
        <v>0</v>
      </c>
      <c r="Y1426">
        <v>0</v>
      </c>
      <c r="AA1426">
        <v>0</v>
      </c>
    </row>
    <row r="1427" spans="1:28" x14ac:dyDescent="0.25">
      <c r="A1427" t="s">
        <v>708</v>
      </c>
      <c r="B1427">
        <v>17</v>
      </c>
      <c r="I1427">
        <v>0</v>
      </c>
      <c r="J1427">
        <v>0</v>
      </c>
      <c r="L1427">
        <v>0</v>
      </c>
      <c r="S1427">
        <v>0</v>
      </c>
      <c r="T1427">
        <v>0</v>
      </c>
      <c r="U1427">
        <v>0</v>
      </c>
      <c r="V1427">
        <v>0</v>
      </c>
      <c r="W1427">
        <v>0</v>
      </c>
      <c r="Y1427">
        <v>0</v>
      </c>
      <c r="AA1427">
        <v>0</v>
      </c>
    </row>
    <row r="1428" spans="1:28" x14ac:dyDescent="0.25">
      <c r="A1428" t="s">
        <v>719</v>
      </c>
      <c r="B1428">
        <v>17</v>
      </c>
      <c r="J1428">
        <v>0</v>
      </c>
      <c r="T1428">
        <v>0</v>
      </c>
      <c r="W1428">
        <v>0</v>
      </c>
      <c r="Y1428">
        <v>0</v>
      </c>
    </row>
    <row r="1429" spans="1:28" x14ac:dyDescent="0.25">
      <c r="A1429" t="s">
        <v>405</v>
      </c>
      <c r="B1429">
        <v>17</v>
      </c>
      <c r="T1429">
        <v>0</v>
      </c>
    </row>
    <row r="1430" spans="1:28" x14ac:dyDescent="0.25">
      <c r="A1430" t="s">
        <v>720</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695</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696</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698</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699</v>
      </c>
      <c r="B1457">
        <v>21</v>
      </c>
      <c r="D1457">
        <v>0</v>
      </c>
      <c r="G1457">
        <v>0</v>
      </c>
      <c r="T1457">
        <v>0</v>
      </c>
      <c r="W1457">
        <v>0</v>
      </c>
    </row>
    <row r="1458" spans="1:24" x14ac:dyDescent="0.25">
      <c r="A1458" t="s">
        <v>678</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700</v>
      </c>
      <c r="B1460">
        <v>21</v>
      </c>
      <c r="E1460">
        <v>1</v>
      </c>
      <c r="H1460">
        <v>1</v>
      </c>
      <c r="U1460">
        <v>0</v>
      </c>
      <c r="X1460">
        <v>0</v>
      </c>
    </row>
    <row r="1461" spans="1:24" x14ac:dyDescent="0.25">
      <c r="A1461" t="s">
        <v>721</v>
      </c>
      <c r="B1461">
        <v>21</v>
      </c>
      <c r="E1461">
        <v>50</v>
      </c>
      <c r="H1461">
        <v>50</v>
      </c>
    </row>
    <row r="1462" spans="1:24" x14ac:dyDescent="0.25">
      <c r="A1462" t="s">
        <v>722</v>
      </c>
      <c r="B1462">
        <v>21</v>
      </c>
      <c r="E1462">
        <v>0</v>
      </c>
      <c r="H1462">
        <v>0</v>
      </c>
    </row>
    <row r="1463" spans="1:24" x14ac:dyDescent="0.25">
      <c r="A1463" t="s">
        <v>701</v>
      </c>
      <c r="B1463">
        <v>21</v>
      </c>
      <c r="C1463">
        <v>0</v>
      </c>
      <c r="D1463">
        <v>0</v>
      </c>
      <c r="E1463">
        <v>1</v>
      </c>
      <c r="F1463">
        <v>0</v>
      </c>
      <c r="G1463">
        <v>0</v>
      </c>
      <c r="H1463">
        <v>1</v>
      </c>
      <c r="S1463">
        <v>0</v>
      </c>
      <c r="T1463">
        <v>0</v>
      </c>
      <c r="U1463">
        <v>1</v>
      </c>
      <c r="V1463">
        <v>0</v>
      </c>
      <c r="W1463">
        <v>0</v>
      </c>
      <c r="X1463">
        <v>1</v>
      </c>
    </row>
    <row r="1464" spans="1:24" x14ac:dyDescent="0.25">
      <c r="A1464" t="s">
        <v>702</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703</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704</v>
      </c>
      <c r="B1470">
        <v>21</v>
      </c>
      <c r="C1470">
        <v>0</v>
      </c>
      <c r="D1470">
        <v>0</v>
      </c>
      <c r="E1470">
        <v>0</v>
      </c>
      <c r="F1470">
        <v>0</v>
      </c>
      <c r="G1470">
        <v>0</v>
      </c>
      <c r="H1470">
        <v>0</v>
      </c>
      <c r="S1470">
        <v>0</v>
      </c>
      <c r="T1470">
        <v>0</v>
      </c>
      <c r="U1470">
        <v>0</v>
      </c>
      <c r="V1470">
        <v>0</v>
      </c>
      <c r="W1470">
        <v>0</v>
      </c>
      <c r="X1470">
        <v>0</v>
      </c>
    </row>
    <row r="1471" spans="1:24" x14ac:dyDescent="0.25">
      <c r="A1471" t="s">
        <v>705</v>
      </c>
      <c r="B1471">
        <v>21</v>
      </c>
      <c r="C1471">
        <v>0</v>
      </c>
      <c r="D1471">
        <v>0</v>
      </c>
      <c r="E1471">
        <v>0</v>
      </c>
      <c r="F1471">
        <v>0</v>
      </c>
      <c r="G1471">
        <v>0</v>
      </c>
      <c r="H1471">
        <v>0</v>
      </c>
      <c r="S1471">
        <v>0</v>
      </c>
      <c r="T1471">
        <v>0</v>
      </c>
      <c r="U1471">
        <v>0</v>
      </c>
      <c r="V1471">
        <v>0</v>
      </c>
      <c r="W1471">
        <v>0</v>
      </c>
      <c r="X1471">
        <v>0</v>
      </c>
    </row>
    <row r="1472" spans="1:24" x14ac:dyDescent="0.25">
      <c r="A1472" t="s">
        <v>706</v>
      </c>
      <c r="B1472">
        <v>21</v>
      </c>
      <c r="C1472">
        <v>0</v>
      </c>
      <c r="D1472">
        <v>0</v>
      </c>
      <c r="E1472">
        <v>0</v>
      </c>
      <c r="F1472">
        <v>0</v>
      </c>
      <c r="G1472">
        <v>0</v>
      </c>
      <c r="H1472">
        <v>0</v>
      </c>
      <c r="S1472">
        <v>0</v>
      </c>
      <c r="T1472">
        <v>0</v>
      </c>
      <c r="U1472">
        <v>0</v>
      </c>
      <c r="V1472">
        <v>0</v>
      </c>
      <c r="W1472">
        <v>0</v>
      </c>
      <c r="X1472">
        <v>0</v>
      </c>
    </row>
    <row r="1473" spans="1:24" x14ac:dyDescent="0.25">
      <c r="A1473" t="s">
        <v>707</v>
      </c>
      <c r="B1473">
        <v>21</v>
      </c>
      <c r="C1473">
        <v>0</v>
      </c>
      <c r="D1473">
        <v>0</v>
      </c>
      <c r="E1473">
        <v>0</v>
      </c>
      <c r="F1473">
        <v>0</v>
      </c>
      <c r="G1473">
        <v>0</v>
      </c>
      <c r="H1473">
        <v>0</v>
      </c>
      <c r="S1473">
        <v>0</v>
      </c>
      <c r="T1473">
        <v>0</v>
      </c>
      <c r="U1473">
        <v>0</v>
      </c>
      <c r="V1473">
        <v>0</v>
      </c>
      <c r="W1473">
        <v>0</v>
      </c>
      <c r="X1473">
        <v>0</v>
      </c>
    </row>
    <row r="1474" spans="1:24" x14ac:dyDescent="0.25">
      <c r="A1474" t="s">
        <v>708</v>
      </c>
      <c r="B1474">
        <v>21</v>
      </c>
      <c r="C1474">
        <v>0</v>
      </c>
      <c r="D1474">
        <v>0</v>
      </c>
      <c r="E1474">
        <v>0</v>
      </c>
      <c r="F1474">
        <v>0</v>
      </c>
      <c r="G1474">
        <v>0</v>
      </c>
      <c r="H1474">
        <v>0</v>
      </c>
      <c r="S1474">
        <v>0</v>
      </c>
      <c r="T1474">
        <v>0</v>
      </c>
      <c r="U1474">
        <v>0</v>
      </c>
      <c r="V1474">
        <v>0</v>
      </c>
      <c r="W1474">
        <v>0</v>
      </c>
      <c r="X1474">
        <v>0</v>
      </c>
    </row>
    <row r="1475" spans="1:24" x14ac:dyDescent="0.25">
      <c r="A1475" t="s">
        <v>719</v>
      </c>
      <c r="B1475">
        <v>21</v>
      </c>
      <c r="D1475">
        <v>0</v>
      </c>
      <c r="G1475">
        <v>0</v>
      </c>
      <c r="T1475">
        <v>0</v>
      </c>
      <c r="W1475">
        <v>0</v>
      </c>
    </row>
    <row r="1476" spans="1:24" x14ac:dyDescent="0.25">
      <c r="A1476" t="s">
        <v>405</v>
      </c>
      <c r="B1476">
        <v>21</v>
      </c>
      <c r="D1476">
        <v>0</v>
      </c>
    </row>
    <row r="1477" spans="1:24" x14ac:dyDescent="0.25">
      <c r="A1477" t="s">
        <v>720</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695</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696</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697</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698</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699</v>
      </c>
      <c r="B1503">
        <v>25</v>
      </c>
      <c r="C1503">
        <v>0</v>
      </c>
      <c r="K1503">
        <v>0</v>
      </c>
      <c r="N1503">
        <v>0</v>
      </c>
    </row>
    <row r="1504" spans="1:14" x14ac:dyDescent="0.25">
      <c r="A1504" t="s">
        <v>678</v>
      </c>
      <c r="B1504">
        <v>25</v>
      </c>
      <c r="C1504">
        <v>656</v>
      </c>
      <c r="K1504">
        <v>3145</v>
      </c>
      <c r="N1504">
        <v>1028</v>
      </c>
    </row>
    <row r="1505" spans="1:14" x14ac:dyDescent="0.25">
      <c r="A1505" t="s">
        <v>78</v>
      </c>
      <c r="B1505">
        <v>25</v>
      </c>
      <c r="C1505">
        <v>14.9</v>
      </c>
      <c r="K1505">
        <v>47.7</v>
      </c>
      <c r="N1505">
        <v>15.6</v>
      </c>
    </row>
    <row r="1506" spans="1:14" x14ac:dyDescent="0.25">
      <c r="A1506" t="s">
        <v>700</v>
      </c>
      <c r="B1506">
        <v>25</v>
      </c>
      <c r="E1506">
        <v>0</v>
      </c>
      <c r="L1506">
        <v>0</v>
      </c>
      <c r="N1506">
        <v>0</v>
      </c>
    </row>
    <row r="1507" spans="1:14" x14ac:dyDescent="0.25">
      <c r="A1507" t="s">
        <v>701</v>
      </c>
      <c r="B1507">
        <v>25</v>
      </c>
      <c r="C1507">
        <v>0</v>
      </c>
      <c r="E1507">
        <v>1</v>
      </c>
      <c r="K1507">
        <v>0</v>
      </c>
      <c r="L1507">
        <v>1</v>
      </c>
      <c r="M1507">
        <v>0</v>
      </c>
      <c r="N1507">
        <v>0</v>
      </c>
    </row>
    <row r="1508" spans="1:14" x14ac:dyDescent="0.25">
      <c r="A1508" t="s">
        <v>702</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703</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704</v>
      </c>
      <c r="B1514">
        <v>25</v>
      </c>
      <c r="C1514">
        <v>0</v>
      </c>
      <c r="K1514">
        <v>0</v>
      </c>
      <c r="M1514">
        <v>0</v>
      </c>
      <c r="N1514">
        <v>0</v>
      </c>
    </row>
    <row r="1515" spans="1:14" x14ac:dyDescent="0.25">
      <c r="A1515" t="s">
        <v>705</v>
      </c>
      <c r="B1515">
        <v>25</v>
      </c>
      <c r="C1515">
        <v>0</v>
      </c>
      <c r="K1515">
        <v>0</v>
      </c>
      <c r="M1515">
        <v>0</v>
      </c>
      <c r="N1515">
        <v>0</v>
      </c>
    </row>
    <row r="1516" spans="1:14" x14ac:dyDescent="0.25">
      <c r="A1516" t="s">
        <v>706</v>
      </c>
      <c r="B1516">
        <v>25</v>
      </c>
      <c r="C1516">
        <v>0</v>
      </c>
      <c r="K1516">
        <v>0</v>
      </c>
      <c r="M1516">
        <v>0</v>
      </c>
      <c r="N1516">
        <v>0</v>
      </c>
    </row>
    <row r="1517" spans="1:14" x14ac:dyDescent="0.25">
      <c r="A1517" t="s">
        <v>707</v>
      </c>
      <c r="B1517">
        <v>25</v>
      </c>
      <c r="C1517">
        <v>0</v>
      </c>
      <c r="K1517">
        <v>0</v>
      </c>
      <c r="M1517">
        <v>0</v>
      </c>
      <c r="N1517">
        <v>0</v>
      </c>
    </row>
    <row r="1518" spans="1:14" x14ac:dyDescent="0.25">
      <c r="A1518" t="s">
        <v>708</v>
      </c>
      <c r="B1518">
        <v>25</v>
      </c>
      <c r="C1518">
        <v>1</v>
      </c>
      <c r="K1518">
        <v>2</v>
      </c>
      <c r="M1518">
        <v>1</v>
      </c>
      <c r="N1518">
        <v>2</v>
      </c>
    </row>
    <row r="1519" spans="1:14" x14ac:dyDescent="0.25">
      <c r="A1519" t="s">
        <v>709</v>
      </c>
      <c r="B1519">
        <v>25</v>
      </c>
      <c r="C1519">
        <v>0</v>
      </c>
      <c r="K1519">
        <v>0</v>
      </c>
      <c r="M1519">
        <v>0</v>
      </c>
      <c r="N1519">
        <v>0</v>
      </c>
    </row>
    <row r="1520" spans="1:14" x14ac:dyDescent="0.25">
      <c r="A1520" t="s">
        <v>710</v>
      </c>
      <c r="B1520">
        <v>25</v>
      </c>
      <c r="C1520">
        <v>20</v>
      </c>
      <c r="K1520">
        <v>6</v>
      </c>
      <c r="M1520">
        <v>20</v>
      </c>
      <c r="N1520">
        <v>6</v>
      </c>
    </row>
    <row r="1521" spans="1:24" x14ac:dyDescent="0.25">
      <c r="A1521" t="s">
        <v>711</v>
      </c>
      <c r="B1521">
        <v>25</v>
      </c>
      <c r="C1521">
        <v>3</v>
      </c>
      <c r="K1521">
        <v>3</v>
      </c>
      <c r="M1521">
        <v>3</v>
      </c>
      <c r="N1521">
        <v>3</v>
      </c>
    </row>
    <row r="1522" spans="1:24" x14ac:dyDescent="0.25">
      <c r="A1522" t="s">
        <v>712</v>
      </c>
      <c r="B1522">
        <v>25</v>
      </c>
      <c r="C1522">
        <v>0</v>
      </c>
      <c r="K1522">
        <v>0</v>
      </c>
      <c r="M1522">
        <v>0</v>
      </c>
      <c r="N1522">
        <v>0</v>
      </c>
    </row>
    <row r="1523" spans="1:24" x14ac:dyDescent="0.25">
      <c r="A1523" t="s">
        <v>713</v>
      </c>
      <c r="B1523">
        <v>25</v>
      </c>
      <c r="C1523">
        <v>0</v>
      </c>
      <c r="K1523">
        <v>0</v>
      </c>
      <c r="M1523">
        <v>0</v>
      </c>
      <c r="N1523">
        <v>0</v>
      </c>
    </row>
    <row r="1524" spans="1:24" x14ac:dyDescent="0.25">
      <c r="A1524" t="s">
        <v>714</v>
      </c>
      <c r="B1524">
        <v>25</v>
      </c>
      <c r="C1524">
        <v>0</v>
      </c>
      <c r="K1524">
        <v>0</v>
      </c>
      <c r="M1524">
        <v>0</v>
      </c>
      <c r="N1524">
        <v>0</v>
      </c>
    </row>
    <row r="1525" spans="1:24" x14ac:dyDescent="0.25">
      <c r="A1525" t="s">
        <v>715</v>
      </c>
      <c r="B1525">
        <v>25</v>
      </c>
      <c r="K1525">
        <v>94</v>
      </c>
      <c r="N1525">
        <v>94</v>
      </c>
    </row>
    <row r="1526" spans="1:24" x14ac:dyDescent="0.25">
      <c r="A1526" t="s">
        <v>716</v>
      </c>
      <c r="B1526">
        <v>25</v>
      </c>
      <c r="K1526">
        <v>6</v>
      </c>
      <c r="N1526">
        <v>6</v>
      </c>
    </row>
    <row r="1527" spans="1:24" x14ac:dyDescent="0.25">
      <c r="A1527" t="s">
        <v>717</v>
      </c>
      <c r="B1527">
        <v>25</v>
      </c>
      <c r="K1527">
        <v>3</v>
      </c>
      <c r="N1527">
        <v>3</v>
      </c>
    </row>
    <row r="1528" spans="1:24" x14ac:dyDescent="0.25">
      <c r="A1528" t="s">
        <v>718</v>
      </c>
      <c r="B1528">
        <v>25</v>
      </c>
      <c r="K1528">
        <v>0</v>
      </c>
      <c r="N1528">
        <v>0</v>
      </c>
    </row>
    <row r="1529" spans="1:24" x14ac:dyDescent="0.25">
      <c r="A1529" t="s">
        <v>719</v>
      </c>
      <c r="B1529">
        <v>25</v>
      </c>
      <c r="C1529">
        <v>0</v>
      </c>
      <c r="K1529">
        <v>0</v>
      </c>
      <c r="N1529">
        <v>0</v>
      </c>
    </row>
    <row r="1530" spans="1:24" x14ac:dyDescent="0.25">
      <c r="A1530" t="s">
        <v>405</v>
      </c>
      <c r="B1530">
        <v>25</v>
      </c>
      <c r="C1530">
        <v>0</v>
      </c>
    </row>
    <row r="1531" spans="1:24" x14ac:dyDescent="0.25">
      <c r="A1531" t="s">
        <v>720</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695</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696</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697</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698</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699</v>
      </c>
      <c r="B1558">
        <v>26</v>
      </c>
      <c r="P1558">
        <v>0</v>
      </c>
      <c r="T1558">
        <v>0</v>
      </c>
      <c r="W1558">
        <v>0</v>
      </c>
    </row>
    <row r="1559" spans="1:24" x14ac:dyDescent="0.25">
      <c r="A1559" t="s">
        <v>678</v>
      </c>
      <c r="B1559">
        <v>26</v>
      </c>
      <c r="P1559">
        <v>298</v>
      </c>
      <c r="T1559">
        <v>3236</v>
      </c>
      <c r="W1559">
        <v>1261</v>
      </c>
    </row>
    <row r="1560" spans="1:24" x14ac:dyDescent="0.25">
      <c r="A1560" t="s">
        <v>78</v>
      </c>
      <c r="B1560">
        <v>26</v>
      </c>
      <c r="P1560">
        <v>8.1</v>
      </c>
      <c r="T1560">
        <v>49</v>
      </c>
      <c r="W1560">
        <v>19.100000000000001</v>
      </c>
    </row>
    <row r="1561" spans="1:24" x14ac:dyDescent="0.25">
      <c r="A1561" t="s">
        <v>700</v>
      </c>
      <c r="B1561">
        <v>26</v>
      </c>
      <c r="R1561">
        <v>0</v>
      </c>
      <c r="T1561">
        <v>0</v>
      </c>
      <c r="X1561">
        <v>0</v>
      </c>
    </row>
    <row r="1562" spans="1:24" x14ac:dyDescent="0.25">
      <c r="A1562" t="s">
        <v>701</v>
      </c>
      <c r="B1562">
        <v>26</v>
      </c>
      <c r="P1562">
        <v>0</v>
      </c>
      <c r="R1562">
        <v>1</v>
      </c>
      <c r="S1562">
        <v>0</v>
      </c>
      <c r="T1562">
        <v>0</v>
      </c>
      <c r="W1562">
        <v>0</v>
      </c>
      <c r="X1562">
        <v>1</v>
      </c>
    </row>
    <row r="1563" spans="1:24" x14ac:dyDescent="0.25">
      <c r="A1563" t="s">
        <v>702</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703</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704</v>
      </c>
      <c r="B1569">
        <v>26</v>
      </c>
      <c r="P1569">
        <v>0</v>
      </c>
      <c r="R1569">
        <v>0</v>
      </c>
      <c r="S1569">
        <v>0</v>
      </c>
      <c r="T1569">
        <v>0</v>
      </c>
      <c r="W1569">
        <v>0</v>
      </c>
      <c r="X1569">
        <v>0</v>
      </c>
    </row>
    <row r="1570" spans="1:24" x14ac:dyDescent="0.25">
      <c r="A1570" t="s">
        <v>705</v>
      </c>
      <c r="B1570">
        <v>26</v>
      </c>
      <c r="P1570">
        <v>0</v>
      </c>
      <c r="R1570">
        <v>0</v>
      </c>
      <c r="S1570">
        <v>0</v>
      </c>
      <c r="T1570">
        <v>0</v>
      </c>
      <c r="W1570">
        <v>0</v>
      </c>
      <c r="X1570">
        <v>0</v>
      </c>
    </row>
    <row r="1571" spans="1:24" x14ac:dyDescent="0.25">
      <c r="A1571" t="s">
        <v>706</v>
      </c>
      <c r="B1571">
        <v>26</v>
      </c>
      <c r="P1571">
        <v>0</v>
      </c>
      <c r="R1571">
        <v>0</v>
      </c>
      <c r="S1571">
        <v>0</v>
      </c>
      <c r="T1571">
        <v>0</v>
      </c>
      <c r="W1571">
        <v>0</v>
      </c>
      <c r="X1571">
        <v>0</v>
      </c>
    </row>
    <row r="1572" spans="1:24" x14ac:dyDescent="0.25">
      <c r="A1572" t="s">
        <v>707</v>
      </c>
      <c r="B1572">
        <v>26</v>
      </c>
      <c r="P1572">
        <v>0</v>
      </c>
      <c r="R1572">
        <v>0</v>
      </c>
      <c r="S1572">
        <v>0</v>
      </c>
      <c r="T1572">
        <v>0</v>
      </c>
      <c r="W1572">
        <v>0</v>
      </c>
      <c r="X1572">
        <v>0</v>
      </c>
    </row>
    <row r="1573" spans="1:24" x14ac:dyDescent="0.25">
      <c r="A1573" t="s">
        <v>708</v>
      </c>
      <c r="B1573">
        <v>26</v>
      </c>
      <c r="P1573">
        <v>0</v>
      </c>
      <c r="R1573">
        <v>0</v>
      </c>
      <c r="S1573">
        <v>0</v>
      </c>
      <c r="T1573">
        <v>0</v>
      </c>
      <c r="W1573">
        <v>0</v>
      </c>
      <c r="X1573">
        <v>0</v>
      </c>
    </row>
    <row r="1574" spans="1:24" x14ac:dyDescent="0.25">
      <c r="A1574" t="s">
        <v>719</v>
      </c>
      <c r="B1574">
        <v>26</v>
      </c>
      <c r="P1574">
        <v>0</v>
      </c>
      <c r="T1574">
        <v>0</v>
      </c>
      <c r="W1574">
        <v>0</v>
      </c>
    </row>
    <row r="1575" spans="1:24" x14ac:dyDescent="0.25">
      <c r="A1575" t="s">
        <v>405</v>
      </c>
      <c r="B1575">
        <v>26</v>
      </c>
      <c r="P1575">
        <v>0</v>
      </c>
    </row>
    <row r="1576" spans="1:24" x14ac:dyDescent="0.25">
      <c r="A1576" t="s">
        <v>720</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695</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696</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697</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698</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699</v>
      </c>
      <c r="B1603">
        <v>27</v>
      </c>
      <c r="P1603">
        <v>0</v>
      </c>
      <c r="T1603">
        <v>0</v>
      </c>
      <c r="W1603">
        <v>0</v>
      </c>
    </row>
    <row r="1604" spans="1:24" x14ac:dyDescent="0.25">
      <c r="A1604" t="s">
        <v>678</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700</v>
      </c>
      <c r="B1606">
        <v>27</v>
      </c>
      <c r="R1606">
        <v>0</v>
      </c>
      <c r="T1606">
        <v>0</v>
      </c>
      <c r="X1606">
        <v>0</v>
      </c>
    </row>
    <row r="1607" spans="1:24" x14ac:dyDescent="0.25">
      <c r="A1607" t="s">
        <v>701</v>
      </c>
      <c r="B1607">
        <v>27</v>
      </c>
      <c r="P1607">
        <v>0</v>
      </c>
      <c r="R1607">
        <v>1</v>
      </c>
      <c r="S1607">
        <v>0</v>
      </c>
      <c r="T1607">
        <v>0</v>
      </c>
      <c r="W1607">
        <v>0</v>
      </c>
      <c r="X1607">
        <v>1</v>
      </c>
    </row>
    <row r="1608" spans="1:24" x14ac:dyDescent="0.25">
      <c r="A1608" t="s">
        <v>702</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703</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704</v>
      </c>
      <c r="B1614">
        <v>27</v>
      </c>
      <c r="P1614">
        <v>0</v>
      </c>
      <c r="R1614">
        <v>0</v>
      </c>
      <c r="S1614">
        <v>0</v>
      </c>
      <c r="T1614">
        <v>0</v>
      </c>
      <c r="W1614">
        <v>0</v>
      </c>
      <c r="X1614">
        <v>0</v>
      </c>
    </row>
    <row r="1615" spans="1:24" x14ac:dyDescent="0.25">
      <c r="A1615" t="s">
        <v>705</v>
      </c>
      <c r="B1615">
        <v>27</v>
      </c>
      <c r="P1615">
        <v>0</v>
      </c>
      <c r="R1615">
        <v>0</v>
      </c>
      <c r="S1615">
        <v>0</v>
      </c>
      <c r="T1615">
        <v>0</v>
      </c>
      <c r="W1615">
        <v>0</v>
      </c>
      <c r="X1615">
        <v>0</v>
      </c>
    </row>
    <row r="1616" spans="1:24" x14ac:dyDescent="0.25">
      <c r="A1616" t="s">
        <v>706</v>
      </c>
      <c r="B1616">
        <v>27</v>
      </c>
      <c r="P1616">
        <v>0</v>
      </c>
      <c r="R1616">
        <v>0</v>
      </c>
      <c r="S1616">
        <v>0</v>
      </c>
      <c r="T1616">
        <v>0</v>
      </c>
      <c r="W1616">
        <v>0</v>
      </c>
      <c r="X1616">
        <v>0</v>
      </c>
    </row>
    <row r="1617" spans="1:24" x14ac:dyDescent="0.25">
      <c r="A1617" t="s">
        <v>707</v>
      </c>
      <c r="B1617">
        <v>27</v>
      </c>
      <c r="P1617">
        <v>0</v>
      </c>
      <c r="R1617">
        <v>0</v>
      </c>
      <c r="S1617">
        <v>0</v>
      </c>
      <c r="T1617">
        <v>0</v>
      </c>
      <c r="W1617">
        <v>0</v>
      </c>
      <c r="X1617">
        <v>0</v>
      </c>
    </row>
    <row r="1618" spans="1:24" x14ac:dyDescent="0.25">
      <c r="A1618" t="s">
        <v>708</v>
      </c>
      <c r="B1618">
        <v>27</v>
      </c>
      <c r="P1618">
        <v>0</v>
      </c>
      <c r="R1618">
        <v>0</v>
      </c>
      <c r="S1618">
        <v>0</v>
      </c>
      <c r="T1618">
        <v>0</v>
      </c>
      <c r="W1618">
        <v>0</v>
      </c>
      <c r="X1618">
        <v>0</v>
      </c>
    </row>
    <row r="1619" spans="1:24" x14ac:dyDescent="0.25">
      <c r="A1619" t="s">
        <v>719</v>
      </c>
      <c r="B1619">
        <v>27</v>
      </c>
      <c r="P1619">
        <v>0</v>
      </c>
      <c r="T1619">
        <v>0</v>
      </c>
      <c r="W1619">
        <v>0</v>
      </c>
    </row>
    <row r="1620" spans="1:24" x14ac:dyDescent="0.25">
      <c r="A1620" t="s">
        <v>405</v>
      </c>
      <c r="B1620">
        <v>27</v>
      </c>
      <c r="P1620">
        <v>0</v>
      </c>
    </row>
    <row r="1621" spans="1:24" x14ac:dyDescent="0.25">
      <c r="A1621" t="s">
        <v>720</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695</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696</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697</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698</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699</v>
      </c>
      <c r="B1648">
        <v>28</v>
      </c>
      <c r="P1648">
        <v>0</v>
      </c>
      <c r="T1648">
        <v>0</v>
      </c>
      <c r="W1648">
        <v>0</v>
      </c>
    </row>
    <row r="1649" spans="1:24" x14ac:dyDescent="0.25">
      <c r="A1649" t="s">
        <v>678</v>
      </c>
      <c r="B1649">
        <v>28</v>
      </c>
      <c r="P1649">
        <v>274</v>
      </c>
      <c r="T1649">
        <v>1161</v>
      </c>
      <c r="W1649">
        <v>3236</v>
      </c>
    </row>
    <row r="1650" spans="1:24" x14ac:dyDescent="0.25">
      <c r="A1650" t="s">
        <v>78</v>
      </c>
      <c r="B1650">
        <v>28</v>
      </c>
      <c r="P1650">
        <v>7.5</v>
      </c>
      <c r="T1650">
        <v>17.600000000000001</v>
      </c>
      <c r="W1650">
        <v>49</v>
      </c>
    </row>
    <row r="1651" spans="1:24" x14ac:dyDescent="0.25">
      <c r="A1651" t="s">
        <v>700</v>
      </c>
      <c r="B1651">
        <v>28</v>
      </c>
      <c r="R1651">
        <v>0</v>
      </c>
      <c r="T1651">
        <v>0</v>
      </c>
      <c r="X1651">
        <v>0</v>
      </c>
    </row>
    <row r="1652" spans="1:24" x14ac:dyDescent="0.25">
      <c r="A1652" t="s">
        <v>701</v>
      </c>
      <c r="B1652">
        <v>28</v>
      </c>
      <c r="P1652">
        <v>0</v>
      </c>
      <c r="R1652">
        <v>1</v>
      </c>
      <c r="S1652">
        <v>0</v>
      </c>
      <c r="T1652">
        <v>0</v>
      </c>
      <c r="W1652">
        <v>0</v>
      </c>
      <c r="X1652">
        <v>1</v>
      </c>
    </row>
    <row r="1653" spans="1:24" x14ac:dyDescent="0.25">
      <c r="A1653" t="s">
        <v>702</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703</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704</v>
      </c>
      <c r="B1659">
        <v>28</v>
      </c>
      <c r="P1659">
        <v>0</v>
      </c>
      <c r="R1659">
        <v>0</v>
      </c>
      <c r="S1659">
        <v>0</v>
      </c>
      <c r="T1659">
        <v>0</v>
      </c>
      <c r="W1659">
        <v>0</v>
      </c>
      <c r="X1659">
        <v>0</v>
      </c>
    </row>
    <row r="1660" spans="1:24" x14ac:dyDescent="0.25">
      <c r="A1660" t="s">
        <v>705</v>
      </c>
      <c r="B1660">
        <v>28</v>
      </c>
      <c r="P1660">
        <v>0</v>
      </c>
      <c r="R1660">
        <v>0</v>
      </c>
      <c r="S1660">
        <v>0</v>
      </c>
      <c r="T1660">
        <v>0</v>
      </c>
      <c r="W1660">
        <v>0</v>
      </c>
      <c r="X1660">
        <v>0</v>
      </c>
    </row>
    <row r="1661" spans="1:24" x14ac:dyDescent="0.25">
      <c r="A1661" t="s">
        <v>706</v>
      </c>
      <c r="B1661">
        <v>28</v>
      </c>
      <c r="P1661">
        <v>0</v>
      </c>
      <c r="R1661">
        <v>0</v>
      </c>
      <c r="S1661">
        <v>0</v>
      </c>
      <c r="T1661">
        <v>0</v>
      </c>
      <c r="W1661">
        <v>0</v>
      </c>
      <c r="X1661">
        <v>0</v>
      </c>
    </row>
    <row r="1662" spans="1:24" x14ac:dyDescent="0.25">
      <c r="A1662" t="s">
        <v>707</v>
      </c>
      <c r="B1662">
        <v>28</v>
      </c>
      <c r="P1662">
        <v>0</v>
      </c>
      <c r="R1662">
        <v>0</v>
      </c>
      <c r="S1662">
        <v>0</v>
      </c>
      <c r="T1662">
        <v>0</v>
      </c>
      <c r="W1662">
        <v>0</v>
      </c>
      <c r="X1662">
        <v>0</v>
      </c>
    </row>
    <row r="1663" spans="1:24" x14ac:dyDescent="0.25">
      <c r="A1663" t="s">
        <v>708</v>
      </c>
      <c r="B1663">
        <v>28</v>
      </c>
      <c r="P1663">
        <v>0</v>
      </c>
      <c r="R1663">
        <v>0</v>
      </c>
      <c r="S1663">
        <v>0</v>
      </c>
      <c r="T1663">
        <v>0</v>
      </c>
      <c r="W1663">
        <v>0</v>
      </c>
      <c r="X1663">
        <v>0</v>
      </c>
    </row>
    <row r="1664" spans="1:24" x14ac:dyDescent="0.25">
      <c r="A1664" t="s">
        <v>719</v>
      </c>
      <c r="B1664">
        <v>28</v>
      </c>
      <c r="P1664">
        <v>0</v>
      </c>
      <c r="T1664">
        <v>0</v>
      </c>
      <c r="W1664">
        <v>0</v>
      </c>
    </row>
    <row r="1665" spans="1:24" x14ac:dyDescent="0.25">
      <c r="A1665" t="s">
        <v>405</v>
      </c>
      <c r="B1665">
        <v>28</v>
      </c>
      <c r="P1665">
        <v>0</v>
      </c>
    </row>
    <row r="1666" spans="1:24" x14ac:dyDescent="0.25">
      <c r="A1666" t="s">
        <v>720</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695</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696</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697</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698</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699</v>
      </c>
      <c r="B1693">
        <v>31</v>
      </c>
      <c r="P1693">
        <v>0</v>
      </c>
      <c r="T1693">
        <v>0</v>
      </c>
      <c r="W1693">
        <v>0</v>
      </c>
    </row>
    <row r="1694" spans="1:24" x14ac:dyDescent="0.25">
      <c r="A1694" t="s">
        <v>678</v>
      </c>
      <c r="B1694">
        <v>31</v>
      </c>
      <c r="P1694">
        <v>456</v>
      </c>
      <c r="T1694">
        <v>2453</v>
      </c>
      <c r="W1694">
        <v>2608</v>
      </c>
    </row>
    <row r="1695" spans="1:24" x14ac:dyDescent="0.25">
      <c r="A1695" t="s">
        <v>78</v>
      </c>
      <c r="B1695">
        <v>31</v>
      </c>
      <c r="P1695">
        <v>12.4</v>
      </c>
      <c r="T1695">
        <v>37.200000000000003</v>
      </c>
      <c r="W1695">
        <v>39.5</v>
      </c>
    </row>
    <row r="1696" spans="1:24" x14ac:dyDescent="0.25">
      <c r="A1696" t="s">
        <v>700</v>
      </c>
      <c r="B1696">
        <v>31</v>
      </c>
      <c r="R1696">
        <v>0</v>
      </c>
      <c r="T1696">
        <v>0</v>
      </c>
      <c r="X1696">
        <v>0</v>
      </c>
    </row>
    <row r="1697" spans="1:24" x14ac:dyDescent="0.25">
      <c r="A1697" t="s">
        <v>701</v>
      </c>
      <c r="B1697">
        <v>31</v>
      </c>
      <c r="P1697">
        <v>0</v>
      </c>
      <c r="R1697">
        <v>1</v>
      </c>
      <c r="S1697">
        <v>0</v>
      </c>
      <c r="T1697">
        <v>0</v>
      </c>
      <c r="W1697">
        <v>0</v>
      </c>
      <c r="X1697">
        <v>1</v>
      </c>
    </row>
    <row r="1698" spans="1:24" x14ac:dyDescent="0.25">
      <c r="A1698" t="s">
        <v>702</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703</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704</v>
      </c>
      <c r="B1704">
        <v>31</v>
      </c>
      <c r="P1704">
        <v>0</v>
      </c>
      <c r="R1704">
        <v>0</v>
      </c>
      <c r="S1704">
        <v>0</v>
      </c>
      <c r="T1704">
        <v>0</v>
      </c>
      <c r="W1704">
        <v>0</v>
      </c>
      <c r="X1704">
        <v>0</v>
      </c>
    </row>
    <row r="1705" spans="1:24" x14ac:dyDescent="0.25">
      <c r="A1705" t="s">
        <v>705</v>
      </c>
      <c r="B1705">
        <v>31</v>
      </c>
      <c r="P1705">
        <v>0</v>
      </c>
      <c r="R1705">
        <v>0</v>
      </c>
      <c r="S1705">
        <v>0</v>
      </c>
      <c r="T1705">
        <v>0</v>
      </c>
      <c r="W1705">
        <v>0</v>
      </c>
      <c r="X1705">
        <v>0</v>
      </c>
    </row>
    <row r="1706" spans="1:24" x14ac:dyDescent="0.25">
      <c r="A1706" t="s">
        <v>706</v>
      </c>
      <c r="B1706">
        <v>31</v>
      </c>
      <c r="P1706">
        <v>0</v>
      </c>
      <c r="R1706">
        <v>0</v>
      </c>
      <c r="S1706">
        <v>0</v>
      </c>
      <c r="T1706">
        <v>0</v>
      </c>
      <c r="W1706">
        <v>0</v>
      </c>
      <c r="X1706">
        <v>0</v>
      </c>
    </row>
    <row r="1707" spans="1:24" x14ac:dyDescent="0.25">
      <c r="A1707" t="s">
        <v>707</v>
      </c>
      <c r="B1707">
        <v>31</v>
      </c>
      <c r="P1707">
        <v>0</v>
      </c>
      <c r="R1707">
        <v>0</v>
      </c>
      <c r="S1707">
        <v>0</v>
      </c>
      <c r="T1707">
        <v>0</v>
      </c>
      <c r="W1707">
        <v>0</v>
      </c>
      <c r="X1707">
        <v>0</v>
      </c>
    </row>
    <row r="1708" spans="1:24" x14ac:dyDescent="0.25">
      <c r="A1708" t="s">
        <v>708</v>
      </c>
      <c r="B1708">
        <v>31</v>
      </c>
      <c r="P1708">
        <v>1</v>
      </c>
      <c r="R1708">
        <v>1</v>
      </c>
      <c r="S1708">
        <v>1</v>
      </c>
      <c r="T1708">
        <v>2</v>
      </c>
      <c r="W1708">
        <v>2</v>
      </c>
      <c r="X1708">
        <v>1</v>
      </c>
    </row>
    <row r="1709" spans="1:24" x14ac:dyDescent="0.25">
      <c r="A1709" t="s">
        <v>709</v>
      </c>
      <c r="B1709">
        <v>31</v>
      </c>
      <c r="P1709">
        <v>0</v>
      </c>
      <c r="R1709">
        <v>0</v>
      </c>
      <c r="S1709">
        <v>0</v>
      </c>
      <c r="T1709">
        <v>0</v>
      </c>
      <c r="W1709">
        <v>0</v>
      </c>
      <c r="X1709">
        <v>0</v>
      </c>
    </row>
    <row r="1710" spans="1:24" x14ac:dyDescent="0.25">
      <c r="A1710" t="s">
        <v>710</v>
      </c>
      <c r="B1710">
        <v>31</v>
      </c>
      <c r="P1710">
        <v>20</v>
      </c>
      <c r="R1710">
        <v>20</v>
      </c>
      <c r="S1710">
        <v>20</v>
      </c>
      <c r="T1710">
        <v>6</v>
      </c>
      <c r="W1710">
        <v>6</v>
      </c>
      <c r="X1710">
        <v>20</v>
      </c>
    </row>
    <row r="1711" spans="1:24" x14ac:dyDescent="0.25">
      <c r="A1711" t="s">
        <v>711</v>
      </c>
      <c r="B1711">
        <v>31</v>
      </c>
      <c r="P1711">
        <v>3</v>
      </c>
      <c r="R1711">
        <v>3</v>
      </c>
      <c r="S1711">
        <v>3</v>
      </c>
      <c r="T1711">
        <v>3</v>
      </c>
      <c r="W1711">
        <v>3</v>
      </c>
      <c r="X1711">
        <v>3</v>
      </c>
    </row>
    <row r="1712" spans="1:24" x14ac:dyDescent="0.25">
      <c r="A1712" t="s">
        <v>712</v>
      </c>
      <c r="B1712">
        <v>31</v>
      </c>
      <c r="P1712">
        <v>0</v>
      </c>
      <c r="R1712">
        <v>0</v>
      </c>
      <c r="S1712">
        <v>0</v>
      </c>
      <c r="T1712">
        <v>0</v>
      </c>
      <c r="W1712">
        <v>0</v>
      </c>
      <c r="X1712">
        <v>0</v>
      </c>
    </row>
    <row r="1713" spans="1:24" x14ac:dyDescent="0.25">
      <c r="A1713" t="s">
        <v>713</v>
      </c>
      <c r="B1713">
        <v>31</v>
      </c>
      <c r="P1713">
        <v>0</v>
      </c>
      <c r="R1713">
        <v>0</v>
      </c>
      <c r="S1713">
        <v>0</v>
      </c>
      <c r="T1713">
        <v>0</v>
      </c>
      <c r="W1713">
        <v>0</v>
      </c>
      <c r="X1713">
        <v>0</v>
      </c>
    </row>
    <row r="1714" spans="1:24" x14ac:dyDescent="0.25">
      <c r="A1714" t="s">
        <v>714</v>
      </c>
      <c r="B1714">
        <v>31</v>
      </c>
      <c r="P1714">
        <v>0</v>
      </c>
      <c r="R1714">
        <v>0</v>
      </c>
      <c r="S1714">
        <v>0</v>
      </c>
      <c r="T1714">
        <v>0</v>
      </c>
      <c r="W1714">
        <v>0</v>
      </c>
      <c r="X1714">
        <v>0</v>
      </c>
    </row>
    <row r="1715" spans="1:24" x14ac:dyDescent="0.25">
      <c r="A1715" t="s">
        <v>715</v>
      </c>
      <c r="B1715">
        <v>31</v>
      </c>
      <c r="T1715">
        <v>94</v>
      </c>
      <c r="W1715">
        <v>94</v>
      </c>
    </row>
    <row r="1716" spans="1:24" x14ac:dyDescent="0.25">
      <c r="A1716" t="s">
        <v>716</v>
      </c>
      <c r="B1716">
        <v>31</v>
      </c>
      <c r="T1716">
        <v>6</v>
      </c>
      <c r="W1716">
        <v>6</v>
      </c>
    </row>
    <row r="1717" spans="1:24" x14ac:dyDescent="0.25">
      <c r="A1717" t="s">
        <v>717</v>
      </c>
      <c r="B1717">
        <v>31</v>
      </c>
      <c r="T1717">
        <v>3</v>
      </c>
      <c r="W1717">
        <v>3</v>
      </c>
    </row>
    <row r="1718" spans="1:24" x14ac:dyDescent="0.25">
      <c r="A1718" t="s">
        <v>718</v>
      </c>
      <c r="B1718">
        <v>31</v>
      </c>
      <c r="T1718">
        <v>0</v>
      </c>
      <c r="W1718">
        <v>0</v>
      </c>
    </row>
    <row r="1719" spans="1:24" x14ac:dyDescent="0.25">
      <c r="A1719" t="s">
        <v>719</v>
      </c>
      <c r="B1719">
        <v>31</v>
      </c>
      <c r="P1719">
        <v>0</v>
      </c>
      <c r="T1719">
        <v>0</v>
      </c>
      <c r="W1719">
        <v>0</v>
      </c>
    </row>
    <row r="1720" spans="1:24" x14ac:dyDescent="0.25">
      <c r="A1720" t="s">
        <v>405</v>
      </c>
      <c r="B1720">
        <v>31</v>
      </c>
      <c r="P1720">
        <v>0</v>
      </c>
    </row>
    <row r="1721" spans="1:24" x14ac:dyDescent="0.25">
      <c r="A1721" t="s">
        <v>720</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695</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696</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697</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698</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699</v>
      </c>
      <c r="B1748">
        <v>33</v>
      </c>
      <c r="P1748">
        <v>0</v>
      </c>
      <c r="T1748">
        <v>0</v>
      </c>
      <c r="W1748">
        <v>0</v>
      </c>
    </row>
    <row r="1749" spans="1:24" x14ac:dyDescent="0.25">
      <c r="A1749" t="s">
        <v>678</v>
      </c>
      <c r="B1749">
        <v>33</v>
      </c>
      <c r="P1749">
        <v>375</v>
      </c>
      <c r="T1749">
        <v>2608</v>
      </c>
      <c r="W1749">
        <v>1440</v>
      </c>
    </row>
    <row r="1750" spans="1:24" x14ac:dyDescent="0.25">
      <c r="A1750" t="s">
        <v>78</v>
      </c>
      <c r="B1750">
        <v>33</v>
      </c>
      <c r="P1750">
        <v>10.199999999999999</v>
      </c>
      <c r="T1750">
        <v>39.5</v>
      </c>
      <c r="W1750">
        <v>21.8</v>
      </c>
    </row>
    <row r="1751" spans="1:24" x14ac:dyDescent="0.25">
      <c r="A1751" t="s">
        <v>700</v>
      </c>
      <c r="B1751">
        <v>33</v>
      </c>
      <c r="R1751">
        <v>0</v>
      </c>
      <c r="T1751">
        <v>0</v>
      </c>
      <c r="X1751">
        <v>0</v>
      </c>
    </row>
    <row r="1752" spans="1:24" x14ac:dyDescent="0.25">
      <c r="A1752" t="s">
        <v>701</v>
      </c>
      <c r="B1752">
        <v>33</v>
      </c>
      <c r="P1752">
        <v>0</v>
      </c>
      <c r="R1752">
        <v>1</v>
      </c>
      <c r="S1752">
        <v>0</v>
      </c>
      <c r="T1752">
        <v>0</v>
      </c>
      <c r="W1752">
        <v>0</v>
      </c>
      <c r="X1752">
        <v>1</v>
      </c>
    </row>
    <row r="1753" spans="1:24" x14ac:dyDescent="0.25">
      <c r="A1753" t="s">
        <v>702</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703</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704</v>
      </c>
      <c r="B1759">
        <v>33</v>
      </c>
      <c r="P1759">
        <v>0</v>
      </c>
      <c r="R1759">
        <v>0</v>
      </c>
      <c r="S1759">
        <v>0</v>
      </c>
      <c r="T1759">
        <v>0</v>
      </c>
      <c r="W1759">
        <v>0</v>
      </c>
      <c r="X1759">
        <v>0</v>
      </c>
    </row>
    <row r="1760" spans="1:24" x14ac:dyDescent="0.25">
      <c r="A1760" t="s">
        <v>705</v>
      </c>
      <c r="B1760">
        <v>33</v>
      </c>
      <c r="P1760">
        <v>0</v>
      </c>
      <c r="R1760">
        <v>0</v>
      </c>
      <c r="S1760">
        <v>0</v>
      </c>
      <c r="T1760">
        <v>0</v>
      </c>
      <c r="W1760">
        <v>0</v>
      </c>
      <c r="X1760">
        <v>0</v>
      </c>
    </row>
    <row r="1761" spans="1:24" x14ac:dyDescent="0.25">
      <c r="A1761" t="s">
        <v>706</v>
      </c>
      <c r="B1761">
        <v>33</v>
      </c>
      <c r="P1761">
        <v>0</v>
      </c>
      <c r="R1761">
        <v>0</v>
      </c>
      <c r="S1761">
        <v>0</v>
      </c>
      <c r="T1761">
        <v>0</v>
      </c>
      <c r="W1761">
        <v>0</v>
      </c>
      <c r="X1761">
        <v>0</v>
      </c>
    </row>
    <row r="1762" spans="1:24" x14ac:dyDescent="0.25">
      <c r="A1762" t="s">
        <v>707</v>
      </c>
      <c r="B1762">
        <v>33</v>
      </c>
      <c r="P1762">
        <v>0</v>
      </c>
      <c r="R1762">
        <v>0</v>
      </c>
      <c r="S1762">
        <v>0</v>
      </c>
      <c r="T1762">
        <v>0</v>
      </c>
      <c r="W1762">
        <v>0</v>
      </c>
      <c r="X1762">
        <v>0</v>
      </c>
    </row>
    <row r="1763" spans="1:24" x14ac:dyDescent="0.25">
      <c r="A1763" t="s">
        <v>708</v>
      </c>
      <c r="B1763">
        <v>33</v>
      </c>
      <c r="P1763">
        <v>1</v>
      </c>
      <c r="R1763">
        <v>1</v>
      </c>
      <c r="S1763">
        <v>1</v>
      </c>
      <c r="T1763">
        <v>2</v>
      </c>
      <c r="W1763">
        <v>2</v>
      </c>
      <c r="X1763">
        <v>1</v>
      </c>
    </row>
    <row r="1764" spans="1:24" x14ac:dyDescent="0.25">
      <c r="A1764" t="s">
        <v>709</v>
      </c>
      <c r="B1764">
        <v>33</v>
      </c>
      <c r="P1764">
        <v>0</v>
      </c>
      <c r="R1764">
        <v>0</v>
      </c>
      <c r="S1764">
        <v>0</v>
      </c>
      <c r="T1764">
        <v>0</v>
      </c>
      <c r="W1764">
        <v>0</v>
      </c>
      <c r="X1764">
        <v>0</v>
      </c>
    </row>
    <row r="1765" spans="1:24" x14ac:dyDescent="0.25">
      <c r="A1765" t="s">
        <v>710</v>
      </c>
      <c r="B1765">
        <v>33</v>
      </c>
      <c r="P1765">
        <v>20</v>
      </c>
      <c r="R1765">
        <v>20</v>
      </c>
      <c r="S1765">
        <v>20</v>
      </c>
      <c r="T1765">
        <v>6</v>
      </c>
      <c r="W1765">
        <v>6</v>
      </c>
      <c r="X1765">
        <v>20</v>
      </c>
    </row>
    <row r="1766" spans="1:24" x14ac:dyDescent="0.25">
      <c r="A1766" t="s">
        <v>711</v>
      </c>
      <c r="B1766">
        <v>33</v>
      </c>
      <c r="P1766">
        <v>3</v>
      </c>
      <c r="R1766">
        <v>3</v>
      </c>
      <c r="S1766">
        <v>3</v>
      </c>
      <c r="T1766">
        <v>3</v>
      </c>
      <c r="W1766">
        <v>3</v>
      </c>
      <c r="X1766">
        <v>3</v>
      </c>
    </row>
    <row r="1767" spans="1:24" x14ac:dyDescent="0.25">
      <c r="A1767" t="s">
        <v>712</v>
      </c>
      <c r="B1767">
        <v>33</v>
      </c>
      <c r="P1767">
        <v>0</v>
      </c>
      <c r="R1767">
        <v>0</v>
      </c>
      <c r="S1767">
        <v>0</v>
      </c>
      <c r="T1767">
        <v>0</v>
      </c>
      <c r="W1767">
        <v>0</v>
      </c>
      <c r="X1767">
        <v>0</v>
      </c>
    </row>
    <row r="1768" spans="1:24" x14ac:dyDescent="0.25">
      <c r="A1768" t="s">
        <v>713</v>
      </c>
      <c r="B1768">
        <v>33</v>
      </c>
      <c r="P1768">
        <v>0</v>
      </c>
      <c r="R1768">
        <v>0</v>
      </c>
      <c r="S1768">
        <v>0</v>
      </c>
      <c r="T1768">
        <v>0</v>
      </c>
      <c r="W1768">
        <v>0</v>
      </c>
      <c r="X1768">
        <v>0</v>
      </c>
    </row>
    <row r="1769" spans="1:24" x14ac:dyDescent="0.25">
      <c r="A1769" t="s">
        <v>714</v>
      </c>
      <c r="B1769">
        <v>33</v>
      </c>
      <c r="P1769">
        <v>0</v>
      </c>
      <c r="R1769">
        <v>0</v>
      </c>
      <c r="S1769">
        <v>0</v>
      </c>
      <c r="T1769">
        <v>0</v>
      </c>
      <c r="W1769">
        <v>0</v>
      </c>
      <c r="X1769">
        <v>0</v>
      </c>
    </row>
    <row r="1770" spans="1:24" x14ac:dyDescent="0.25">
      <c r="A1770" t="s">
        <v>715</v>
      </c>
      <c r="B1770">
        <v>33</v>
      </c>
      <c r="T1770">
        <v>94</v>
      </c>
      <c r="W1770">
        <v>94</v>
      </c>
    </row>
    <row r="1771" spans="1:24" x14ac:dyDescent="0.25">
      <c r="A1771" t="s">
        <v>716</v>
      </c>
      <c r="B1771">
        <v>33</v>
      </c>
      <c r="T1771">
        <v>6</v>
      </c>
      <c r="W1771">
        <v>6</v>
      </c>
    </row>
    <row r="1772" spans="1:24" x14ac:dyDescent="0.25">
      <c r="A1772" t="s">
        <v>717</v>
      </c>
      <c r="B1772">
        <v>33</v>
      </c>
      <c r="T1772">
        <v>3</v>
      </c>
      <c r="W1772">
        <v>3</v>
      </c>
    </row>
    <row r="1773" spans="1:24" x14ac:dyDescent="0.25">
      <c r="A1773" t="s">
        <v>718</v>
      </c>
      <c r="B1773">
        <v>33</v>
      </c>
      <c r="T1773">
        <v>0</v>
      </c>
      <c r="W1773">
        <v>0</v>
      </c>
    </row>
    <row r="1774" spans="1:24" x14ac:dyDescent="0.25">
      <c r="A1774" t="s">
        <v>719</v>
      </c>
      <c r="B1774">
        <v>33</v>
      </c>
      <c r="P1774">
        <v>0</v>
      </c>
      <c r="T1774">
        <v>0</v>
      </c>
      <c r="W1774">
        <v>0</v>
      </c>
    </row>
    <row r="1775" spans="1:24" x14ac:dyDescent="0.25">
      <c r="A1775" t="s">
        <v>405</v>
      </c>
      <c r="B1775">
        <v>33</v>
      </c>
      <c r="P1775">
        <v>0</v>
      </c>
    </row>
    <row r="1776" spans="1:24" x14ac:dyDescent="0.25">
      <c r="A1776" t="s">
        <v>720</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695</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696</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698</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699</v>
      </c>
      <c r="B1803">
        <v>34</v>
      </c>
      <c r="Q1803">
        <v>0</v>
      </c>
      <c r="T1803">
        <v>0</v>
      </c>
      <c r="W1803">
        <v>0</v>
      </c>
      <c r="Z1803">
        <v>0</v>
      </c>
    </row>
    <row r="1804" spans="1:27" x14ac:dyDescent="0.25">
      <c r="A1804" t="s">
        <v>678</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700</v>
      </c>
      <c r="B1806">
        <v>34</v>
      </c>
      <c r="R1806">
        <v>0</v>
      </c>
      <c r="U1806">
        <v>0</v>
      </c>
      <c r="X1806">
        <v>0</v>
      </c>
      <c r="AA1806">
        <v>0</v>
      </c>
    </row>
    <row r="1807" spans="1:27" x14ac:dyDescent="0.25">
      <c r="A1807" t="s">
        <v>701</v>
      </c>
      <c r="B1807">
        <v>34</v>
      </c>
      <c r="P1807">
        <v>0</v>
      </c>
      <c r="Q1807">
        <v>0</v>
      </c>
      <c r="R1807">
        <v>1</v>
      </c>
      <c r="S1807">
        <v>0</v>
      </c>
      <c r="T1807">
        <v>0</v>
      </c>
      <c r="U1807">
        <v>1</v>
      </c>
      <c r="V1807">
        <v>0</v>
      </c>
      <c r="W1807">
        <v>0</v>
      </c>
      <c r="X1807">
        <v>1</v>
      </c>
      <c r="Y1807">
        <v>0</v>
      </c>
      <c r="Z1807">
        <v>0</v>
      </c>
      <c r="AA1807">
        <v>1</v>
      </c>
    </row>
    <row r="1808" spans="1:27" x14ac:dyDescent="0.25">
      <c r="A1808" t="s">
        <v>702</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703</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704</v>
      </c>
      <c r="B1814">
        <v>34</v>
      </c>
      <c r="P1814">
        <v>0</v>
      </c>
      <c r="Q1814">
        <v>0</v>
      </c>
      <c r="R1814">
        <v>0</v>
      </c>
      <c r="S1814">
        <v>0</v>
      </c>
      <c r="T1814">
        <v>0</v>
      </c>
      <c r="U1814">
        <v>0</v>
      </c>
      <c r="V1814">
        <v>0</v>
      </c>
      <c r="W1814">
        <v>0</v>
      </c>
      <c r="X1814">
        <v>0</v>
      </c>
      <c r="Y1814">
        <v>0</v>
      </c>
      <c r="Z1814">
        <v>0</v>
      </c>
    </row>
    <row r="1815" spans="1:27" x14ac:dyDescent="0.25">
      <c r="A1815" t="s">
        <v>705</v>
      </c>
      <c r="B1815">
        <v>34</v>
      </c>
      <c r="P1815">
        <v>0</v>
      </c>
      <c r="Q1815">
        <v>0</v>
      </c>
      <c r="R1815">
        <v>0</v>
      </c>
      <c r="S1815">
        <v>0</v>
      </c>
      <c r="T1815">
        <v>0</v>
      </c>
      <c r="U1815">
        <v>0</v>
      </c>
      <c r="V1815">
        <v>0</v>
      </c>
      <c r="W1815">
        <v>0</v>
      </c>
      <c r="X1815">
        <v>0</v>
      </c>
      <c r="Y1815">
        <v>0</v>
      </c>
      <c r="Z1815">
        <v>0</v>
      </c>
    </row>
    <row r="1816" spans="1:27" x14ac:dyDescent="0.25">
      <c r="A1816" t="s">
        <v>706</v>
      </c>
      <c r="B1816">
        <v>34</v>
      </c>
      <c r="P1816">
        <v>0</v>
      </c>
      <c r="Q1816">
        <v>0</v>
      </c>
      <c r="R1816">
        <v>0</v>
      </c>
      <c r="S1816">
        <v>0</v>
      </c>
      <c r="T1816">
        <v>0</v>
      </c>
      <c r="U1816">
        <v>0</v>
      </c>
      <c r="V1816">
        <v>0</v>
      </c>
      <c r="W1816">
        <v>0</v>
      </c>
      <c r="X1816">
        <v>0</v>
      </c>
      <c r="Y1816">
        <v>0</v>
      </c>
      <c r="Z1816">
        <v>0</v>
      </c>
    </row>
    <row r="1817" spans="1:27" x14ac:dyDescent="0.25">
      <c r="A1817" t="s">
        <v>707</v>
      </c>
      <c r="B1817">
        <v>34</v>
      </c>
      <c r="P1817">
        <v>0</v>
      </c>
      <c r="Q1817">
        <v>0</v>
      </c>
      <c r="R1817">
        <v>0</v>
      </c>
      <c r="S1817">
        <v>0</v>
      </c>
      <c r="T1817">
        <v>0</v>
      </c>
      <c r="U1817">
        <v>0</v>
      </c>
      <c r="V1817">
        <v>0</v>
      </c>
      <c r="W1817">
        <v>0</v>
      </c>
      <c r="X1817">
        <v>0</v>
      </c>
      <c r="Y1817">
        <v>0</v>
      </c>
      <c r="Z1817">
        <v>0</v>
      </c>
    </row>
    <row r="1818" spans="1:27" x14ac:dyDescent="0.25">
      <c r="A1818" t="s">
        <v>708</v>
      </c>
      <c r="B1818">
        <v>34</v>
      </c>
      <c r="P1818">
        <v>1</v>
      </c>
      <c r="Q1818">
        <v>2</v>
      </c>
      <c r="R1818">
        <v>1</v>
      </c>
      <c r="S1818">
        <v>1</v>
      </c>
      <c r="T1818">
        <v>2</v>
      </c>
      <c r="U1818">
        <v>1</v>
      </c>
      <c r="V1818">
        <v>1</v>
      </c>
      <c r="W1818">
        <v>2</v>
      </c>
      <c r="X1818">
        <v>1</v>
      </c>
      <c r="Y1818">
        <v>1</v>
      </c>
      <c r="Z1818">
        <v>2</v>
      </c>
    </row>
    <row r="1819" spans="1:27" x14ac:dyDescent="0.25">
      <c r="A1819" t="s">
        <v>709</v>
      </c>
      <c r="B1819">
        <v>34</v>
      </c>
      <c r="P1819">
        <v>0</v>
      </c>
      <c r="Q1819">
        <v>0</v>
      </c>
      <c r="R1819">
        <v>0</v>
      </c>
      <c r="S1819">
        <v>0</v>
      </c>
      <c r="T1819">
        <v>0</v>
      </c>
      <c r="U1819">
        <v>0</v>
      </c>
      <c r="V1819">
        <v>0</v>
      </c>
      <c r="W1819">
        <v>0</v>
      </c>
      <c r="X1819">
        <v>0</v>
      </c>
      <c r="Y1819">
        <v>0</v>
      </c>
      <c r="Z1819">
        <v>0</v>
      </c>
    </row>
    <row r="1820" spans="1:27" x14ac:dyDescent="0.25">
      <c r="A1820" t="s">
        <v>710</v>
      </c>
      <c r="B1820">
        <v>34</v>
      </c>
      <c r="P1820">
        <v>20</v>
      </c>
      <c r="Q1820">
        <v>6</v>
      </c>
      <c r="R1820">
        <v>20</v>
      </c>
      <c r="S1820">
        <v>20</v>
      </c>
      <c r="T1820">
        <v>6</v>
      </c>
      <c r="U1820">
        <v>20</v>
      </c>
      <c r="V1820">
        <v>20</v>
      </c>
      <c r="W1820">
        <v>6</v>
      </c>
      <c r="X1820">
        <v>20</v>
      </c>
      <c r="Y1820">
        <v>20</v>
      </c>
      <c r="Z1820">
        <v>6</v>
      </c>
    </row>
    <row r="1821" spans="1:27" x14ac:dyDescent="0.25">
      <c r="A1821" t="s">
        <v>711</v>
      </c>
      <c r="B1821">
        <v>34</v>
      </c>
      <c r="P1821">
        <v>3</v>
      </c>
      <c r="Q1821">
        <v>3</v>
      </c>
      <c r="R1821">
        <v>3</v>
      </c>
      <c r="S1821">
        <v>3</v>
      </c>
      <c r="T1821">
        <v>3</v>
      </c>
      <c r="U1821">
        <v>3</v>
      </c>
      <c r="V1821">
        <v>3</v>
      </c>
      <c r="W1821">
        <v>3</v>
      </c>
      <c r="X1821">
        <v>3</v>
      </c>
      <c r="Y1821">
        <v>3</v>
      </c>
      <c r="Z1821">
        <v>3</v>
      </c>
    </row>
    <row r="1822" spans="1:27" x14ac:dyDescent="0.25">
      <c r="A1822" t="s">
        <v>712</v>
      </c>
      <c r="B1822">
        <v>34</v>
      </c>
      <c r="P1822">
        <v>0</v>
      </c>
      <c r="Q1822">
        <v>0</v>
      </c>
      <c r="R1822">
        <v>0</v>
      </c>
      <c r="S1822">
        <v>0</v>
      </c>
      <c r="T1822">
        <v>0</v>
      </c>
      <c r="U1822">
        <v>0</v>
      </c>
      <c r="V1822">
        <v>0</v>
      </c>
      <c r="W1822">
        <v>0</v>
      </c>
      <c r="X1822">
        <v>0</v>
      </c>
      <c r="Y1822">
        <v>0</v>
      </c>
      <c r="Z1822">
        <v>0</v>
      </c>
    </row>
    <row r="1823" spans="1:27" x14ac:dyDescent="0.25">
      <c r="A1823" t="s">
        <v>713</v>
      </c>
      <c r="B1823">
        <v>34</v>
      </c>
      <c r="P1823">
        <v>0</v>
      </c>
      <c r="Q1823">
        <v>0</v>
      </c>
      <c r="R1823">
        <v>0</v>
      </c>
      <c r="S1823">
        <v>0</v>
      </c>
      <c r="T1823">
        <v>0</v>
      </c>
      <c r="U1823">
        <v>0</v>
      </c>
      <c r="V1823">
        <v>0</v>
      </c>
      <c r="W1823">
        <v>0</v>
      </c>
      <c r="X1823">
        <v>0</v>
      </c>
      <c r="Y1823">
        <v>0</v>
      </c>
      <c r="Z1823">
        <v>0</v>
      </c>
    </row>
    <row r="1824" spans="1:27" x14ac:dyDescent="0.25">
      <c r="A1824" t="s">
        <v>714</v>
      </c>
      <c r="B1824">
        <v>34</v>
      </c>
      <c r="P1824">
        <v>0</v>
      </c>
      <c r="Q1824">
        <v>0</v>
      </c>
      <c r="R1824">
        <v>0</v>
      </c>
      <c r="S1824">
        <v>0</v>
      </c>
      <c r="T1824">
        <v>0</v>
      </c>
      <c r="U1824">
        <v>0</v>
      </c>
      <c r="V1824">
        <v>0</v>
      </c>
      <c r="W1824">
        <v>0</v>
      </c>
      <c r="X1824">
        <v>0</v>
      </c>
      <c r="Y1824">
        <v>0</v>
      </c>
      <c r="Z1824">
        <v>0</v>
      </c>
    </row>
    <row r="1825" spans="1:27" x14ac:dyDescent="0.25">
      <c r="A1825" t="s">
        <v>715</v>
      </c>
      <c r="B1825">
        <v>34</v>
      </c>
      <c r="Q1825">
        <v>94</v>
      </c>
      <c r="T1825">
        <v>94</v>
      </c>
      <c r="W1825">
        <v>94</v>
      </c>
      <c r="Z1825">
        <v>94</v>
      </c>
    </row>
    <row r="1826" spans="1:27" x14ac:dyDescent="0.25">
      <c r="A1826" t="s">
        <v>716</v>
      </c>
      <c r="B1826">
        <v>34</v>
      </c>
      <c r="Q1826">
        <v>6</v>
      </c>
      <c r="T1826">
        <v>6</v>
      </c>
      <c r="W1826">
        <v>6</v>
      </c>
      <c r="Z1826">
        <v>6</v>
      </c>
    </row>
    <row r="1827" spans="1:27" x14ac:dyDescent="0.25">
      <c r="A1827" t="s">
        <v>717</v>
      </c>
      <c r="B1827">
        <v>34</v>
      </c>
      <c r="Q1827">
        <v>3</v>
      </c>
      <c r="T1827">
        <v>3</v>
      </c>
      <c r="W1827">
        <v>3</v>
      </c>
      <c r="Z1827">
        <v>3</v>
      </c>
    </row>
    <row r="1828" spans="1:27" x14ac:dyDescent="0.25">
      <c r="A1828" t="s">
        <v>718</v>
      </c>
      <c r="B1828">
        <v>34</v>
      </c>
      <c r="Q1828">
        <v>0</v>
      </c>
      <c r="T1828">
        <v>0</v>
      </c>
      <c r="W1828">
        <v>0</v>
      </c>
      <c r="Z1828">
        <v>0</v>
      </c>
    </row>
    <row r="1829" spans="1:27" x14ac:dyDescent="0.25">
      <c r="A1829" t="s">
        <v>719</v>
      </c>
      <c r="B1829">
        <v>34</v>
      </c>
      <c r="Q1829">
        <v>0</v>
      </c>
      <c r="T1829">
        <v>0</v>
      </c>
      <c r="W1829">
        <v>0</v>
      </c>
      <c r="Z1829">
        <v>0</v>
      </c>
    </row>
    <row r="1830" spans="1:27" x14ac:dyDescent="0.25">
      <c r="A1830" t="s">
        <v>405</v>
      </c>
      <c r="B1830">
        <v>34</v>
      </c>
      <c r="Q1830">
        <v>0</v>
      </c>
    </row>
    <row r="1831" spans="1:27" x14ac:dyDescent="0.25">
      <c r="A1831" t="s">
        <v>720</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695</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696</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698</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699</v>
      </c>
      <c r="B1858">
        <v>36</v>
      </c>
      <c r="Q1858">
        <v>0</v>
      </c>
      <c r="T1858">
        <v>0</v>
      </c>
      <c r="W1858">
        <v>0</v>
      </c>
      <c r="Z1858">
        <v>0</v>
      </c>
    </row>
    <row r="1859" spans="1:27" x14ac:dyDescent="0.25">
      <c r="A1859" t="s">
        <v>678</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700</v>
      </c>
      <c r="B1861">
        <v>36</v>
      </c>
      <c r="R1861">
        <v>1</v>
      </c>
      <c r="U1861">
        <v>0</v>
      </c>
      <c r="X1861">
        <v>1</v>
      </c>
      <c r="AA1861">
        <v>0</v>
      </c>
    </row>
    <row r="1862" spans="1:27" x14ac:dyDescent="0.25">
      <c r="A1862" t="s">
        <v>721</v>
      </c>
      <c r="B1862">
        <v>36</v>
      </c>
      <c r="R1862">
        <v>50</v>
      </c>
      <c r="X1862">
        <v>50</v>
      </c>
    </row>
    <row r="1863" spans="1:27" x14ac:dyDescent="0.25">
      <c r="A1863" t="s">
        <v>722</v>
      </c>
      <c r="B1863">
        <v>36</v>
      </c>
      <c r="R1863">
        <v>0</v>
      </c>
      <c r="X1863">
        <v>0</v>
      </c>
    </row>
    <row r="1864" spans="1:27" x14ac:dyDescent="0.25">
      <c r="A1864" t="s">
        <v>701</v>
      </c>
      <c r="B1864">
        <v>36</v>
      </c>
      <c r="P1864">
        <v>0</v>
      </c>
      <c r="Q1864">
        <v>0</v>
      </c>
      <c r="R1864">
        <v>1</v>
      </c>
      <c r="S1864">
        <v>0</v>
      </c>
      <c r="T1864">
        <v>0</v>
      </c>
      <c r="U1864">
        <v>1</v>
      </c>
      <c r="V1864">
        <v>0</v>
      </c>
      <c r="W1864">
        <v>0</v>
      </c>
      <c r="X1864">
        <v>1</v>
      </c>
      <c r="Y1864">
        <v>0</v>
      </c>
      <c r="Z1864">
        <v>0</v>
      </c>
      <c r="AA1864">
        <v>1</v>
      </c>
    </row>
    <row r="1865" spans="1:27" x14ac:dyDescent="0.25">
      <c r="A1865" t="s">
        <v>702</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703</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704</v>
      </c>
      <c r="B1871">
        <v>36</v>
      </c>
      <c r="P1871">
        <v>0</v>
      </c>
      <c r="Q1871">
        <v>0</v>
      </c>
      <c r="R1871">
        <v>0</v>
      </c>
      <c r="S1871">
        <v>0</v>
      </c>
      <c r="T1871">
        <v>0</v>
      </c>
      <c r="U1871">
        <v>0</v>
      </c>
      <c r="V1871">
        <v>0</v>
      </c>
      <c r="W1871">
        <v>0</v>
      </c>
      <c r="X1871">
        <v>0</v>
      </c>
      <c r="Y1871">
        <v>0</v>
      </c>
      <c r="Z1871">
        <v>0</v>
      </c>
    </row>
    <row r="1872" spans="1:27" x14ac:dyDescent="0.25">
      <c r="A1872" t="s">
        <v>705</v>
      </c>
      <c r="B1872">
        <v>36</v>
      </c>
      <c r="P1872">
        <v>0</v>
      </c>
      <c r="Q1872">
        <v>0</v>
      </c>
      <c r="R1872">
        <v>0</v>
      </c>
      <c r="S1872">
        <v>0</v>
      </c>
      <c r="T1872">
        <v>0</v>
      </c>
      <c r="U1872">
        <v>0</v>
      </c>
      <c r="V1872">
        <v>0</v>
      </c>
      <c r="W1872">
        <v>0</v>
      </c>
      <c r="X1872">
        <v>0</v>
      </c>
      <c r="Y1872">
        <v>0</v>
      </c>
      <c r="Z1872">
        <v>0</v>
      </c>
    </row>
    <row r="1873" spans="1:27" x14ac:dyDescent="0.25">
      <c r="A1873" t="s">
        <v>706</v>
      </c>
      <c r="B1873">
        <v>36</v>
      </c>
      <c r="P1873">
        <v>0</v>
      </c>
      <c r="Q1873">
        <v>0</v>
      </c>
      <c r="R1873">
        <v>0</v>
      </c>
      <c r="S1873">
        <v>0</v>
      </c>
      <c r="T1873">
        <v>0</v>
      </c>
      <c r="U1873">
        <v>0</v>
      </c>
      <c r="V1873">
        <v>0</v>
      </c>
      <c r="W1873">
        <v>0</v>
      </c>
      <c r="X1873">
        <v>0</v>
      </c>
      <c r="Y1873">
        <v>0</v>
      </c>
      <c r="Z1873">
        <v>0</v>
      </c>
    </row>
    <row r="1874" spans="1:27" x14ac:dyDescent="0.25">
      <c r="A1874" t="s">
        <v>707</v>
      </c>
      <c r="B1874">
        <v>36</v>
      </c>
      <c r="P1874">
        <v>0</v>
      </c>
      <c r="Q1874">
        <v>0</v>
      </c>
      <c r="R1874">
        <v>0</v>
      </c>
      <c r="S1874">
        <v>0</v>
      </c>
      <c r="T1874">
        <v>0</v>
      </c>
      <c r="U1874">
        <v>0</v>
      </c>
      <c r="V1874">
        <v>0</v>
      </c>
      <c r="W1874">
        <v>0</v>
      </c>
      <c r="X1874">
        <v>0</v>
      </c>
      <c r="Y1874">
        <v>0</v>
      </c>
      <c r="Z1874">
        <v>0</v>
      </c>
    </row>
    <row r="1875" spans="1:27" x14ac:dyDescent="0.25">
      <c r="A1875" t="s">
        <v>708</v>
      </c>
      <c r="B1875">
        <v>36</v>
      </c>
      <c r="P1875">
        <v>1</v>
      </c>
      <c r="Q1875">
        <v>2</v>
      </c>
      <c r="R1875">
        <v>1</v>
      </c>
      <c r="S1875">
        <v>1</v>
      </c>
      <c r="T1875">
        <v>2</v>
      </c>
      <c r="U1875">
        <v>1</v>
      </c>
      <c r="V1875">
        <v>1</v>
      </c>
      <c r="W1875">
        <v>2</v>
      </c>
      <c r="X1875">
        <v>1</v>
      </c>
      <c r="Y1875">
        <v>1</v>
      </c>
      <c r="Z1875">
        <v>2</v>
      </c>
    </row>
    <row r="1876" spans="1:27" x14ac:dyDescent="0.25">
      <c r="A1876" t="s">
        <v>709</v>
      </c>
      <c r="B1876">
        <v>36</v>
      </c>
      <c r="P1876">
        <v>0</v>
      </c>
      <c r="Q1876">
        <v>0</v>
      </c>
      <c r="R1876">
        <v>0</v>
      </c>
      <c r="S1876">
        <v>0</v>
      </c>
      <c r="T1876">
        <v>0</v>
      </c>
      <c r="U1876">
        <v>0</v>
      </c>
      <c r="V1876">
        <v>0</v>
      </c>
      <c r="W1876">
        <v>0</v>
      </c>
      <c r="X1876">
        <v>0</v>
      </c>
      <c r="Y1876">
        <v>0</v>
      </c>
      <c r="Z1876">
        <v>0</v>
      </c>
    </row>
    <row r="1877" spans="1:27" x14ac:dyDescent="0.25">
      <c r="A1877" t="s">
        <v>710</v>
      </c>
      <c r="B1877">
        <v>36</v>
      </c>
      <c r="P1877">
        <v>20</v>
      </c>
      <c r="Q1877">
        <v>6</v>
      </c>
      <c r="R1877">
        <v>20</v>
      </c>
      <c r="S1877">
        <v>20</v>
      </c>
      <c r="T1877">
        <v>6</v>
      </c>
      <c r="U1877">
        <v>20</v>
      </c>
      <c r="V1877">
        <v>20</v>
      </c>
      <c r="W1877">
        <v>6</v>
      </c>
      <c r="X1877">
        <v>20</v>
      </c>
      <c r="Y1877">
        <v>20</v>
      </c>
      <c r="Z1877">
        <v>6</v>
      </c>
    </row>
    <row r="1878" spans="1:27" x14ac:dyDescent="0.25">
      <c r="A1878" t="s">
        <v>711</v>
      </c>
      <c r="B1878">
        <v>36</v>
      </c>
      <c r="P1878">
        <v>3</v>
      </c>
      <c r="Q1878">
        <v>3</v>
      </c>
      <c r="R1878">
        <v>3</v>
      </c>
      <c r="S1878">
        <v>3</v>
      </c>
      <c r="T1878">
        <v>3</v>
      </c>
      <c r="U1878">
        <v>3</v>
      </c>
      <c r="V1878">
        <v>3</v>
      </c>
      <c r="W1878">
        <v>3</v>
      </c>
      <c r="X1878">
        <v>3</v>
      </c>
      <c r="Y1878">
        <v>3</v>
      </c>
      <c r="Z1878">
        <v>3</v>
      </c>
    </row>
    <row r="1879" spans="1:27" x14ac:dyDescent="0.25">
      <c r="A1879" t="s">
        <v>712</v>
      </c>
      <c r="B1879">
        <v>36</v>
      </c>
      <c r="P1879">
        <v>0</v>
      </c>
      <c r="Q1879">
        <v>0</v>
      </c>
      <c r="R1879">
        <v>0</v>
      </c>
      <c r="S1879">
        <v>0</v>
      </c>
      <c r="T1879">
        <v>0</v>
      </c>
      <c r="U1879">
        <v>0</v>
      </c>
      <c r="V1879">
        <v>0</v>
      </c>
      <c r="W1879">
        <v>0</v>
      </c>
      <c r="X1879">
        <v>0</v>
      </c>
      <c r="Y1879">
        <v>0</v>
      </c>
      <c r="Z1879">
        <v>0</v>
      </c>
    </row>
    <row r="1880" spans="1:27" x14ac:dyDescent="0.25">
      <c r="A1880" t="s">
        <v>713</v>
      </c>
      <c r="B1880">
        <v>36</v>
      </c>
      <c r="P1880">
        <v>0</v>
      </c>
      <c r="Q1880">
        <v>0</v>
      </c>
      <c r="R1880">
        <v>0</v>
      </c>
      <c r="S1880">
        <v>0</v>
      </c>
      <c r="T1880">
        <v>0</v>
      </c>
      <c r="U1880">
        <v>0</v>
      </c>
      <c r="V1880">
        <v>0</v>
      </c>
      <c r="W1880">
        <v>0</v>
      </c>
      <c r="X1880">
        <v>0</v>
      </c>
      <c r="Y1880">
        <v>0</v>
      </c>
      <c r="Z1880">
        <v>0</v>
      </c>
    </row>
    <row r="1881" spans="1:27" x14ac:dyDescent="0.25">
      <c r="A1881" t="s">
        <v>714</v>
      </c>
      <c r="B1881">
        <v>36</v>
      </c>
      <c r="P1881">
        <v>0</v>
      </c>
      <c r="Q1881">
        <v>0</v>
      </c>
      <c r="R1881">
        <v>0</v>
      </c>
      <c r="S1881">
        <v>0</v>
      </c>
      <c r="T1881">
        <v>0</v>
      </c>
      <c r="U1881">
        <v>0</v>
      </c>
      <c r="V1881">
        <v>0</v>
      </c>
      <c r="W1881">
        <v>0</v>
      </c>
      <c r="X1881">
        <v>0</v>
      </c>
      <c r="Y1881">
        <v>0</v>
      </c>
      <c r="Z1881">
        <v>0</v>
      </c>
    </row>
    <row r="1882" spans="1:27" x14ac:dyDescent="0.25">
      <c r="A1882" t="s">
        <v>715</v>
      </c>
      <c r="B1882">
        <v>36</v>
      </c>
      <c r="Q1882">
        <v>94</v>
      </c>
      <c r="T1882">
        <v>94</v>
      </c>
      <c r="W1882">
        <v>94</v>
      </c>
      <c r="Z1882">
        <v>94</v>
      </c>
    </row>
    <row r="1883" spans="1:27" x14ac:dyDescent="0.25">
      <c r="A1883" t="s">
        <v>716</v>
      </c>
      <c r="B1883">
        <v>36</v>
      </c>
      <c r="Q1883">
        <v>6</v>
      </c>
      <c r="T1883">
        <v>6</v>
      </c>
      <c r="W1883">
        <v>6</v>
      </c>
      <c r="Z1883">
        <v>6</v>
      </c>
    </row>
    <row r="1884" spans="1:27" x14ac:dyDescent="0.25">
      <c r="A1884" t="s">
        <v>717</v>
      </c>
      <c r="B1884">
        <v>36</v>
      </c>
      <c r="Q1884">
        <v>3</v>
      </c>
      <c r="T1884">
        <v>3</v>
      </c>
      <c r="W1884">
        <v>3</v>
      </c>
      <c r="Z1884">
        <v>3</v>
      </c>
    </row>
    <row r="1885" spans="1:27" x14ac:dyDescent="0.25">
      <c r="A1885" t="s">
        <v>718</v>
      </c>
      <c r="B1885">
        <v>36</v>
      </c>
      <c r="Q1885">
        <v>0</v>
      </c>
      <c r="T1885">
        <v>0</v>
      </c>
      <c r="W1885">
        <v>0</v>
      </c>
      <c r="Z1885">
        <v>0</v>
      </c>
    </row>
    <row r="1886" spans="1:27" x14ac:dyDescent="0.25">
      <c r="A1886" t="s">
        <v>719</v>
      </c>
      <c r="B1886">
        <v>36</v>
      </c>
      <c r="Q1886">
        <v>0</v>
      </c>
      <c r="T1886">
        <v>0</v>
      </c>
      <c r="W1886">
        <v>0</v>
      </c>
      <c r="Z1886">
        <v>0</v>
      </c>
    </row>
    <row r="1887" spans="1:27" x14ac:dyDescent="0.25">
      <c r="A1887" t="s">
        <v>405</v>
      </c>
      <c r="B1887">
        <v>36</v>
      </c>
      <c r="Q1887">
        <v>0</v>
      </c>
    </row>
    <row r="1888" spans="1:27" x14ac:dyDescent="0.25">
      <c r="A1888" t="s">
        <v>720</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695</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770</v>
      </c>
      <c r="B1900">
        <v>39</v>
      </c>
      <c r="R1900">
        <v>3</v>
      </c>
      <c r="T1900">
        <v>2</v>
      </c>
      <c r="W1900">
        <v>4</v>
      </c>
    </row>
    <row r="1901" spans="1:24" x14ac:dyDescent="0.25">
      <c r="A1901" t="s">
        <v>771</v>
      </c>
      <c r="B1901">
        <v>39</v>
      </c>
      <c r="T1901">
        <v>4</v>
      </c>
    </row>
    <row r="1902" spans="1:24" x14ac:dyDescent="0.25">
      <c r="A1902" t="s">
        <v>46</v>
      </c>
      <c r="B1902">
        <v>39</v>
      </c>
      <c r="X1902">
        <v>1</v>
      </c>
    </row>
    <row r="1903" spans="1:24" x14ac:dyDescent="0.25">
      <c r="A1903" t="s">
        <v>772</v>
      </c>
      <c r="B1903">
        <v>39</v>
      </c>
      <c r="X1903">
        <v>4</v>
      </c>
    </row>
    <row r="1904" spans="1:24" x14ac:dyDescent="0.25">
      <c r="A1904" t="s">
        <v>49</v>
      </c>
      <c r="B1904">
        <v>39</v>
      </c>
      <c r="P1904">
        <v>9.9</v>
      </c>
      <c r="R1904">
        <v>9.6</v>
      </c>
      <c r="S1904">
        <v>9.6</v>
      </c>
      <c r="T1904">
        <v>7.3</v>
      </c>
      <c r="W1904">
        <v>7.3</v>
      </c>
      <c r="X1904">
        <v>7.3</v>
      </c>
    </row>
    <row r="1905" spans="1:24" x14ac:dyDescent="0.25">
      <c r="A1905" t="s">
        <v>696</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697</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698</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699</v>
      </c>
      <c r="B1918">
        <v>39</v>
      </c>
      <c r="P1918">
        <v>0</v>
      </c>
      <c r="T1918">
        <v>0</v>
      </c>
      <c r="W1918">
        <v>0</v>
      </c>
    </row>
    <row r="1919" spans="1:24" x14ac:dyDescent="0.25">
      <c r="A1919" t="s">
        <v>678</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700</v>
      </c>
      <c r="B1921">
        <v>39</v>
      </c>
      <c r="R1921">
        <v>0</v>
      </c>
      <c r="T1921">
        <v>0</v>
      </c>
      <c r="X1921">
        <v>0</v>
      </c>
    </row>
    <row r="1922" spans="1:24" x14ac:dyDescent="0.25">
      <c r="A1922" t="s">
        <v>701</v>
      </c>
      <c r="B1922">
        <v>39</v>
      </c>
      <c r="P1922">
        <v>0</v>
      </c>
      <c r="R1922">
        <v>1</v>
      </c>
      <c r="S1922">
        <v>0</v>
      </c>
      <c r="T1922">
        <v>0</v>
      </c>
      <c r="W1922">
        <v>0</v>
      </c>
      <c r="X1922">
        <v>1</v>
      </c>
    </row>
    <row r="1923" spans="1:24" x14ac:dyDescent="0.25">
      <c r="A1923" t="s">
        <v>702</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703</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704</v>
      </c>
      <c r="B1929">
        <v>39</v>
      </c>
      <c r="P1929">
        <v>0</v>
      </c>
      <c r="R1929">
        <v>3</v>
      </c>
      <c r="S1929">
        <v>0</v>
      </c>
      <c r="T1929">
        <v>2</v>
      </c>
      <c r="W1929">
        <v>4</v>
      </c>
      <c r="X1929">
        <v>4</v>
      </c>
    </row>
    <row r="1930" spans="1:24" x14ac:dyDescent="0.25">
      <c r="A1930" t="s">
        <v>705</v>
      </c>
      <c r="B1930">
        <v>39</v>
      </c>
      <c r="P1930">
        <v>0</v>
      </c>
      <c r="R1930">
        <v>0</v>
      </c>
      <c r="S1930">
        <v>0</v>
      </c>
      <c r="T1930">
        <v>4</v>
      </c>
      <c r="W1930">
        <v>0</v>
      </c>
      <c r="X1930">
        <v>0</v>
      </c>
    </row>
    <row r="1931" spans="1:24" x14ac:dyDescent="0.25">
      <c r="A1931" t="s">
        <v>706</v>
      </c>
      <c r="B1931">
        <v>39</v>
      </c>
      <c r="P1931">
        <v>0</v>
      </c>
      <c r="R1931">
        <v>0</v>
      </c>
      <c r="S1931">
        <v>0</v>
      </c>
      <c r="T1931">
        <v>0</v>
      </c>
      <c r="W1931">
        <v>0</v>
      </c>
      <c r="X1931">
        <v>0</v>
      </c>
    </row>
    <row r="1932" spans="1:24" x14ac:dyDescent="0.25">
      <c r="A1932" t="s">
        <v>707</v>
      </c>
      <c r="B1932">
        <v>39</v>
      </c>
      <c r="P1932">
        <v>0</v>
      </c>
      <c r="R1932">
        <v>0</v>
      </c>
      <c r="S1932">
        <v>0</v>
      </c>
      <c r="T1932">
        <v>0</v>
      </c>
      <c r="W1932">
        <v>0</v>
      </c>
      <c r="X1932">
        <v>0</v>
      </c>
    </row>
    <row r="1933" spans="1:24" x14ac:dyDescent="0.25">
      <c r="A1933" t="s">
        <v>708</v>
      </c>
      <c r="B1933">
        <v>39</v>
      </c>
      <c r="P1933">
        <v>1</v>
      </c>
      <c r="R1933">
        <v>1</v>
      </c>
      <c r="S1933">
        <v>1</v>
      </c>
      <c r="T1933">
        <v>2</v>
      </c>
      <c r="W1933">
        <v>2</v>
      </c>
      <c r="X1933">
        <v>1</v>
      </c>
    </row>
    <row r="1934" spans="1:24" x14ac:dyDescent="0.25">
      <c r="A1934" t="s">
        <v>709</v>
      </c>
      <c r="B1934">
        <v>39</v>
      </c>
      <c r="P1934">
        <v>0</v>
      </c>
      <c r="R1934">
        <v>0</v>
      </c>
      <c r="S1934">
        <v>0</v>
      </c>
      <c r="T1934">
        <v>0</v>
      </c>
      <c r="W1934">
        <v>0</v>
      </c>
      <c r="X1934">
        <v>0</v>
      </c>
    </row>
    <row r="1935" spans="1:24" x14ac:dyDescent="0.25">
      <c r="A1935" t="s">
        <v>710</v>
      </c>
      <c r="B1935">
        <v>39</v>
      </c>
      <c r="P1935">
        <v>20</v>
      </c>
      <c r="R1935">
        <v>20</v>
      </c>
      <c r="S1935">
        <v>20</v>
      </c>
      <c r="T1935">
        <v>6</v>
      </c>
      <c r="W1935">
        <v>6</v>
      </c>
      <c r="X1935">
        <v>20</v>
      </c>
    </row>
    <row r="1936" spans="1:24" x14ac:dyDescent="0.25">
      <c r="A1936" t="s">
        <v>711</v>
      </c>
      <c r="B1936">
        <v>39</v>
      </c>
      <c r="P1936">
        <v>3</v>
      </c>
      <c r="R1936">
        <v>3</v>
      </c>
      <c r="S1936">
        <v>3</v>
      </c>
      <c r="T1936">
        <v>3</v>
      </c>
      <c r="W1936">
        <v>3</v>
      </c>
      <c r="X1936">
        <v>3</v>
      </c>
    </row>
    <row r="1937" spans="1:24" x14ac:dyDescent="0.25">
      <c r="A1937" t="s">
        <v>712</v>
      </c>
      <c r="B1937">
        <v>39</v>
      </c>
      <c r="P1937">
        <v>0</v>
      </c>
      <c r="R1937">
        <v>0</v>
      </c>
      <c r="S1937">
        <v>0</v>
      </c>
      <c r="T1937">
        <v>0</v>
      </c>
      <c r="W1937">
        <v>0</v>
      </c>
      <c r="X1937">
        <v>0</v>
      </c>
    </row>
    <row r="1938" spans="1:24" x14ac:dyDescent="0.25">
      <c r="A1938" t="s">
        <v>713</v>
      </c>
      <c r="B1938">
        <v>39</v>
      </c>
      <c r="P1938">
        <v>0</v>
      </c>
      <c r="R1938">
        <v>0</v>
      </c>
      <c r="S1938">
        <v>0</v>
      </c>
      <c r="T1938">
        <v>0</v>
      </c>
      <c r="W1938">
        <v>0</v>
      </c>
      <c r="X1938">
        <v>0</v>
      </c>
    </row>
    <row r="1939" spans="1:24" x14ac:dyDescent="0.25">
      <c r="A1939" t="s">
        <v>714</v>
      </c>
      <c r="B1939">
        <v>39</v>
      </c>
      <c r="P1939">
        <v>0</v>
      </c>
      <c r="R1939">
        <v>0</v>
      </c>
      <c r="S1939">
        <v>0</v>
      </c>
      <c r="T1939">
        <v>0</v>
      </c>
      <c r="W1939">
        <v>0</v>
      </c>
      <c r="X1939">
        <v>0</v>
      </c>
    </row>
    <row r="1940" spans="1:24" x14ac:dyDescent="0.25">
      <c r="A1940" t="s">
        <v>715</v>
      </c>
      <c r="B1940">
        <v>39</v>
      </c>
      <c r="T1940">
        <v>94</v>
      </c>
      <c r="W1940">
        <v>94</v>
      </c>
    </row>
    <row r="1941" spans="1:24" x14ac:dyDescent="0.25">
      <c r="A1941" t="s">
        <v>716</v>
      </c>
      <c r="B1941">
        <v>39</v>
      </c>
      <c r="T1941">
        <v>6</v>
      </c>
      <c r="W1941">
        <v>6</v>
      </c>
    </row>
    <row r="1942" spans="1:24" x14ac:dyDescent="0.25">
      <c r="A1942" t="s">
        <v>717</v>
      </c>
      <c r="B1942">
        <v>39</v>
      </c>
      <c r="T1942">
        <v>3</v>
      </c>
      <c r="W1942">
        <v>3</v>
      </c>
    </row>
    <row r="1943" spans="1:24" x14ac:dyDescent="0.25">
      <c r="A1943" t="s">
        <v>718</v>
      </c>
      <c r="B1943">
        <v>39</v>
      </c>
      <c r="T1943">
        <v>0</v>
      </c>
      <c r="W1943">
        <v>0</v>
      </c>
    </row>
    <row r="1944" spans="1:24" x14ac:dyDescent="0.25">
      <c r="A1944" t="s">
        <v>719</v>
      </c>
      <c r="B1944">
        <v>39</v>
      </c>
      <c r="P1944">
        <v>0</v>
      </c>
      <c r="T1944">
        <v>0</v>
      </c>
      <c r="W1944">
        <v>0</v>
      </c>
    </row>
    <row r="1945" spans="1:24" x14ac:dyDescent="0.25">
      <c r="A1945" t="s">
        <v>405</v>
      </c>
      <c r="B1945">
        <v>39</v>
      </c>
      <c r="P1945">
        <v>0</v>
      </c>
    </row>
    <row r="1946" spans="1:24" x14ac:dyDescent="0.25">
      <c r="A1946" t="s">
        <v>720</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695</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770</v>
      </c>
      <c r="B1958">
        <v>43</v>
      </c>
      <c r="R1958">
        <v>2</v>
      </c>
      <c r="T1958">
        <v>2</v>
      </c>
      <c r="W1958">
        <v>3</v>
      </c>
    </row>
    <row r="1959" spans="1:24" x14ac:dyDescent="0.25">
      <c r="A1959" t="s">
        <v>771</v>
      </c>
      <c r="B1959">
        <v>43</v>
      </c>
      <c r="T1959">
        <v>3</v>
      </c>
    </row>
    <row r="1960" spans="1:24" x14ac:dyDescent="0.25">
      <c r="A1960" t="s">
        <v>46</v>
      </c>
      <c r="B1960">
        <v>43</v>
      </c>
      <c r="X1960">
        <v>1</v>
      </c>
    </row>
    <row r="1961" spans="1:24" x14ac:dyDescent="0.25">
      <c r="A1961" t="s">
        <v>772</v>
      </c>
      <c r="B1961">
        <v>43</v>
      </c>
      <c r="X1961">
        <v>3</v>
      </c>
    </row>
    <row r="1962" spans="1:24" x14ac:dyDescent="0.25">
      <c r="A1962" t="s">
        <v>49</v>
      </c>
      <c r="B1962">
        <v>43</v>
      </c>
      <c r="P1962">
        <v>9.9</v>
      </c>
      <c r="R1962">
        <v>9.9</v>
      </c>
      <c r="S1962">
        <v>9.6</v>
      </c>
      <c r="T1962">
        <v>7.3</v>
      </c>
      <c r="W1962">
        <v>7.3</v>
      </c>
      <c r="X1962">
        <v>7.3</v>
      </c>
    </row>
    <row r="1963" spans="1:24" x14ac:dyDescent="0.25">
      <c r="A1963" t="s">
        <v>696</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697</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698</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699</v>
      </c>
      <c r="B1976">
        <v>43</v>
      </c>
      <c r="P1976">
        <v>0</v>
      </c>
      <c r="T1976">
        <v>0</v>
      </c>
      <c r="W1976">
        <v>0</v>
      </c>
    </row>
    <row r="1977" spans="1:24" x14ac:dyDescent="0.25">
      <c r="A1977" t="s">
        <v>678</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700</v>
      </c>
      <c r="B1979">
        <v>43</v>
      </c>
      <c r="R1979">
        <v>0</v>
      </c>
      <c r="T1979">
        <v>0</v>
      </c>
      <c r="X1979">
        <v>0</v>
      </c>
    </row>
    <row r="1980" spans="1:24" x14ac:dyDescent="0.25">
      <c r="A1980" t="s">
        <v>701</v>
      </c>
      <c r="B1980">
        <v>43</v>
      </c>
      <c r="P1980">
        <v>0</v>
      </c>
      <c r="R1980">
        <v>1</v>
      </c>
      <c r="S1980">
        <v>0</v>
      </c>
      <c r="T1980">
        <v>0</v>
      </c>
      <c r="W1980">
        <v>0</v>
      </c>
      <c r="X1980">
        <v>1</v>
      </c>
    </row>
    <row r="1981" spans="1:24" x14ac:dyDescent="0.25">
      <c r="A1981" t="s">
        <v>702</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703</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704</v>
      </c>
      <c r="B1987">
        <v>43</v>
      </c>
      <c r="P1987">
        <v>0</v>
      </c>
      <c r="R1987">
        <v>2</v>
      </c>
      <c r="S1987">
        <v>0</v>
      </c>
      <c r="T1987">
        <v>2</v>
      </c>
      <c r="W1987">
        <v>3</v>
      </c>
      <c r="X1987">
        <v>3</v>
      </c>
    </row>
    <row r="1988" spans="1:24" x14ac:dyDescent="0.25">
      <c r="A1988" t="s">
        <v>705</v>
      </c>
      <c r="B1988">
        <v>43</v>
      </c>
      <c r="P1988">
        <v>0</v>
      </c>
      <c r="R1988">
        <v>0</v>
      </c>
      <c r="S1988">
        <v>0</v>
      </c>
      <c r="T1988">
        <v>3</v>
      </c>
      <c r="W1988">
        <v>0</v>
      </c>
      <c r="X1988">
        <v>0</v>
      </c>
    </row>
    <row r="1989" spans="1:24" x14ac:dyDescent="0.25">
      <c r="A1989" t="s">
        <v>706</v>
      </c>
      <c r="B1989">
        <v>43</v>
      </c>
      <c r="P1989">
        <v>0</v>
      </c>
      <c r="R1989">
        <v>0</v>
      </c>
      <c r="S1989">
        <v>0</v>
      </c>
      <c r="T1989">
        <v>0</v>
      </c>
      <c r="W1989">
        <v>0</v>
      </c>
      <c r="X1989">
        <v>0</v>
      </c>
    </row>
    <row r="1990" spans="1:24" x14ac:dyDescent="0.25">
      <c r="A1990" t="s">
        <v>707</v>
      </c>
      <c r="B1990">
        <v>43</v>
      </c>
      <c r="P1990">
        <v>0</v>
      </c>
      <c r="R1990">
        <v>0</v>
      </c>
      <c r="S1990">
        <v>0</v>
      </c>
      <c r="T1990">
        <v>0</v>
      </c>
      <c r="W1990">
        <v>0</v>
      </c>
      <c r="X1990">
        <v>0</v>
      </c>
    </row>
    <row r="1991" spans="1:24" x14ac:dyDescent="0.25">
      <c r="A1991" t="s">
        <v>708</v>
      </c>
      <c r="B1991">
        <v>43</v>
      </c>
      <c r="P1991">
        <v>1</v>
      </c>
      <c r="R1991">
        <v>1</v>
      </c>
      <c r="S1991">
        <v>1</v>
      </c>
      <c r="T1991">
        <v>2</v>
      </c>
      <c r="W1991">
        <v>2</v>
      </c>
      <c r="X1991">
        <v>1</v>
      </c>
    </row>
    <row r="1992" spans="1:24" x14ac:dyDescent="0.25">
      <c r="A1992" t="s">
        <v>709</v>
      </c>
      <c r="B1992">
        <v>43</v>
      </c>
      <c r="P1992">
        <v>0</v>
      </c>
      <c r="R1992">
        <v>0</v>
      </c>
      <c r="S1992">
        <v>0</v>
      </c>
      <c r="T1992">
        <v>0</v>
      </c>
      <c r="W1992">
        <v>0</v>
      </c>
      <c r="X1992">
        <v>0</v>
      </c>
    </row>
    <row r="1993" spans="1:24" x14ac:dyDescent="0.25">
      <c r="A1993" t="s">
        <v>710</v>
      </c>
      <c r="B1993">
        <v>43</v>
      </c>
      <c r="P1993">
        <v>20</v>
      </c>
      <c r="R1993">
        <v>20</v>
      </c>
      <c r="S1993">
        <v>20</v>
      </c>
      <c r="T1993">
        <v>6</v>
      </c>
      <c r="W1993">
        <v>6</v>
      </c>
      <c r="X1993">
        <v>20</v>
      </c>
    </row>
    <row r="1994" spans="1:24" x14ac:dyDescent="0.25">
      <c r="A1994" t="s">
        <v>711</v>
      </c>
      <c r="B1994">
        <v>43</v>
      </c>
      <c r="P1994">
        <v>3</v>
      </c>
      <c r="R1994">
        <v>3</v>
      </c>
      <c r="S1994">
        <v>3</v>
      </c>
      <c r="T1994">
        <v>3</v>
      </c>
      <c r="W1994">
        <v>3</v>
      </c>
      <c r="X1994">
        <v>3</v>
      </c>
    </row>
    <row r="1995" spans="1:24" x14ac:dyDescent="0.25">
      <c r="A1995" t="s">
        <v>712</v>
      </c>
      <c r="B1995">
        <v>43</v>
      </c>
      <c r="P1995">
        <v>0</v>
      </c>
      <c r="R1995">
        <v>0</v>
      </c>
      <c r="S1995">
        <v>0</v>
      </c>
      <c r="T1995">
        <v>0</v>
      </c>
      <c r="W1995">
        <v>0</v>
      </c>
      <c r="X1995">
        <v>0</v>
      </c>
    </row>
    <row r="1996" spans="1:24" x14ac:dyDescent="0.25">
      <c r="A1996" t="s">
        <v>713</v>
      </c>
      <c r="B1996">
        <v>43</v>
      </c>
      <c r="P1996">
        <v>0</v>
      </c>
      <c r="R1996">
        <v>0</v>
      </c>
      <c r="S1996">
        <v>0</v>
      </c>
      <c r="T1996">
        <v>0</v>
      </c>
      <c r="W1996">
        <v>0</v>
      </c>
      <c r="X1996">
        <v>0</v>
      </c>
    </row>
    <row r="1997" spans="1:24" x14ac:dyDescent="0.25">
      <c r="A1997" t="s">
        <v>714</v>
      </c>
      <c r="B1997">
        <v>43</v>
      </c>
      <c r="P1997">
        <v>0</v>
      </c>
      <c r="R1997">
        <v>0</v>
      </c>
      <c r="S1997">
        <v>0</v>
      </c>
      <c r="T1997">
        <v>0</v>
      </c>
      <c r="W1997">
        <v>0</v>
      </c>
      <c r="X1997">
        <v>0</v>
      </c>
    </row>
    <row r="1998" spans="1:24" x14ac:dyDescent="0.25">
      <c r="A1998" t="s">
        <v>715</v>
      </c>
      <c r="B1998">
        <v>43</v>
      </c>
      <c r="T1998">
        <v>94</v>
      </c>
      <c r="W1998">
        <v>94</v>
      </c>
    </row>
    <row r="1999" spans="1:24" x14ac:dyDescent="0.25">
      <c r="A1999" t="s">
        <v>716</v>
      </c>
      <c r="B1999">
        <v>43</v>
      </c>
      <c r="T1999">
        <v>6</v>
      </c>
      <c r="W1999">
        <v>6</v>
      </c>
    </row>
    <row r="2000" spans="1:24" x14ac:dyDescent="0.25">
      <c r="A2000" t="s">
        <v>717</v>
      </c>
      <c r="B2000">
        <v>43</v>
      </c>
      <c r="T2000">
        <v>3</v>
      </c>
      <c r="W2000">
        <v>3</v>
      </c>
    </row>
    <row r="2001" spans="1:27" x14ac:dyDescent="0.25">
      <c r="A2001" t="s">
        <v>718</v>
      </c>
      <c r="B2001">
        <v>43</v>
      </c>
      <c r="T2001">
        <v>0</v>
      </c>
      <c r="W2001">
        <v>0</v>
      </c>
    </row>
    <row r="2002" spans="1:27" x14ac:dyDescent="0.25">
      <c r="A2002" t="s">
        <v>719</v>
      </c>
      <c r="B2002">
        <v>43</v>
      </c>
      <c r="P2002">
        <v>0</v>
      </c>
      <c r="T2002">
        <v>0</v>
      </c>
      <c r="W2002">
        <v>0</v>
      </c>
    </row>
    <row r="2003" spans="1:27" x14ac:dyDescent="0.25">
      <c r="A2003" t="s">
        <v>405</v>
      </c>
      <c r="B2003">
        <v>43</v>
      </c>
      <c r="P2003">
        <v>0</v>
      </c>
    </row>
    <row r="2004" spans="1:27" x14ac:dyDescent="0.25">
      <c r="A2004" t="s">
        <v>720</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695</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696</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698</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699</v>
      </c>
      <c r="B2031">
        <v>44</v>
      </c>
      <c r="Q2031">
        <v>0</v>
      </c>
      <c r="T2031">
        <v>0</v>
      </c>
      <c r="W2031">
        <v>0</v>
      </c>
      <c r="Z2031">
        <v>0</v>
      </c>
    </row>
    <row r="2032" spans="1:27" x14ac:dyDescent="0.25">
      <c r="A2032" t="s">
        <v>678</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700</v>
      </c>
      <c r="B2034">
        <v>44</v>
      </c>
      <c r="R2034">
        <v>0</v>
      </c>
      <c r="U2034">
        <v>0</v>
      </c>
      <c r="X2034">
        <v>0</v>
      </c>
      <c r="AA2034">
        <v>0</v>
      </c>
    </row>
    <row r="2035" spans="1:27" x14ac:dyDescent="0.25">
      <c r="A2035" t="s">
        <v>701</v>
      </c>
      <c r="B2035">
        <v>44</v>
      </c>
      <c r="P2035">
        <v>0</v>
      </c>
      <c r="Q2035">
        <v>0</v>
      </c>
      <c r="R2035">
        <v>1</v>
      </c>
      <c r="S2035">
        <v>0</v>
      </c>
      <c r="T2035">
        <v>0</v>
      </c>
      <c r="U2035">
        <v>1</v>
      </c>
      <c r="V2035">
        <v>0</v>
      </c>
      <c r="W2035">
        <v>0</v>
      </c>
      <c r="X2035">
        <v>1</v>
      </c>
      <c r="Y2035">
        <v>0</v>
      </c>
      <c r="Z2035">
        <v>0</v>
      </c>
      <c r="AA2035">
        <v>1</v>
      </c>
    </row>
    <row r="2036" spans="1:27" x14ac:dyDescent="0.25">
      <c r="A2036" t="s">
        <v>702</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703</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704</v>
      </c>
      <c r="B2042">
        <v>44</v>
      </c>
      <c r="P2042">
        <v>0</v>
      </c>
      <c r="Q2042">
        <v>0</v>
      </c>
      <c r="S2042">
        <v>0</v>
      </c>
      <c r="T2042">
        <v>0</v>
      </c>
      <c r="U2042">
        <v>0</v>
      </c>
      <c r="V2042">
        <v>0</v>
      </c>
      <c r="W2042">
        <v>0</v>
      </c>
      <c r="Y2042">
        <v>0</v>
      </c>
      <c r="Z2042">
        <v>0</v>
      </c>
      <c r="AA2042">
        <v>0</v>
      </c>
    </row>
    <row r="2043" spans="1:27" x14ac:dyDescent="0.25">
      <c r="A2043" t="s">
        <v>705</v>
      </c>
      <c r="B2043">
        <v>44</v>
      </c>
      <c r="P2043">
        <v>0</v>
      </c>
      <c r="Q2043">
        <v>0</v>
      </c>
      <c r="S2043">
        <v>0</v>
      </c>
      <c r="T2043">
        <v>0</v>
      </c>
      <c r="U2043">
        <v>0</v>
      </c>
      <c r="V2043">
        <v>0</v>
      </c>
      <c r="W2043">
        <v>0</v>
      </c>
      <c r="Y2043">
        <v>0</v>
      </c>
      <c r="Z2043">
        <v>0</v>
      </c>
      <c r="AA2043">
        <v>0</v>
      </c>
    </row>
    <row r="2044" spans="1:27" x14ac:dyDescent="0.25">
      <c r="A2044" t="s">
        <v>706</v>
      </c>
      <c r="B2044">
        <v>44</v>
      </c>
      <c r="P2044">
        <v>0</v>
      </c>
      <c r="Q2044">
        <v>0</v>
      </c>
      <c r="S2044">
        <v>0</v>
      </c>
      <c r="T2044">
        <v>0</v>
      </c>
      <c r="U2044">
        <v>0</v>
      </c>
      <c r="V2044">
        <v>0</v>
      </c>
      <c r="W2044">
        <v>0</v>
      </c>
      <c r="Y2044">
        <v>0</v>
      </c>
      <c r="Z2044">
        <v>0</v>
      </c>
      <c r="AA2044">
        <v>0</v>
      </c>
    </row>
    <row r="2045" spans="1:27" x14ac:dyDescent="0.25">
      <c r="A2045" t="s">
        <v>707</v>
      </c>
      <c r="B2045">
        <v>44</v>
      </c>
      <c r="P2045">
        <v>0</v>
      </c>
      <c r="Q2045">
        <v>0</v>
      </c>
      <c r="S2045">
        <v>0</v>
      </c>
      <c r="T2045">
        <v>0</v>
      </c>
      <c r="U2045">
        <v>0</v>
      </c>
      <c r="V2045">
        <v>0</v>
      </c>
      <c r="W2045">
        <v>0</v>
      </c>
      <c r="Y2045">
        <v>0</v>
      </c>
      <c r="Z2045">
        <v>0</v>
      </c>
      <c r="AA2045">
        <v>0</v>
      </c>
    </row>
    <row r="2046" spans="1:27" x14ac:dyDescent="0.25">
      <c r="A2046" t="s">
        <v>708</v>
      </c>
      <c r="B2046">
        <v>44</v>
      </c>
      <c r="P2046">
        <v>1</v>
      </c>
      <c r="Q2046">
        <v>2</v>
      </c>
      <c r="S2046">
        <v>1</v>
      </c>
      <c r="T2046">
        <v>2</v>
      </c>
      <c r="U2046">
        <v>1</v>
      </c>
      <c r="V2046">
        <v>1</v>
      </c>
      <c r="W2046">
        <v>2</v>
      </c>
      <c r="Y2046">
        <v>1</v>
      </c>
      <c r="Z2046">
        <v>2</v>
      </c>
      <c r="AA2046">
        <v>1</v>
      </c>
    </row>
    <row r="2047" spans="1:27" x14ac:dyDescent="0.25">
      <c r="A2047" t="s">
        <v>709</v>
      </c>
      <c r="B2047">
        <v>44</v>
      </c>
      <c r="P2047">
        <v>0</v>
      </c>
      <c r="Q2047">
        <v>0</v>
      </c>
      <c r="S2047">
        <v>0</v>
      </c>
      <c r="T2047">
        <v>0</v>
      </c>
      <c r="U2047">
        <v>0</v>
      </c>
      <c r="V2047">
        <v>0</v>
      </c>
      <c r="W2047">
        <v>0</v>
      </c>
      <c r="Y2047">
        <v>0</v>
      </c>
      <c r="Z2047">
        <v>0</v>
      </c>
      <c r="AA2047">
        <v>0</v>
      </c>
    </row>
    <row r="2048" spans="1:27" x14ac:dyDescent="0.25">
      <c r="A2048" t="s">
        <v>710</v>
      </c>
      <c r="B2048">
        <v>44</v>
      </c>
      <c r="P2048">
        <v>20</v>
      </c>
      <c r="Q2048">
        <v>6</v>
      </c>
      <c r="S2048">
        <v>20</v>
      </c>
      <c r="T2048">
        <v>6</v>
      </c>
      <c r="U2048">
        <v>20</v>
      </c>
      <c r="V2048">
        <v>20</v>
      </c>
      <c r="W2048">
        <v>6</v>
      </c>
      <c r="Y2048">
        <v>20</v>
      </c>
      <c r="Z2048">
        <v>6</v>
      </c>
      <c r="AA2048">
        <v>20</v>
      </c>
    </row>
    <row r="2049" spans="1:27" x14ac:dyDescent="0.25">
      <c r="A2049" t="s">
        <v>711</v>
      </c>
      <c r="B2049">
        <v>44</v>
      </c>
      <c r="P2049">
        <v>3</v>
      </c>
      <c r="Q2049">
        <v>3</v>
      </c>
      <c r="S2049">
        <v>3</v>
      </c>
      <c r="T2049">
        <v>3</v>
      </c>
      <c r="U2049">
        <v>3</v>
      </c>
      <c r="V2049">
        <v>3</v>
      </c>
      <c r="W2049">
        <v>3</v>
      </c>
      <c r="Y2049">
        <v>3</v>
      </c>
      <c r="Z2049">
        <v>3</v>
      </c>
      <c r="AA2049">
        <v>3</v>
      </c>
    </row>
    <row r="2050" spans="1:27" x14ac:dyDescent="0.25">
      <c r="A2050" t="s">
        <v>712</v>
      </c>
      <c r="B2050">
        <v>44</v>
      </c>
      <c r="P2050">
        <v>0</v>
      </c>
      <c r="Q2050">
        <v>0</v>
      </c>
      <c r="S2050">
        <v>0</v>
      </c>
      <c r="T2050">
        <v>0</v>
      </c>
      <c r="U2050">
        <v>0</v>
      </c>
      <c r="V2050">
        <v>0</v>
      </c>
      <c r="W2050">
        <v>0</v>
      </c>
      <c r="Y2050">
        <v>0</v>
      </c>
      <c r="Z2050">
        <v>0</v>
      </c>
      <c r="AA2050">
        <v>0</v>
      </c>
    </row>
    <row r="2051" spans="1:27" x14ac:dyDescent="0.25">
      <c r="A2051" t="s">
        <v>713</v>
      </c>
      <c r="B2051">
        <v>44</v>
      </c>
      <c r="P2051">
        <v>0</v>
      </c>
      <c r="Q2051">
        <v>0</v>
      </c>
      <c r="S2051">
        <v>0</v>
      </c>
      <c r="T2051">
        <v>0</v>
      </c>
      <c r="U2051">
        <v>0</v>
      </c>
      <c r="V2051">
        <v>0</v>
      </c>
      <c r="W2051">
        <v>0</v>
      </c>
      <c r="Y2051">
        <v>0</v>
      </c>
      <c r="Z2051">
        <v>0</v>
      </c>
      <c r="AA2051">
        <v>0</v>
      </c>
    </row>
    <row r="2052" spans="1:27" x14ac:dyDescent="0.25">
      <c r="A2052" t="s">
        <v>714</v>
      </c>
      <c r="B2052">
        <v>44</v>
      </c>
      <c r="P2052">
        <v>0</v>
      </c>
      <c r="Q2052">
        <v>0</v>
      </c>
      <c r="S2052">
        <v>0</v>
      </c>
      <c r="T2052">
        <v>0</v>
      </c>
      <c r="U2052">
        <v>0</v>
      </c>
      <c r="V2052">
        <v>0</v>
      </c>
      <c r="W2052">
        <v>0</v>
      </c>
      <c r="Y2052">
        <v>0</v>
      </c>
      <c r="Z2052">
        <v>0</v>
      </c>
      <c r="AA2052">
        <v>0</v>
      </c>
    </row>
    <row r="2053" spans="1:27" x14ac:dyDescent="0.25">
      <c r="A2053" t="s">
        <v>715</v>
      </c>
      <c r="B2053">
        <v>44</v>
      </c>
      <c r="Q2053">
        <v>94</v>
      </c>
      <c r="T2053">
        <v>94</v>
      </c>
      <c r="W2053">
        <v>94</v>
      </c>
      <c r="Z2053">
        <v>94</v>
      </c>
    </row>
    <row r="2054" spans="1:27" x14ac:dyDescent="0.25">
      <c r="A2054" t="s">
        <v>716</v>
      </c>
      <c r="B2054">
        <v>44</v>
      </c>
      <c r="Q2054">
        <v>6</v>
      </c>
      <c r="T2054">
        <v>6</v>
      </c>
      <c r="W2054">
        <v>6</v>
      </c>
      <c r="Z2054">
        <v>6</v>
      </c>
    </row>
    <row r="2055" spans="1:27" x14ac:dyDescent="0.25">
      <c r="A2055" t="s">
        <v>717</v>
      </c>
      <c r="B2055">
        <v>44</v>
      </c>
      <c r="Q2055">
        <v>3</v>
      </c>
      <c r="T2055">
        <v>3</v>
      </c>
      <c r="W2055">
        <v>3</v>
      </c>
      <c r="Z2055">
        <v>3</v>
      </c>
    </row>
    <row r="2056" spans="1:27" x14ac:dyDescent="0.25">
      <c r="A2056" t="s">
        <v>718</v>
      </c>
      <c r="B2056">
        <v>44</v>
      </c>
      <c r="Q2056">
        <v>0</v>
      </c>
      <c r="T2056">
        <v>0</v>
      </c>
      <c r="W2056">
        <v>0</v>
      </c>
      <c r="Z2056">
        <v>0</v>
      </c>
    </row>
    <row r="2057" spans="1:27" x14ac:dyDescent="0.25">
      <c r="A2057" t="s">
        <v>719</v>
      </c>
      <c r="B2057">
        <v>44</v>
      </c>
      <c r="Q2057">
        <v>0</v>
      </c>
      <c r="T2057">
        <v>0</v>
      </c>
      <c r="W2057">
        <v>0</v>
      </c>
      <c r="Z2057">
        <v>0</v>
      </c>
    </row>
    <row r="2058" spans="1:27" x14ac:dyDescent="0.25">
      <c r="A2058" t="s">
        <v>405</v>
      </c>
      <c r="B2058">
        <v>44</v>
      </c>
      <c r="Q2058">
        <v>0</v>
      </c>
    </row>
    <row r="2059" spans="1:27" x14ac:dyDescent="0.25">
      <c r="A2059" t="s">
        <v>720</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695</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696</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697</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698</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699</v>
      </c>
      <c r="B2086">
        <v>46</v>
      </c>
      <c r="P2086">
        <v>0</v>
      </c>
      <c r="T2086">
        <v>0</v>
      </c>
      <c r="W2086">
        <v>0</v>
      </c>
    </row>
    <row r="2087" spans="1:24" x14ac:dyDescent="0.25">
      <c r="A2087" t="s">
        <v>678</v>
      </c>
      <c r="B2087">
        <v>46</v>
      </c>
      <c r="P2087">
        <v>276</v>
      </c>
      <c r="T2087">
        <v>906</v>
      </c>
      <c r="W2087">
        <v>1161</v>
      </c>
    </row>
    <row r="2088" spans="1:24" x14ac:dyDescent="0.25">
      <c r="A2088" t="s">
        <v>78</v>
      </c>
      <c r="B2088">
        <v>46</v>
      </c>
      <c r="P2088">
        <v>7.5</v>
      </c>
      <c r="T2088">
        <v>13.7</v>
      </c>
      <c r="W2088">
        <v>17.600000000000001</v>
      </c>
    </row>
    <row r="2089" spans="1:24" x14ac:dyDescent="0.25">
      <c r="A2089" t="s">
        <v>700</v>
      </c>
      <c r="B2089">
        <v>46</v>
      </c>
      <c r="R2089">
        <v>0</v>
      </c>
      <c r="T2089">
        <v>0</v>
      </c>
      <c r="X2089">
        <v>0</v>
      </c>
    </row>
    <row r="2090" spans="1:24" x14ac:dyDescent="0.25">
      <c r="A2090" t="s">
        <v>701</v>
      </c>
      <c r="B2090">
        <v>46</v>
      </c>
      <c r="P2090">
        <v>0</v>
      </c>
      <c r="R2090">
        <v>1</v>
      </c>
      <c r="S2090">
        <v>0</v>
      </c>
      <c r="T2090">
        <v>0</v>
      </c>
      <c r="W2090">
        <v>0</v>
      </c>
      <c r="X2090">
        <v>1</v>
      </c>
    </row>
    <row r="2091" spans="1:24" x14ac:dyDescent="0.25">
      <c r="A2091" t="s">
        <v>702</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703</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704</v>
      </c>
      <c r="B2097">
        <v>46</v>
      </c>
      <c r="P2097">
        <v>0</v>
      </c>
      <c r="R2097">
        <v>0</v>
      </c>
      <c r="S2097">
        <v>0</v>
      </c>
      <c r="T2097">
        <v>0</v>
      </c>
      <c r="W2097">
        <v>0</v>
      </c>
      <c r="X2097">
        <v>0</v>
      </c>
    </row>
    <row r="2098" spans="1:24" x14ac:dyDescent="0.25">
      <c r="A2098" t="s">
        <v>705</v>
      </c>
      <c r="B2098">
        <v>46</v>
      </c>
      <c r="P2098">
        <v>0</v>
      </c>
      <c r="R2098">
        <v>0</v>
      </c>
      <c r="S2098">
        <v>0</v>
      </c>
      <c r="T2098">
        <v>0</v>
      </c>
      <c r="W2098">
        <v>0</v>
      </c>
      <c r="X2098">
        <v>0</v>
      </c>
    </row>
    <row r="2099" spans="1:24" x14ac:dyDescent="0.25">
      <c r="A2099" t="s">
        <v>706</v>
      </c>
      <c r="B2099">
        <v>46</v>
      </c>
      <c r="P2099">
        <v>0</v>
      </c>
      <c r="R2099">
        <v>0</v>
      </c>
      <c r="S2099">
        <v>0</v>
      </c>
      <c r="T2099">
        <v>0</v>
      </c>
      <c r="W2099">
        <v>0</v>
      </c>
      <c r="X2099">
        <v>0</v>
      </c>
    </row>
    <row r="2100" spans="1:24" x14ac:dyDescent="0.25">
      <c r="A2100" t="s">
        <v>707</v>
      </c>
      <c r="B2100">
        <v>46</v>
      </c>
      <c r="P2100">
        <v>0</v>
      </c>
      <c r="R2100">
        <v>0</v>
      </c>
      <c r="S2100">
        <v>0</v>
      </c>
      <c r="T2100">
        <v>0</v>
      </c>
      <c r="W2100">
        <v>0</v>
      </c>
      <c r="X2100">
        <v>0</v>
      </c>
    </row>
    <row r="2101" spans="1:24" x14ac:dyDescent="0.25">
      <c r="A2101" t="s">
        <v>708</v>
      </c>
      <c r="B2101">
        <v>46</v>
      </c>
      <c r="P2101">
        <v>1</v>
      </c>
      <c r="R2101">
        <v>1</v>
      </c>
      <c r="S2101">
        <v>1</v>
      </c>
      <c r="T2101">
        <v>2</v>
      </c>
      <c r="W2101">
        <v>2</v>
      </c>
      <c r="X2101">
        <v>1</v>
      </c>
    </row>
    <row r="2102" spans="1:24" x14ac:dyDescent="0.25">
      <c r="A2102" t="s">
        <v>709</v>
      </c>
      <c r="B2102">
        <v>46</v>
      </c>
      <c r="P2102">
        <v>0</v>
      </c>
      <c r="R2102">
        <v>0</v>
      </c>
      <c r="S2102">
        <v>0</v>
      </c>
      <c r="T2102">
        <v>0</v>
      </c>
      <c r="W2102">
        <v>0</v>
      </c>
      <c r="X2102">
        <v>0</v>
      </c>
    </row>
    <row r="2103" spans="1:24" x14ac:dyDescent="0.25">
      <c r="A2103" t="s">
        <v>710</v>
      </c>
      <c r="B2103">
        <v>46</v>
      </c>
      <c r="P2103">
        <v>20</v>
      </c>
      <c r="R2103">
        <v>20</v>
      </c>
      <c r="S2103">
        <v>20</v>
      </c>
      <c r="T2103">
        <v>6</v>
      </c>
      <c r="W2103">
        <v>6</v>
      </c>
      <c r="X2103">
        <v>20</v>
      </c>
    </row>
    <row r="2104" spans="1:24" x14ac:dyDescent="0.25">
      <c r="A2104" t="s">
        <v>711</v>
      </c>
      <c r="B2104">
        <v>46</v>
      </c>
      <c r="P2104">
        <v>3</v>
      </c>
      <c r="R2104">
        <v>3</v>
      </c>
      <c r="S2104">
        <v>3</v>
      </c>
      <c r="T2104">
        <v>3</v>
      </c>
      <c r="W2104">
        <v>3</v>
      </c>
      <c r="X2104">
        <v>3</v>
      </c>
    </row>
    <row r="2105" spans="1:24" x14ac:dyDescent="0.25">
      <c r="A2105" t="s">
        <v>712</v>
      </c>
      <c r="B2105">
        <v>46</v>
      </c>
      <c r="P2105">
        <v>0</v>
      </c>
      <c r="R2105">
        <v>0</v>
      </c>
      <c r="S2105">
        <v>0</v>
      </c>
      <c r="T2105">
        <v>0</v>
      </c>
      <c r="W2105">
        <v>0</v>
      </c>
      <c r="X2105">
        <v>0</v>
      </c>
    </row>
    <row r="2106" spans="1:24" x14ac:dyDescent="0.25">
      <c r="A2106" t="s">
        <v>713</v>
      </c>
      <c r="B2106">
        <v>46</v>
      </c>
      <c r="P2106">
        <v>0</v>
      </c>
      <c r="R2106">
        <v>0</v>
      </c>
      <c r="S2106">
        <v>0</v>
      </c>
      <c r="T2106">
        <v>0</v>
      </c>
      <c r="W2106">
        <v>0</v>
      </c>
      <c r="X2106">
        <v>0</v>
      </c>
    </row>
    <row r="2107" spans="1:24" x14ac:dyDescent="0.25">
      <c r="A2107" t="s">
        <v>714</v>
      </c>
      <c r="B2107">
        <v>46</v>
      </c>
      <c r="P2107">
        <v>0</v>
      </c>
      <c r="R2107">
        <v>0</v>
      </c>
      <c r="S2107">
        <v>0</v>
      </c>
      <c r="T2107">
        <v>0</v>
      </c>
      <c r="W2107">
        <v>0</v>
      </c>
      <c r="X2107">
        <v>0</v>
      </c>
    </row>
    <row r="2108" spans="1:24" x14ac:dyDescent="0.25">
      <c r="A2108" t="s">
        <v>715</v>
      </c>
      <c r="B2108">
        <v>46</v>
      </c>
      <c r="T2108">
        <v>94</v>
      </c>
      <c r="W2108">
        <v>94</v>
      </c>
    </row>
    <row r="2109" spans="1:24" x14ac:dyDescent="0.25">
      <c r="A2109" t="s">
        <v>716</v>
      </c>
      <c r="B2109">
        <v>46</v>
      </c>
      <c r="T2109">
        <v>6</v>
      </c>
      <c r="W2109">
        <v>6</v>
      </c>
    </row>
    <row r="2110" spans="1:24" x14ac:dyDescent="0.25">
      <c r="A2110" t="s">
        <v>717</v>
      </c>
      <c r="B2110">
        <v>46</v>
      </c>
      <c r="T2110">
        <v>3</v>
      </c>
      <c r="W2110">
        <v>3</v>
      </c>
    </row>
    <row r="2111" spans="1:24" x14ac:dyDescent="0.25">
      <c r="A2111" t="s">
        <v>718</v>
      </c>
      <c r="B2111">
        <v>46</v>
      </c>
      <c r="T2111">
        <v>0</v>
      </c>
      <c r="W2111">
        <v>0</v>
      </c>
    </row>
    <row r="2112" spans="1:24" x14ac:dyDescent="0.25">
      <c r="A2112" t="s">
        <v>719</v>
      </c>
      <c r="B2112">
        <v>46</v>
      </c>
      <c r="P2112">
        <v>0</v>
      </c>
      <c r="T2112">
        <v>0</v>
      </c>
      <c r="W2112">
        <v>0</v>
      </c>
    </row>
    <row r="2113" spans="1:24" x14ac:dyDescent="0.25">
      <c r="A2113" t="s">
        <v>405</v>
      </c>
      <c r="B2113">
        <v>46</v>
      </c>
      <c r="P2113">
        <v>0</v>
      </c>
    </row>
    <row r="2114" spans="1:24" x14ac:dyDescent="0.25">
      <c r="A2114" t="s">
        <v>773</v>
      </c>
      <c r="B2114">
        <v>46</v>
      </c>
      <c r="R2114">
        <v>0</v>
      </c>
    </row>
    <row r="2115" spans="1:24" x14ac:dyDescent="0.25">
      <c r="A2115" t="s">
        <v>720</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695</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696</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697</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698</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699</v>
      </c>
      <c r="B2142">
        <v>49</v>
      </c>
      <c r="P2142">
        <v>0</v>
      </c>
      <c r="T2142">
        <v>0</v>
      </c>
      <c r="W2142">
        <v>0</v>
      </c>
    </row>
    <row r="2143" spans="1:24" x14ac:dyDescent="0.25">
      <c r="A2143" t="s">
        <v>678</v>
      </c>
      <c r="B2143">
        <v>49</v>
      </c>
      <c r="P2143">
        <v>299</v>
      </c>
      <c r="T2143">
        <v>2934</v>
      </c>
      <c r="W2143">
        <v>4063</v>
      </c>
    </row>
    <row r="2144" spans="1:24" x14ac:dyDescent="0.25">
      <c r="A2144" t="s">
        <v>78</v>
      </c>
      <c r="B2144">
        <v>49</v>
      </c>
      <c r="P2144">
        <v>6.8</v>
      </c>
      <c r="T2144">
        <v>44.5</v>
      </c>
      <c r="W2144">
        <v>61.6</v>
      </c>
    </row>
    <row r="2145" spans="1:24" x14ac:dyDescent="0.25">
      <c r="A2145" t="s">
        <v>700</v>
      </c>
      <c r="B2145">
        <v>49</v>
      </c>
      <c r="R2145">
        <v>0</v>
      </c>
      <c r="T2145">
        <v>0</v>
      </c>
      <c r="X2145">
        <v>0</v>
      </c>
    </row>
    <row r="2146" spans="1:24" x14ac:dyDescent="0.25">
      <c r="A2146" t="s">
        <v>701</v>
      </c>
      <c r="B2146">
        <v>49</v>
      </c>
      <c r="P2146">
        <v>0</v>
      </c>
      <c r="R2146">
        <v>1</v>
      </c>
      <c r="S2146">
        <v>0</v>
      </c>
      <c r="T2146">
        <v>0</v>
      </c>
      <c r="W2146">
        <v>0</v>
      </c>
      <c r="X2146">
        <v>1</v>
      </c>
    </row>
    <row r="2147" spans="1:24" x14ac:dyDescent="0.25">
      <c r="A2147" t="s">
        <v>702</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703</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704</v>
      </c>
      <c r="B2153">
        <v>49</v>
      </c>
      <c r="P2153">
        <v>0</v>
      </c>
      <c r="R2153">
        <v>0</v>
      </c>
      <c r="S2153">
        <v>0</v>
      </c>
      <c r="T2153">
        <v>0</v>
      </c>
      <c r="W2153">
        <v>0</v>
      </c>
    </row>
    <row r="2154" spans="1:24" x14ac:dyDescent="0.25">
      <c r="A2154" t="s">
        <v>705</v>
      </c>
      <c r="B2154">
        <v>49</v>
      </c>
      <c r="P2154">
        <v>0</v>
      </c>
      <c r="R2154">
        <v>0</v>
      </c>
      <c r="S2154">
        <v>0</v>
      </c>
      <c r="T2154">
        <v>0</v>
      </c>
      <c r="W2154">
        <v>0</v>
      </c>
    </row>
    <row r="2155" spans="1:24" x14ac:dyDescent="0.25">
      <c r="A2155" t="s">
        <v>706</v>
      </c>
      <c r="B2155">
        <v>49</v>
      </c>
      <c r="P2155">
        <v>0</v>
      </c>
      <c r="R2155">
        <v>0</v>
      </c>
      <c r="S2155">
        <v>0</v>
      </c>
      <c r="T2155">
        <v>0</v>
      </c>
      <c r="W2155">
        <v>0</v>
      </c>
    </row>
    <row r="2156" spans="1:24" x14ac:dyDescent="0.25">
      <c r="A2156" t="s">
        <v>707</v>
      </c>
      <c r="B2156">
        <v>49</v>
      </c>
      <c r="P2156">
        <v>0</v>
      </c>
      <c r="R2156">
        <v>0</v>
      </c>
      <c r="S2156">
        <v>0</v>
      </c>
      <c r="T2156">
        <v>0</v>
      </c>
      <c r="W2156">
        <v>0</v>
      </c>
    </row>
    <row r="2157" spans="1:24" x14ac:dyDescent="0.25">
      <c r="A2157" t="s">
        <v>708</v>
      </c>
      <c r="B2157">
        <v>49</v>
      </c>
      <c r="P2157">
        <v>1</v>
      </c>
      <c r="R2157">
        <v>1</v>
      </c>
      <c r="S2157">
        <v>1</v>
      </c>
      <c r="T2157">
        <v>2</v>
      </c>
      <c r="W2157">
        <v>2</v>
      </c>
    </row>
    <row r="2158" spans="1:24" x14ac:dyDescent="0.25">
      <c r="A2158" t="s">
        <v>709</v>
      </c>
      <c r="B2158">
        <v>49</v>
      </c>
      <c r="P2158">
        <v>0</v>
      </c>
      <c r="R2158">
        <v>0</v>
      </c>
      <c r="S2158">
        <v>0</v>
      </c>
      <c r="T2158">
        <v>0</v>
      </c>
      <c r="W2158">
        <v>0</v>
      </c>
    </row>
    <row r="2159" spans="1:24" x14ac:dyDescent="0.25">
      <c r="A2159" t="s">
        <v>710</v>
      </c>
      <c r="B2159">
        <v>49</v>
      </c>
      <c r="P2159">
        <v>20</v>
      </c>
      <c r="R2159">
        <v>20</v>
      </c>
      <c r="S2159">
        <v>20</v>
      </c>
      <c r="T2159">
        <v>6</v>
      </c>
      <c r="W2159">
        <v>6</v>
      </c>
    </row>
    <row r="2160" spans="1:24" x14ac:dyDescent="0.25">
      <c r="A2160" t="s">
        <v>711</v>
      </c>
      <c r="B2160">
        <v>49</v>
      </c>
      <c r="P2160">
        <v>3</v>
      </c>
      <c r="R2160">
        <v>3</v>
      </c>
      <c r="S2160">
        <v>3</v>
      </c>
      <c r="T2160">
        <v>3</v>
      </c>
      <c r="W2160">
        <v>3</v>
      </c>
    </row>
    <row r="2161" spans="1:24" x14ac:dyDescent="0.25">
      <c r="A2161" t="s">
        <v>712</v>
      </c>
      <c r="B2161">
        <v>49</v>
      </c>
      <c r="P2161">
        <v>0</v>
      </c>
      <c r="R2161">
        <v>0</v>
      </c>
      <c r="S2161">
        <v>0</v>
      </c>
      <c r="T2161">
        <v>0</v>
      </c>
      <c r="W2161">
        <v>0</v>
      </c>
    </row>
    <row r="2162" spans="1:24" x14ac:dyDescent="0.25">
      <c r="A2162" t="s">
        <v>713</v>
      </c>
      <c r="B2162">
        <v>49</v>
      </c>
      <c r="P2162">
        <v>0</v>
      </c>
      <c r="R2162">
        <v>0</v>
      </c>
      <c r="S2162">
        <v>0</v>
      </c>
      <c r="T2162">
        <v>0</v>
      </c>
      <c r="W2162">
        <v>0</v>
      </c>
    </row>
    <row r="2163" spans="1:24" x14ac:dyDescent="0.25">
      <c r="A2163" t="s">
        <v>714</v>
      </c>
      <c r="B2163">
        <v>49</v>
      </c>
      <c r="P2163">
        <v>0</v>
      </c>
      <c r="R2163">
        <v>0</v>
      </c>
      <c r="S2163">
        <v>0</v>
      </c>
      <c r="T2163">
        <v>0</v>
      </c>
      <c r="W2163">
        <v>0</v>
      </c>
    </row>
    <row r="2164" spans="1:24" x14ac:dyDescent="0.25">
      <c r="A2164" t="s">
        <v>715</v>
      </c>
      <c r="B2164">
        <v>49</v>
      </c>
      <c r="T2164">
        <v>94</v>
      </c>
      <c r="W2164">
        <v>94</v>
      </c>
    </row>
    <row r="2165" spans="1:24" x14ac:dyDescent="0.25">
      <c r="A2165" t="s">
        <v>716</v>
      </c>
      <c r="B2165">
        <v>49</v>
      </c>
      <c r="T2165">
        <v>6</v>
      </c>
      <c r="W2165">
        <v>6</v>
      </c>
    </row>
    <row r="2166" spans="1:24" x14ac:dyDescent="0.25">
      <c r="A2166" t="s">
        <v>717</v>
      </c>
      <c r="B2166">
        <v>49</v>
      </c>
      <c r="T2166">
        <v>3</v>
      </c>
      <c r="W2166">
        <v>3</v>
      </c>
    </row>
    <row r="2167" spans="1:24" x14ac:dyDescent="0.25">
      <c r="A2167" t="s">
        <v>718</v>
      </c>
      <c r="B2167">
        <v>49</v>
      </c>
      <c r="T2167">
        <v>0</v>
      </c>
      <c r="W2167">
        <v>0</v>
      </c>
    </row>
    <row r="2168" spans="1:24" x14ac:dyDescent="0.25">
      <c r="A2168" t="s">
        <v>719</v>
      </c>
      <c r="B2168">
        <v>49</v>
      </c>
      <c r="P2168">
        <v>0</v>
      </c>
      <c r="T2168">
        <v>0</v>
      </c>
      <c r="W2168">
        <v>0</v>
      </c>
    </row>
    <row r="2169" spans="1:24" x14ac:dyDescent="0.25">
      <c r="A2169" t="s">
        <v>405</v>
      </c>
      <c r="B2169">
        <v>49</v>
      </c>
      <c r="P2169">
        <v>0</v>
      </c>
    </row>
    <row r="2170" spans="1:24" x14ac:dyDescent="0.25">
      <c r="A2170" t="s">
        <v>720</v>
      </c>
      <c r="B2170">
        <v>49</v>
      </c>
      <c r="P2170">
        <v>29</v>
      </c>
      <c r="R2170">
        <v>64</v>
      </c>
      <c r="S2170">
        <v>41</v>
      </c>
      <c r="T2170">
        <v>1037</v>
      </c>
      <c r="W2170">
        <v>1192</v>
      </c>
      <c r="X2170">
        <v>0</v>
      </c>
    </row>
    <row r="2172" spans="1:24" x14ac:dyDescent="0.25">
      <c r="A2172" t="s">
        <v>565</v>
      </c>
    </row>
    <row r="2173" spans="1:24" x14ac:dyDescent="0.25">
      <c r="A2173" t="s">
        <v>723</v>
      </c>
    </row>
    <row r="2174" spans="1:24" x14ac:dyDescent="0.25">
      <c r="A2174" t="s">
        <v>0</v>
      </c>
      <c r="B2174" t="s">
        <v>1</v>
      </c>
      <c r="C2174" t="s">
        <v>643</v>
      </c>
    </row>
    <row r="2175" spans="1:24" x14ac:dyDescent="0.25">
      <c r="A2175" t="s">
        <v>724</v>
      </c>
      <c r="B2175">
        <v>1</v>
      </c>
      <c r="C2175">
        <v>3</v>
      </c>
    </row>
    <row r="2176" spans="1:24" x14ac:dyDescent="0.25">
      <c r="A2176" t="s">
        <v>725</v>
      </c>
      <c r="B2176">
        <v>1</v>
      </c>
      <c r="C2176">
        <v>140</v>
      </c>
    </row>
    <row r="2177" spans="1:3" x14ac:dyDescent="0.25">
      <c r="A2177" t="s">
        <v>726</v>
      </c>
      <c r="B2177">
        <v>1</v>
      </c>
      <c r="C2177">
        <v>0</v>
      </c>
    </row>
    <row r="2178" spans="1:3" x14ac:dyDescent="0.25">
      <c r="A2178" t="s">
        <v>727</v>
      </c>
      <c r="B2178">
        <v>1</v>
      </c>
      <c r="C2178">
        <v>0</v>
      </c>
    </row>
    <row r="2179" spans="1:3" x14ac:dyDescent="0.25">
      <c r="A2179" t="s">
        <v>728</v>
      </c>
      <c r="B2179">
        <v>1</v>
      </c>
      <c r="C2179">
        <v>206</v>
      </c>
    </row>
    <row r="2180" spans="1:3" x14ac:dyDescent="0.25">
      <c r="A2180" t="s">
        <v>563</v>
      </c>
      <c r="B2180">
        <v>1</v>
      </c>
      <c r="C2180">
        <v>0</v>
      </c>
    </row>
    <row r="2181" spans="1:3" x14ac:dyDescent="0.25">
      <c r="A2181" t="s">
        <v>729</v>
      </c>
      <c r="B2181">
        <v>1</v>
      </c>
      <c r="C2181">
        <v>1</v>
      </c>
    </row>
    <row r="2182" spans="1:3" x14ac:dyDescent="0.25">
      <c r="A2182" t="s">
        <v>272</v>
      </c>
      <c r="B2182">
        <v>1</v>
      </c>
      <c r="C2182">
        <v>0</v>
      </c>
    </row>
    <row r="2183" spans="1:3" x14ac:dyDescent="0.25">
      <c r="A2183" t="s">
        <v>730</v>
      </c>
      <c r="B2183">
        <v>1</v>
      </c>
      <c r="C2183">
        <v>1</v>
      </c>
    </row>
    <row r="2184" spans="1:3" x14ac:dyDescent="0.25">
      <c r="A2184" t="s">
        <v>731</v>
      </c>
      <c r="B2184">
        <v>1</v>
      </c>
      <c r="C2184">
        <v>0</v>
      </c>
    </row>
    <row r="2185" spans="1:3" x14ac:dyDescent="0.25">
      <c r="A2185" t="s">
        <v>724</v>
      </c>
      <c r="B2185">
        <v>7</v>
      </c>
      <c r="C2185">
        <v>3</v>
      </c>
    </row>
    <row r="2186" spans="1:3" x14ac:dyDescent="0.25">
      <c r="A2186" t="s">
        <v>725</v>
      </c>
      <c r="B2186">
        <v>7</v>
      </c>
      <c r="C2186">
        <v>140</v>
      </c>
    </row>
    <row r="2187" spans="1:3" x14ac:dyDescent="0.25">
      <c r="A2187" t="s">
        <v>726</v>
      </c>
      <c r="B2187">
        <v>7</v>
      </c>
      <c r="C2187">
        <v>0</v>
      </c>
    </row>
    <row r="2188" spans="1:3" x14ac:dyDescent="0.25">
      <c r="A2188" t="s">
        <v>727</v>
      </c>
      <c r="B2188">
        <v>7</v>
      </c>
      <c r="C2188">
        <v>0</v>
      </c>
    </row>
    <row r="2189" spans="1:3" x14ac:dyDescent="0.25">
      <c r="A2189" t="s">
        <v>728</v>
      </c>
      <c r="B2189">
        <v>7</v>
      </c>
      <c r="C2189">
        <v>206</v>
      </c>
    </row>
    <row r="2190" spans="1:3" x14ac:dyDescent="0.25">
      <c r="A2190" t="s">
        <v>563</v>
      </c>
      <c r="B2190">
        <v>7</v>
      </c>
      <c r="C2190">
        <v>70</v>
      </c>
    </row>
    <row r="2191" spans="1:3" x14ac:dyDescent="0.25">
      <c r="A2191" t="s">
        <v>729</v>
      </c>
      <c r="B2191">
        <v>7</v>
      </c>
      <c r="C2191">
        <v>0</v>
      </c>
    </row>
    <row r="2192" spans="1:3" x14ac:dyDescent="0.25">
      <c r="A2192" t="s">
        <v>272</v>
      </c>
      <c r="B2192">
        <v>7</v>
      </c>
      <c r="C2192">
        <v>0</v>
      </c>
    </row>
    <row r="2193" spans="1:3" x14ac:dyDescent="0.25">
      <c r="A2193" t="s">
        <v>730</v>
      </c>
      <c r="B2193">
        <v>7</v>
      </c>
      <c r="C2193">
        <v>7</v>
      </c>
    </row>
    <row r="2194" spans="1:3" x14ac:dyDescent="0.25">
      <c r="A2194" t="s">
        <v>731</v>
      </c>
      <c r="B2194">
        <v>7</v>
      </c>
      <c r="C2194">
        <v>0</v>
      </c>
    </row>
    <row r="2195" spans="1:3" x14ac:dyDescent="0.25">
      <c r="A2195" t="s">
        <v>724</v>
      </c>
      <c r="B2195">
        <v>9</v>
      </c>
      <c r="C2195">
        <v>3</v>
      </c>
    </row>
    <row r="2196" spans="1:3" x14ac:dyDescent="0.25">
      <c r="A2196" t="s">
        <v>725</v>
      </c>
      <c r="B2196">
        <v>9</v>
      </c>
      <c r="C2196">
        <v>140</v>
      </c>
    </row>
    <row r="2197" spans="1:3" x14ac:dyDescent="0.25">
      <c r="A2197" t="s">
        <v>726</v>
      </c>
      <c r="B2197">
        <v>9</v>
      </c>
      <c r="C2197">
        <v>0</v>
      </c>
    </row>
    <row r="2198" spans="1:3" x14ac:dyDescent="0.25">
      <c r="A2198" t="s">
        <v>727</v>
      </c>
      <c r="B2198">
        <v>9</v>
      </c>
      <c r="C2198">
        <v>0</v>
      </c>
    </row>
    <row r="2199" spans="1:3" x14ac:dyDescent="0.25">
      <c r="A2199" t="s">
        <v>728</v>
      </c>
      <c r="B2199">
        <v>9</v>
      </c>
      <c r="C2199">
        <v>206</v>
      </c>
    </row>
    <row r="2200" spans="1:3" x14ac:dyDescent="0.25">
      <c r="A2200" t="s">
        <v>563</v>
      </c>
      <c r="B2200">
        <v>9</v>
      </c>
      <c r="C2200">
        <v>75</v>
      </c>
    </row>
    <row r="2201" spans="1:3" x14ac:dyDescent="0.25">
      <c r="A2201" t="s">
        <v>729</v>
      </c>
      <c r="B2201">
        <v>9</v>
      </c>
      <c r="C2201">
        <v>0</v>
      </c>
    </row>
    <row r="2202" spans="1:3" x14ac:dyDescent="0.25">
      <c r="A2202" t="s">
        <v>272</v>
      </c>
      <c r="B2202">
        <v>9</v>
      </c>
      <c r="C2202">
        <v>0</v>
      </c>
    </row>
    <row r="2203" spans="1:3" x14ac:dyDescent="0.25">
      <c r="A2203" t="s">
        <v>730</v>
      </c>
      <c r="B2203">
        <v>9</v>
      </c>
      <c r="C2203">
        <v>9</v>
      </c>
    </row>
    <row r="2204" spans="1:3" x14ac:dyDescent="0.25">
      <c r="A2204" t="s">
        <v>731</v>
      </c>
      <c r="B2204">
        <v>9</v>
      </c>
      <c r="C2204">
        <v>0</v>
      </c>
    </row>
    <row r="2205" spans="1:3" x14ac:dyDescent="0.25">
      <c r="A2205" t="s">
        <v>724</v>
      </c>
      <c r="B2205">
        <v>11</v>
      </c>
      <c r="C2205">
        <v>3</v>
      </c>
    </row>
    <row r="2206" spans="1:3" x14ac:dyDescent="0.25">
      <c r="A2206" t="s">
        <v>725</v>
      </c>
      <c r="B2206">
        <v>11</v>
      </c>
      <c r="C2206">
        <v>140</v>
      </c>
    </row>
    <row r="2207" spans="1:3" x14ac:dyDescent="0.25">
      <c r="A2207" t="s">
        <v>726</v>
      </c>
      <c r="B2207">
        <v>11</v>
      </c>
      <c r="C2207">
        <v>0</v>
      </c>
    </row>
    <row r="2208" spans="1:3" x14ac:dyDescent="0.25">
      <c r="A2208" t="s">
        <v>727</v>
      </c>
      <c r="B2208">
        <v>11</v>
      </c>
      <c r="C2208">
        <v>0</v>
      </c>
    </row>
    <row r="2209" spans="1:3" x14ac:dyDescent="0.25">
      <c r="A2209" t="s">
        <v>728</v>
      </c>
      <c r="B2209">
        <v>11</v>
      </c>
      <c r="C2209">
        <v>206</v>
      </c>
    </row>
    <row r="2210" spans="1:3" x14ac:dyDescent="0.25">
      <c r="A2210" t="s">
        <v>563</v>
      </c>
      <c r="B2210">
        <v>11</v>
      </c>
      <c r="C2210">
        <v>12</v>
      </c>
    </row>
    <row r="2211" spans="1:3" x14ac:dyDescent="0.25">
      <c r="A2211" t="s">
        <v>729</v>
      </c>
      <c r="B2211">
        <v>11</v>
      </c>
      <c r="C2211">
        <v>0</v>
      </c>
    </row>
    <row r="2212" spans="1:3" x14ac:dyDescent="0.25">
      <c r="A2212" t="s">
        <v>272</v>
      </c>
      <c r="B2212">
        <v>11</v>
      </c>
      <c r="C2212">
        <v>0</v>
      </c>
    </row>
    <row r="2213" spans="1:3" x14ac:dyDescent="0.25">
      <c r="A2213" t="s">
        <v>730</v>
      </c>
      <c r="B2213">
        <v>11</v>
      </c>
      <c r="C2213">
        <v>11</v>
      </c>
    </row>
    <row r="2214" spans="1:3" x14ac:dyDescent="0.25">
      <c r="A2214" t="s">
        <v>731</v>
      </c>
      <c r="B2214">
        <v>11</v>
      </c>
      <c r="C2214">
        <v>0</v>
      </c>
    </row>
    <row r="2215" spans="1:3" x14ac:dyDescent="0.25">
      <c r="A2215" t="s">
        <v>724</v>
      </c>
      <c r="B2215">
        <v>13</v>
      </c>
      <c r="C2215">
        <v>3</v>
      </c>
    </row>
    <row r="2216" spans="1:3" x14ac:dyDescent="0.25">
      <c r="A2216" t="s">
        <v>725</v>
      </c>
      <c r="B2216">
        <v>13</v>
      </c>
      <c r="C2216">
        <v>140</v>
      </c>
    </row>
    <row r="2217" spans="1:3" x14ac:dyDescent="0.25">
      <c r="A2217" t="s">
        <v>726</v>
      </c>
      <c r="B2217">
        <v>13</v>
      </c>
      <c r="C2217">
        <v>0</v>
      </c>
    </row>
    <row r="2218" spans="1:3" x14ac:dyDescent="0.25">
      <c r="A2218" t="s">
        <v>727</v>
      </c>
      <c r="B2218">
        <v>13</v>
      </c>
      <c r="C2218">
        <v>0</v>
      </c>
    </row>
    <row r="2219" spans="1:3" x14ac:dyDescent="0.25">
      <c r="A2219" t="s">
        <v>728</v>
      </c>
      <c r="B2219">
        <v>13</v>
      </c>
      <c r="C2219">
        <v>206</v>
      </c>
    </row>
    <row r="2220" spans="1:3" x14ac:dyDescent="0.25">
      <c r="A2220" t="s">
        <v>563</v>
      </c>
      <c r="B2220">
        <v>13</v>
      </c>
      <c r="C2220">
        <v>96</v>
      </c>
    </row>
    <row r="2221" spans="1:3" x14ac:dyDescent="0.25">
      <c r="A2221" t="s">
        <v>729</v>
      </c>
      <c r="B2221">
        <v>13</v>
      </c>
      <c r="C2221">
        <v>0</v>
      </c>
    </row>
    <row r="2222" spans="1:3" x14ac:dyDescent="0.25">
      <c r="A2222" t="s">
        <v>272</v>
      </c>
      <c r="B2222">
        <v>13</v>
      </c>
      <c r="C2222">
        <v>0</v>
      </c>
    </row>
    <row r="2223" spans="1:3" x14ac:dyDescent="0.25">
      <c r="A2223" t="s">
        <v>730</v>
      </c>
      <c r="B2223">
        <v>13</v>
      </c>
      <c r="C2223">
        <v>13</v>
      </c>
    </row>
    <row r="2224" spans="1:3" x14ac:dyDescent="0.25">
      <c r="A2224" t="s">
        <v>731</v>
      </c>
      <c r="B2224">
        <v>13</v>
      </c>
      <c r="C2224">
        <v>0</v>
      </c>
    </row>
    <row r="2225" spans="1:3" x14ac:dyDescent="0.25">
      <c r="A2225" t="s">
        <v>724</v>
      </c>
      <c r="B2225">
        <v>17</v>
      </c>
      <c r="C2225">
        <v>2</v>
      </c>
    </row>
    <row r="2226" spans="1:3" x14ac:dyDescent="0.25">
      <c r="A2226" t="s">
        <v>725</v>
      </c>
      <c r="B2226">
        <v>17</v>
      </c>
      <c r="C2226">
        <v>165</v>
      </c>
    </row>
    <row r="2227" spans="1:3" x14ac:dyDescent="0.25">
      <c r="A2227" t="s">
        <v>726</v>
      </c>
      <c r="B2227">
        <v>17</v>
      </c>
      <c r="C2227">
        <v>0</v>
      </c>
    </row>
    <row r="2228" spans="1:3" x14ac:dyDescent="0.25">
      <c r="A2228" t="s">
        <v>727</v>
      </c>
      <c r="B2228">
        <v>17</v>
      </c>
      <c r="C2228">
        <v>0</v>
      </c>
    </row>
    <row r="2229" spans="1:3" x14ac:dyDescent="0.25">
      <c r="A2229" t="s">
        <v>728</v>
      </c>
      <c r="B2229">
        <v>17</v>
      </c>
      <c r="C2229">
        <v>206</v>
      </c>
    </row>
    <row r="2230" spans="1:3" x14ac:dyDescent="0.25">
      <c r="A2230" t="s">
        <v>563</v>
      </c>
      <c r="B2230">
        <v>17</v>
      </c>
      <c r="C2230">
        <v>24.8</v>
      </c>
    </row>
    <row r="2231" spans="1:3" x14ac:dyDescent="0.25">
      <c r="A2231" t="s">
        <v>729</v>
      </c>
      <c r="B2231">
        <v>17</v>
      </c>
      <c r="C2231">
        <v>0</v>
      </c>
    </row>
    <row r="2232" spans="1:3" x14ac:dyDescent="0.25">
      <c r="A2232" t="s">
        <v>272</v>
      </c>
      <c r="B2232">
        <v>17</v>
      </c>
      <c r="C2232">
        <v>0</v>
      </c>
    </row>
    <row r="2233" spans="1:3" x14ac:dyDescent="0.25">
      <c r="A2233" t="s">
        <v>730</v>
      </c>
      <c r="B2233">
        <v>17</v>
      </c>
      <c r="C2233">
        <v>17</v>
      </c>
    </row>
    <row r="2234" spans="1:3" x14ac:dyDescent="0.25">
      <c r="A2234" t="s">
        <v>731</v>
      </c>
      <c r="B2234">
        <v>17</v>
      </c>
      <c r="C2234">
        <v>0</v>
      </c>
    </row>
    <row r="2235" spans="1:3" x14ac:dyDescent="0.25">
      <c r="A2235" t="s">
        <v>724</v>
      </c>
      <c r="B2235">
        <v>21</v>
      </c>
      <c r="C2235">
        <v>3</v>
      </c>
    </row>
    <row r="2236" spans="1:3" x14ac:dyDescent="0.25">
      <c r="A2236" t="s">
        <v>725</v>
      </c>
      <c r="B2236">
        <v>21</v>
      </c>
      <c r="C2236">
        <v>140</v>
      </c>
    </row>
    <row r="2237" spans="1:3" x14ac:dyDescent="0.25">
      <c r="A2237" t="s">
        <v>726</v>
      </c>
      <c r="B2237">
        <v>21</v>
      </c>
      <c r="C2237">
        <v>0</v>
      </c>
    </row>
    <row r="2238" spans="1:3" x14ac:dyDescent="0.25">
      <c r="A2238" t="s">
        <v>727</v>
      </c>
      <c r="B2238">
        <v>21</v>
      </c>
      <c r="C2238">
        <v>0</v>
      </c>
    </row>
    <row r="2239" spans="1:3" x14ac:dyDescent="0.25">
      <c r="A2239" t="s">
        <v>728</v>
      </c>
      <c r="B2239">
        <v>21</v>
      </c>
      <c r="C2239">
        <v>408</v>
      </c>
    </row>
    <row r="2240" spans="1:3" x14ac:dyDescent="0.25">
      <c r="A2240" t="s">
        <v>563</v>
      </c>
      <c r="B2240">
        <v>21</v>
      </c>
      <c r="C2240">
        <v>67</v>
      </c>
    </row>
    <row r="2241" spans="1:3" x14ac:dyDescent="0.25">
      <c r="A2241" t="s">
        <v>729</v>
      </c>
      <c r="B2241">
        <v>21</v>
      </c>
      <c r="C2241">
        <v>0</v>
      </c>
    </row>
    <row r="2242" spans="1:3" x14ac:dyDescent="0.25">
      <c r="A2242" t="s">
        <v>272</v>
      </c>
      <c r="B2242">
        <v>21</v>
      </c>
      <c r="C2242">
        <v>0</v>
      </c>
    </row>
    <row r="2243" spans="1:3" x14ac:dyDescent="0.25">
      <c r="A2243" t="s">
        <v>730</v>
      </c>
      <c r="B2243">
        <v>21</v>
      </c>
      <c r="C2243">
        <v>21</v>
      </c>
    </row>
    <row r="2244" spans="1:3" x14ac:dyDescent="0.25">
      <c r="A2244" t="s">
        <v>731</v>
      </c>
      <c r="B2244">
        <v>21</v>
      </c>
      <c r="C2244">
        <v>0</v>
      </c>
    </row>
    <row r="2245" spans="1:3" x14ac:dyDescent="0.25">
      <c r="A2245" t="s">
        <v>724</v>
      </c>
      <c r="B2245">
        <v>25</v>
      </c>
      <c r="C2245">
        <v>3</v>
      </c>
    </row>
    <row r="2246" spans="1:3" x14ac:dyDescent="0.25">
      <c r="A2246" t="s">
        <v>725</v>
      </c>
      <c r="B2246">
        <v>25</v>
      </c>
      <c r="C2246">
        <v>140</v>
      </c>
    </row>
    <row r="2247" spans="1:3" x14ac:dyDescent="0.25">
      <c r="A2247" t="s">
        <v>726</v>
      </c>
      <c r="B2247">
        <v>25</v>
      </c>
      <c r="C2247">
        <v>0</v>
      </c>
    </row>
    <row r="2248" spans="1:3" x14ac:dyDescent="0.25">
      <c r="A2248" t="s">
        <v>727</v>
      </c>
      <c r="B2248">
        <v>25</v>
      </c>
      <c r="C2248">
        <v>0</v>
      </c>
    </row>
    <row r="2249" spans="1:3" x14ac:dyDescent="0.25">
      <c r="A2249" t="s">
        <v>728</v>
      </c>
      <c r="B2249">
        <v>25</v>
      </c>
      <c r="C2249">
        <v>206</v>
      </c>
    </row>
    <row r="2250" spans="1:3" x14ac:dyDescent="0.25">
      <c r="A2250" t="s">
        <v>563</v>
      </c>
      <c r="B2250">
        <v>25</v>
      </c>
      <c r="C2250">
        <v>114</v>
      </c>
    </row>
    <row r="2251" spans="1:3" x14ac:dyDescent="0.25">
      <c r="A2251" t="s">
        <v>729</v>
      </c>
      <c r="B2251">
        <v>25</v>
      </c>
      <c r="C2251">
        <v>0</v>
      </c>
    </row>
    <row r="2252" spans="1:3" x14ac:dyDescent="0.25">
      <c r="A2252" t="s">
        <v>272</v>
      </c>
      <c r="B2252">
        <v>25</v>
      </c>
      <c r="C2252">
        <v>0</v>
      </c>
    </row>
    <row r="2253" spans="1:3" x14ac:dyDescent="0.25">
      <c r="A2253" t="s">
        <v>730</v>
      </c>
      <c r="B2253">
        <v>25</v>
      </c>
      <c r="C2253">
        <v>25</v>
      </c>
    </row>
    <row r="2254" spans="1:3" x14ac:dyDescent="0.25">
      <c r="A2254" t="s">
        <v>731</v>
      </c>
      <c r="B2254">
        <v>25</v>
      </c>
      <c r="C2254">
        <v>0</v>
      </c>
    </row>
    <row r="2255" spans="1:3" x14ac:dyDescent="0.25">
      <c r="A2255" t="s">
        <v>724</v>
      </c>
      <c r="B2255">
        <v>26</v>
      </c>
      <c r="C2255">
        <v>3</v>
      </c>
    </row>
    <row r="2256" spans="1:3" x14ac:dyDescent="0.25">
      <c r="A2256" t="s">
        <v>725</v>
      </c>
      <c r="B2256">
        <v>26</v>
      </c>
      <c r="C2256">
        <v>140</v>
      </c>
    </row>
    <row r="2257" spans="1:3" x14ac:dyDescent="0.25">
      <c r="A2257" t="s">
        <v>726</v>
      </c>
      <c r="B2257">
        <v>26</v>
      </c>
      <c r="C2257">
        <v>0</v>
      </c>
    </row>
    <row r="2258" spans="1:3" x14ac:dyDescent="0.25">
      <c r="A2258" t="s">
        <v>727</v>
      </c>
      <c r="B2258">
        <v>26</v>
      </c>
      <c r="C2258">
        <v>0</v>
      </c>
    </row>
    <row r="2259" spans="1:3" x14ac:dyDescent="0.25">
      <c r="A2259" t="s">
        <v>728</v>
      </c>
      <c r="B2259">
        <v>26</v>
      </c>
      <c r="C2259">
        <v>206</v>
      </c>
    </row>
    <row r="2260" spans="1:3" x14ac:dyDescent="0.25">
      <c r="A2260" t="s">
        <v>563</v>
      </c>
      <c r="B2260">
        <v>26</v>
      </c>
      <c r="C2260">
        <v>25</v>
      </c>
    </row>
    <row r="2261" spans="1:3" x14ac:dyDescent="0.25">
      <c r="A2261" t="s">
        <v>729</v>
      </c>
      <c r="B2261">
        <v>26</v>
      </c>
      <c r="C2261">
        <v>0</v>
      </c>
    </row>
    <row r="2262" spans="1:3" x14ac:dyDescent="0.25">
      <c r="A2262" t="s">
        <v>272</v>
      </c>
      <c r="B2262">
        <v>26</v>
      </c>
      <c r="C2262">
        <v>0</v>
      </c>
    </row>
    <row r="2263" spans="1:3" x14ac:dyDescent="0.25">
      <c r="A2263" t="s">
        <v>730</v>
      </c>
      <c r="B2263">
        <v>26</v>
      </c>
      <c r="C2263">
        <v>26</v>
      </c>
    </row>
    <row r="2264" spans="1:3" x14ac:dyDescent="0.25">
      <c r="A2264" t="s">
        <v>731</v>
      </c>
      <c r="B2264">
        <v>26</v>
      </c>
      <c r="C2264">
        <v>0</v>
      </c>
    </row>
    <row r="2265" spans="1:3" x14ac:dyDescent="0.25">
      <c r="A2265" t="s">
        <v>724</v>
      </c>
      <c r="B2265">
        <v>27</v>
      </c>
      <c r="C2265">
        <v>3</v>
      </c>
    </row>
    <row r="2266" spans="1:3" x14ac:dyDescent="0.25">
      <c r="A2266" t="s">
        <v>725</v>
      </c>
      <c r="B2266">
        <v>27</v>
      </c>
      <c r="C2266">
        <v>140</v>
      </c>
    </row>
    <row r="2267" spans="1:3" x14ac:dyDescent="0.25">
      <c r="A2267" t="s">
        <v>726</v>
      </c>
      <c r="B2267">
        <v>27</v>
      </c>
      <c r="C2267">
        <v>0</v>
      </c>
    </row>
    <row r="2268" spans="1:3" x14ac:dyDescent="0.25">
      <c r="A2268" t="s">
        <v>727</v>
      </c>
      <c r="B2268">
        <v>27</v>
      </c>
      <c r="C2268">
        <v>0</v>
      </c>
    </row>
    <row r="2269" spans="1:3" x14ac:dyDescent="0.25">
      <c r="A2269" t="s">
        <v>728</v>
      </c>
      <c r="B2269">
        <v>27</v>
      </c>
      <c r="C2269">
        <v>206</v>
      </c>
    </row>
    <row r="2270" spans="1:3" x14ac:dyDescent="0.25">
      <c r="A2270" t="s">
        <v>563</v>
      </c>
      <c r="B2270">
        <v>27</v>
      </c>
      <c r="C2270">
        <v>134</v>
      </c>
    </row>
    <row r="2271" spans="1:3" x14ac:dyDescent="0.25">
      <c r="A2271" t="s">
        <v>729</v>
      </c>
      <c r="B2271">
        <v>27</v>
      </c>
      <c r="C2271">
        <v>0</v>
      </c>
    </row>
    <row r="2272" spans="1:3" x14ac:dyDescent="0.25">
      <c r="A2272" t="s">
        <v>272</v>
      </c>
      <c r="B2272">
        <v>27</v>
      </c>
      <c r="C2272">
        <v>0</v>
      </c>
    </row>
    <row r="2273" spans="1:3" x14ac:dyDescent="0.25">
      <c r="A2273" t="s">
        <v>730</v>
      </c>
      <c r="B2273">
        <v>27</v>
      </c>
      <c r="C2273">
        <v>27</v>
      </c>
    </row>
    <row r="2274" spans="1:3" x14ac:dyDescent="0.25">
      <c r="A2274" t="s">
        <v>731</v>
      </c>
      <c r="B2274">
        <v>27</v>
      </c>
      <c r="C2274">
        <v>0</v>
      </c>
    </row>
    <row r="2275" spans="1:3" x14ac:dyDescent="0.25">
      <c r="A2275" t="s">
        <v>724</v>
      </c>
      <c r="B2275">
        <v>28</v>
      </c>
      <c r="C2275">
        <v>3</v>
      </c>
    </row>
    <row r="2276" spans="1:3" x14ac:dyDescent="0.25">
      <c r="A2276" t="s">
        <v>725</v>
      </c>
      <c r="B2276">
        <v>28</v>
      </c>
      <c r="C2276">
        <v>140</v>
      </c>
    </row>
    <row r="2277" spans="1:3" x14ac:dyDescent="0.25">
      <c r="A2277" t="s">
        <v>726</v>
      </c>
      <c r="B2277">
        <v>28</v>
      </c>
      <c r="C2277">
        <v>0</v>
      </c>
    </row>
    <row r="2278" spans="1:3" x14ac:dyDescent="0.25">
      <c r="A2278" t="s">
        <v>727</v>
      </c>
      <c r="B2278">
        <v>28</v>
      </c>
      <c r="C2278">
        <v>0</v>
      </c>
    </row>
    <row r="2279" spans="1:3" x14ac:dyDescent="0.25">
      <c r="A2279" t="s">
        <v>728</v>
      </c>
      <c r="B2279">
        <v>28</v>
      </c>
      <c r="C2279">
        <v>206</v>
      </c>
    </row>
    <row r="2280" spans="1:3" x14ac:dyDescent="0.25">
      <c r="A2280" t="s">
        <v>563</v>
      </c>
      <c r="B2280">
        <v>28</v>
      </c>
      <c r="C2280">
        <v>59</v>
      </c>
    </row>
    <row r="2281" spans="1:3" x14ac:dyDescent="0.25">
      <c r="A2281" t="s">
        <v>729</v>
      </c>
      <c r="B2281">
        <v>28</v>
      </c>
      <c r="C2281">
        <v>0</v>
      </c>
    </row>
    <row r="2282" spans="1:3" x14ac:dyDescent="0.25">
      <c r="A2282" t="s">
        <v>272</v>
      </c>
      <c r="B2282">
        <v>28</v>
      </c>
      <c r="C2282">
        <v>0</v>
      </c>
    </row>
    <row r="2283" spans="1:3" x14ac:dyDescent="0.25">
      <c r="A2283" t="s">
        <v>730</v>
      </c>
      <c r="B2283">
        <v>28</v>
      </c>
      <c r="C2283">
        <v>28</v>
      </c>
    </row>
    <row r="2284" spans="1:3" x14ac:dyDescent="0.25">
      <c r="A2284" t="s">
        <v>731</v>
      </c>
      <c r="B2284">
        <v>28</v>
      </c>
      <c r="C2284">
        <v>0</v>
      </c>
    </row>
    <row r="2285" spans="1:3" x14ac:dyDescent="0.25">
      <c r="A2285" t="s">
        <v>724</v>
      </c>
      <c r="B2285">
        <v>31</v>
      </c>
      <c r="C2285">
        <v>3</v>
      </c>
    </row>
    <row r="2286" spans="1:3" x14ac:dyDescent="0.25">
      <c r="A2286" t="s">
        <v>725</v>
      </c>
      <c r="B2286">
        <v>31</v>
      </c>
      <c r="C2286">
        <v>140</v>
      </c>
    </row>
    <row r="2287" spans="1:3" x14ac:dyDescent="0.25">
      <c r="A2287" t="s">
        <v>726</v>
      </c>
      <c r="B2287">
        <v>31</v>
      </c>
      <c r="C2287">
        <v>0</v>
      </c>
    </row>
    <row r="2288" spans="1:3" x14ac:dyDescent="0.25">
      <c r="A2288" t="s">
        <v>727</v>
      </c>
      <c r="B2288">
        <v>31</v>
      </c>
      <c r="C2288">
        <v>0</v>
      </c>
    </row>
    <row r="2289" spans="1:3" x14ac:dyDescent="0.25">
      <c r="A2289" t="s">
        <v>728</v>
      </c>
      <c r="B2289">
        <v>31</v>
      </c>
      <c r="C2289">
        <v>206</v>
      </c>
    </row>
    <row r="2290" spans="1:3" x14ac:dyDescent="0.25">
      <c r="A2290" t="s">
        <v>563</v>
      </c>
      <c r="B2290">
        <v>31</v>
      </c>
      <c r="C2290">
        <v>112</v>
      </c>
    </row>
    <row r="2291" spans="1:3" x14ac:dyDescent="0.25">
      <c r="A2291" t="s">
        <v>729</v>
      </c>
      <c r="B2291">
        <v>31</v>
      </c>
      <c r="C2291">
        <v>0</v>
      </c>
    </row>
    <row r="2292" spans="1:3" x14ac:dyDescent="0.25">
      <c r="A2292" t="s">
        <v>272</v>
      </c>
      <c r="B2292">
        <v>31</v>
      </c>
      <c r="C2292">
        <v>0</v>
      </c>
    </row>
    <row r="2293" spans="1:3" x14ac:dyDescent="0.25">
      <c r="A2293" t="s">
        <v>730</v>
      </c>
      <c r="B2293">
        <v>31</v>
      </c>
      <c r="C2293">
        <v>31</v>
      </c>
    </row>
    <row r="2294" spans="1:3" x14ac:dyDescent="0.25">
      <c r="A2294" t="s">
        <v>731</v>
      </c>
      <c r="B2294">
        <v>31</v>
      </c>
      <c r="C2294">
        <v>0</v>
      </c>
    </row>
    <row r="2295" spans="1:3" x14ac:dyDescent="0.25">
      <c r="A2295" t="s">
        <v>724</v>
      </c>
      <c r="B2295">
        <v>33</v>
      </c>
      <c r="C2295">
        <v>3</v>
      </c>
    </row>
    <row r="2296" spans="1:3" x14ac:dyDescent="0.25">
      <c r="A2296" t="s">
        <v>725</v>
      </c>
      <c r="B2296">
        <v>33</v>
      </c>
      <c r="C2296">
        <v>140</v>
      </c>
    </row>
    <row r="2297" spans="1:3" x14ac:dyDescent="0.25">
      <c r="A2297" t="s">
        <v>726</v>
      </c>
      <c r="B2297">
        <v>33</v>
      </c>
      <c r="C2297">
        <v>0</v>
      </c>
    </row>
    <row r="2298" spans="1:3" x14ac:dyDescent="0.25">
      <c r="A2298" t="s">
        <v>727</v>
      </c>
      <c r="B2298">
        <v>33</v>
      </c>
      <c r="C2298">
        <v>0</v>
      </c>
    </row>
    <row r="2299" spans="1:3" x14ac:dyDescent="0.25">
      <c r="A2299" t="s">
        <v>728</v>
      </c>
      <c r="B2299">
        <v>33</v>
      </c>
      <c r="C2299">
        <v>206</v>
      </c>
    </row>
    <row r="2300" spans="1:3" x14ac:dyDescent="0.25">
      <c r="A2300" t="s">
        <v>563</v>
      </c>
      <c r="B2300">
        <v>33</v>
      </c>
      <c r="C2300">
        <v>60</v>
      </c>
    </row>
    <row r="2301" spans="1:3" x14ac:dyDescent="0.25">
      <c r="A2301" t="s">
        <v>729</v>
      </c>
      <c r="B2301">
        <v>33</v>
      </c>
      <c r="C2301">
        <v>0</v>
      </c>
    </row>
    <row r="2302" spans="1:3" x14ac:dyDescent="0.25">
      <c r="A2302" t="s">
        <v>272</v>
      </c>
      <c r="B2302">
        <v>33</v>
      </c>
      <c r="C2302">
        <v>0</v>
      </c>
    </row>
    <row r="2303" spans="1:3" x14ac:dyDescent="0.25">
      <c r="A2303" t="s">
        <v>730</v>
      </c>
      <c r="B2303">
        <v>33</v>
      </c>
      <c r="C2303">
        <v>33</v>
      </c>
    </row>
    <row r="2304" spans="1:3" x14ac:dyDescent="0.25">
      <c r="A2304" t="s">
        <v>731</v>
      </c>
      <c r="B2304">
        <v>33</v>
      </c>
      <c r="C2304">
        <v>0</v>
      </c>
    </row>
    <row r="2305" spans="1:3" x14ac:dyDescent="0.25">
      <c r="A2305" t="s">
        <v>724</v>
      </c>
      <c r="B2305">
        <v>34</v>
      </c>
      <c r="C2305">
        <v>3</v>
      </c>
    </row>
    <row r="2306" spans="1:3" x14ac:dyDescent="0.25">
      <c r="A2306" t="s">
        <v>725</v>
      </c>
      <c r="B2306">
        <v>34</v>
      </c>
      <c r="C2306">
        <v>140</v>
      </c>
    </row>
    <row r="2307" spans="1:3" x14ac:dyDescent="0.25">
      <c r="A2307" t="s">
        <v>726</v>
      </c>
      <c r="B2307">
        <v>34</v>
      </c>
      <c r="C2307">
        <v>0</v>
      </c>
    </row>
    <row r="2308" spans="1:3" x14ac:dyDescent="0.25">
      <c r="A2308" t="s">
        <v>727</v>
      </c>
      <c r="B2308">
        <v>34</v>
      </c>
      <c r="C2308">
        <v>0</v>
      </c>
    </row>
    <row r="2309" spans="1:3" x14ac:dyDescent="0.25">
      <c r="A2309" t="s">
        <v>728</v>
      </c>
      <c r="B2309">
        <v>34</v>
      </c>
      <c r="C2309">
        <v>206</v>
      </c>
    </row>
    <row r="2310" spans="1:3" x14ac:dyDescent="0.25">
      <c r="A2310" t="s">
        <v>563</v>
      </c>
      <c r="B2310">
        <v>34</v>
      </c>
      <c r="C2310">
        <v>45</v>
      </c>
    </row>
    <row r="2311" spans="1:3" x14ac:dyDescent="0.25">
      <c r="A2311" t="s">
        <v>729</v>
      </c>
      <c r="B2311">
        <v>34</v>
      </c>
      <c r="C2311">
        <v>0</v>
      </c>
    </row>
    <row r="2312" spans="1:3" x14ac:dyDescent="0.25">
      <c r="A2312" t="s">
        <v>272</v>
      </c>
      <c r="B2312">
        <v>34</v>
      </c>
      <c r="C2312">
        <v>0</v>
      </c>
    </row>
    <row r="2313" spans="1:3" x14ac:dyDescent="0.25">
      <c r="A2313" t="s">
        <v>730</v>
      </c>
      <c r="B2313">
        <v>34</v>
      </c>
      <c r="C2313">
        <v>34</v>
      </c>
    </row>
    <row r="2314" spans="1:3" x14ac:dyDescent="0.25">
      <c r="A2314" t="s">
        <v>731</v>
      </c>
      <c r="B2314">
        <v>34</v>
      </c>
      <c r="C2314">
        <v>0</v>
      </c>
    </row>
    <row r="2315" spans="1:3" x14ac:dyDescent="0.25">
      <c r="A2315" t="s">
        <v>724</v>
      </c>
      <c r="B2315">
        <v>36</v>
      </c>
      <c r="C2315">
        <v>3</v>
      </c>
    </row>
    <row r="2316" spans="1:3" x14ac:dyDescent="0.25">
      <c r="A2316" t="s">
        <v>725</v>
      </c>
      <c r="B2316">
        <v>36</v>
      </c>
      <c r="C2316">
        <v>140</v>
      </c>
    </row>
    <row r="2317" spans="1:3" x14ac:dyDescent="0.25">
      <c r="A2317" t="s">
        <v>726</v>
      </c>
      <c r="B2317">
        <v>36</v>
      </c>
      <c r="C2317">
        <v>0</v>
      </c>
    </row>
    <row r="2318" spans="1:3" x14ac:dyDescent="0.25">
      <c r="A2318" t="s">
        <v>727</v>
      </c>
      <c r="B2318">
        <v>36</v>
      </c>
      <c r="C2318">
        <v>0</v>
      </c>
    </row>
    <row r="2319" spans="1:3" x14ac:dyDescent="0.25">
      <c r="A2319" t="s">
        <v>728</v>
      </c>
      <c r="B2319">
        <v>36</v>
      </c>
      <c r="C2319">
        <v>206</v>
      </c>
    </row>
    <row r="2320" spans="1:3" x14ac:dyDescent="0.25">
      <c r="A2320" t="s">
        <v>563</v>
      </c>
      <c r="B2320">
        <v>36</v>
      </c>
      <c r="C2320">
        <v>108</v>
      </c>
    </row>
    <row r="2321" spans="1:3" x14ac:dyDescent="0.25">
      <c r="A2321" t="s">
        <v>729</v>
      </c>
      <c r="B2321">
        <v>36</v>
      </c>
      <c r="C2321">
        <v>0</v>
      </c>
    </row>
    <row r="2322" spans="1:3" x14ac:dyDescent="0.25">
      <c r="A2322" t="s">
        <v>272</v>
      </c>
      <c r="B2322">
        <v>36</v>
      </c>
      <c r="C2322">
        <v>0</v>
      </c>
    </row>
    <row r="2323" spans="1:3" x14ac:dyDescent="0.25">
      <c r="A2323" t="s">
        <v>730</v>
      </c>
      <c r="B2323">
        <v>36</v>
      </c>
      <c r="C2323">
        <v>36</v>
      </c>
    </row>
    <row r="2324" spans="1:3" x14ac:dyDescent="0.25">
      <c r="A2324" t="s">
        <v>731</v>
      </c>
      <c r="B2324">
        <v>36</v>
      </c>
      <c r="C2324">
        <v>0</v>
      </c>
    </row>
    <row r="2325" spans="1:3" x14ac:dyDescent="0.25">
      <c r="A2325" t="s">
        <v>724</v>
      </c>
      <c r="B2325">
        <v>39</v>
      </c>
      <c r="C2325">
        <v>3</v>
      </c>
    </row>
    <row r="2326" spans="1:3" x14ac:dyDescent="0.25">
      <c r="A2326" t="s">
        <v>725</v>
      </c>
      <c r="B2326">
        <v>39</v>
      </c>
      <c r="C2326">
        <v>140</v>
      </c>
    </row>
    <row r="2327" spans="1:3" x14ac:dyDescent="0.25">
      <c r="A2327" t="s">
        <v>726</v>
      </c>
      <c r="B2327">
        <v>39</v>
      </c>
      <c r="C2327">
        <v>0</v>
      </c>
    </row>
    <row r="2328" spans="1:3" x14ac:dyDescent="0.25">
      <c r="A2328" t="s">
        <v>727</v>
      </c>
      <c r="B2328">
        <v>39</v>
      </c>
      <c r="C2328">
        <v>0</v>
      </c>
    </row>
    <row r="2329" spans="1:3" x14ac:dyDescent="0.25">
      <c r="A2329" t="s">
        <v>728</v>
      </c>
      <c r="B2329">
        <v>39</v>
      </c>
      <c r="C2329">
        <v>2</v>
      </c>
    </row>
    <row r="2330" spans="1:3" x14ac:dyDescent="0.25">
      <c r="A2330" t="s">
        <v>563</v>
      </c>
      <c r="B2330">
        <v>39</v>
      </c>
      <c r="C2330">
        <v>1</v>
      </c>
    </row>
    <row r="2331" spans="1:3" x14ac:dyDescent="0.25">
      <c r="A2331" t="s">
        <v>729</v>
      </c>
      <c r="B2331">
        <v>39</v>
      </c>
      <c r="C2331">
        <v>0</v>
      </c>
    </row>
    <row r="2332" spans="1:3" x14ac:dyDescent="0.25">
      <c r="A2332" t="s">
        <v>272</v>
      </c>
      <c r="B2332">
        <v>39</v>
      </c>
      <c r="C2332">
        <v>0</v>
      </c>
    </row>
    <row r="2333" spans="1:3" x14ac:dyDescent="0.25">
      <c r="A2333" t="s">
        <v>730</v>
      </c>
      <c r="B2333">
        <v>39</v>
      </c>
      <c r="C2333">
        <v>39</v>
      </c>
    </row>
    <row r="2334" spans="1:3" x14ac:dyDescent="0.25">
      <c r="A2334" t="s">
        <v>731</v>
      </c>
      <c r="B2334">
        <v>39</v>
      </c>
      <c r="C2334">
        <v>43</v>
      </c>
    </row>
    <row r="2335" spans="1:3" x14ac:dyDescent="0.25">
      <c r="A2335" t="s">
        <v>774</v>
      </c>
      <c r="B2335">
        <v>39</v>
      </c>
      <c r="C2335">
        <v>0</v>
      </c>
    </row>
    <row r="2336" spans="1:3" x14ac:dyDescent="0.25">
      <c r="A2336" t="s">
        <v>724</v>
      </c>
      <c r="B2336">
        <v>44</v>
      </c>
      <c r="C2336">
        <v>2</v>
      </c>
    </row>
    <row r="2337" spans="1:3" x14ac:dyDescent="0.25">
      <c r="A2337" t="s">
        <v>725</v>
      </c>
      <c r="B2337">
        <v>44</v>
      </c>
      <c r="C2337">
        <v>170</v>
      </c>
    </row>
    <row r="2338" spans="1:3" x14ac:dyDescent="0.25">
      <c r="A2338" t="s">
        <v>726</v>
      </c>
      <c r="B2338">
        <v>44</v>
      </c>
      <c r="C2338">
        <v>0</v>
      </c>
    </row>
    <row r="2339" spans="1:3" x14ac:dyDescent="0.25">
      <c r="A2339" t="s">
        <v>727</v>
      </c>
      <c r="B2339">
        <v>44</v>
      </c>
      <c r="C2339">
        <v>0</v>
      </c>
    </row>
    <row r="2340" spans="1:3" x14ac:dyDescent="0.25">
      <c r="A2340" t="s">
        <v>728</v>
      </c>
      <c r="B2340">
        <v>44</v>
      </c>
      <c r="C2340">
        <v>206</v>
      </c>
    </row>
    <row r="2341" spans="1:3" x14ac:dyDescent="0.25">
      <c r="A2341" t="s">
        <v>563</v>
      </c>
      <c r="B2341">
        <v>44</v>
      </c>
      <c r="C2341">
        <v>19.7</v>
      </c>
    </row>
    <row r="2342" spans="1:3" x14ac:dyDescent="0.25">
      <c r="A2342" t="s">
        <v>729</v>
      </c>
      <c r="B2342">
        <v>44</v>
      </c>
      <c r="C2342">
        <v>0</v>
      </c>
    </row>
    <row r="2343" spans="1:3" x14ac:dyDescent="0.25">
      <c r="A2343" t="s">
        <v>272</v>
      </c>
      <c r="B2343">
        <v>44</v>
      </c>
      <c r="C2343">
        <v>0</v>
      </c>
    </row>
    <row r="2344" spans="1:3" x14ac:dyDescent="0.25">
      <c r="A2344" t="s">
        <v>730</v>
      </c>
      <c r="B2344">
        <v>44</v>
      </c>
      <c r="C2344">
        <v>44</v>
      </c>
    </row>
    <row r="2345" spans="1:3" x14ac:dyDescent="0.25">
      <c r="A2345" t="s">
        <v>731</v>
      </c>
      <c r="B2345">
        <v>44</v>
      </c>
      <c r="C2345">
        <v>0</v>
      </c>
    </row>
    <row r="2346" spans="1:3" x14ac:dyDescent="0.25">
      <c r="A2346" t="s">
        <v>724</v>
      </c>
      <c r="B2346">
        <v>46</v>
      </c>
      <c r="C2346">
        <v>3</v>
      </c>
    </row>
    <row r="2347" spans="1:3" x14ac:dyDescent="0.25">
      <c r="A2347" t="s">
        <v>725</v>
      </c>
      <c r="B2347">
        <v>46</v>
      </c>
      <c r="C2347">
        <v>140</v>
      </c>
    </row>
    <row r="2348" spans="1:3" x14ac:dyDescent="0.25">
      <c r="A2348" t="s">
        <v>726</v>
      </c>
      <c r="B2348">
        <v>46</v>
      </c>
      <c r="C2348">
        <v>0</v>
      </c>
    </row>
    <row r="2349" spans="1:3" x14ac:dyDescent="0.25">
      <c r="A2349" t="s">
        <v>727</v>
      </c>
      <c r="B2349">
        <v>46</v>
      </c>
      <c r="C2349">
        <v>0</v>
      </c>
    </row>
    <row r="2350" spans="1:3" x14ac:dyDescent="0.25">
      <c r="A2350" t="s">
        <v>728</v>
      </c>
      <c r="B2350">
        <v>46</v>
      </c>
      <c r="C2350">
        <v>206</v>
      </c>
    </row>
    <row r="2351" spans="1:3" x14ac:dyDescent="0.25">
      <c r="A2351" t="s">
        <v>563</v>
      </c>
      <c r="B2351">
        <v>46</v>
      </c>
      <c r="C2351">
        <v>44</v>
      </c>
    </row>
    <row r="2352" spans="1:3" x14ac:dyDescent="0.25">
      <c r="A2352" t="s">
        <v>729</v>
      </c>
      <c r="B2352">
        <v>46</v>
      </c>
      <c r="C2352">
        <v>0</v>
      </c>
    </row>
    <row r="2353" spans="1:3" x14ac:dyDescent="0.25">
      <c r="A2353" t="s">
        <v>272</v>
      </c>
      <c r="B2353">
        <v>46</v>
      </c>
      <c r="C2353">
        <v>0</v>
      </c>
    </row>
    <row r="2354" spans="1:3" x14ac:dyDescent="0.25">
      <c r="A2354" t="s">
        <v>730</v>
      </c>
      <c r="B2354">
        <v>46</v>
      </c>
      <c r="C2354">
        <v>46</v>
      </c>
    </row>
    <row r="2355" spans="1:3" x14ac:dyDescent="0.25">
      <c r="A2355" t="s">
        <v>731</v>
      </c>
      <c r="B2355">
        <v>46</v>
      </c>
      <c r="C2355">
        <v>0</v>
      </c>
    </row>
    <row r="2356" spans="1:3" x14ac:dyDescent="0.25">
      <c r="A2356" t="s">
        <v>724</v>
      </c>
      <c r="B2356">
        <v>49</v>
      </c>
      <c r="C2356">
        <v>3</v>
      </c>
    </row>
    <row r="2357" spans="1:3" x14ac:dyDescent="0.25">
      <c r="A2357" t="s">
        <v>725</v>
      </c>
      <c r="B2357">
        <v>49</v>
      </c>
      <c r="C2357">
        <v>140</v>
      </c>
    </row>
    <row r="2358" spans="1:3" x14ac:dyDescent="0.25">
      <c r="A2358" t="s">
        <v>726</v>
      </c>
      <c r="B2358">
        <v>49</v>
      </c>
      <c r="C2358">
        <v>0</v>
      </c>
    </row>
    <row r="2359" spans="1:3" x14ac:dyDescent="0.25">
      <c r="A2359" t="s">
        <v>727</v>
      </c>
      <c r="B2359">
        <v>49</v>
      </c>
      <c r="C2359">
        <v>0</v>
      </c>
    </row>
    <row r="2360" spans="1:3" x14ac:dyDescent="0.25">
      <c r="A2360" t="s">
        <v>728</v>
      </c>
      <c r="B2360">
        <v>49</v>
      </c>
      <c r="C2360">
        <v>206</v>
      </c>
    </row>
    <row r="2361" spans="1:3" x14ac:dyDescent="0.25">
      <c r="A2361" t="s">
        <v>563</v>
      </c>
      <c r="B2361">
        <v>49</v>
      </c>
      <c r="C2361">
        <v>52</v>
      </c>
    </row>
    <row r="2362" spans="1:3" x14ac:dyDescent="0.25">
      <c r="A2362" t="s">
        <v>729</v>
      </c>
      <c r="B2362">
        <v>49</v>
      </c>
      <c r="C2362">
        <v>0</v>
      </c>
    </row>
    <row r="2363" spans="1:3" x14ac:dyDescent="0.25">
      <c r="A2363" t="s">
        <v>272</v>
      </c>
      <c r="B2363">
        <v>49</v>
      </c>
      <c r="C2363">
        <v>0</v>
      </c>
    </row>
    <row r="2364" spans="1:3" x14ac:dyDescent="0.25">
      <c r="A2364" t="s">
        <v>730</v>
      </c>
      <c r="B2364">
        <v>49</v>
      </c>
      <c r="C2364">
        <v>49</v>
      </c>
    </row>
    <row r="2365" spans="1:3" x14ac:dyDescent="0.25">
      <c r="A2365" t="s">
        <v>731</v>
      </c>
      <c r="B2365">
        <v>49</v>
      </c>
      <c r="C2365">
        <v>0</v>
      </c>
    </row>
    <row r="2367" spans="1:3" x14ac:dyDescent="0.25">
      <c r="A2367" t="s">
        <v>566</v>
      </c>
    </row>
    <row r="2368" spans="1:3" x14ac:dyDescent="0.25">
      <c r="A2368" t="s">
        <v>732</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0" x14ac:dyDescent="0.25">
      <c r="A2417" t="s">
        <v>567</v>
      </c>
      <c r="B2417">
        <v>7</v>
      </c>
      <c r="C2417">
        <v>20</v>
      </c>
      <c r="D2417">
        <v>72.900000000000006</v>
      </c>
      <c r="E2417">
        <v>7.8</v>
      </c>
      <c r="F2417">
        <v>11.2</v>
      </c>
      <c r="G2417">
        <v>7.1</v>
      </c>
      <c r="H2417">
        <v>85.4</v>
      </c>
      <c r="I2417">
        <v>5.8</v>
      </c>
      <c r="J2417">
        <v>12.8</v>
      </c>
    </row>
    <row r="2418" spans="1:10" x14ac:dyDescent="0.25">
      <c r="A2418" t="s">
        <v>254</v>
      </c>
      <c r="B2418">
        <v>9</v>
      </c>
      <c r="C2418">
        <v>111</v>
      </c>
      <c r="D2418">
        <v>112</v>
      </c>
      <c r="E2418">
        <v>211</v>
      </c>
      <c r="F2418">
        <v>212</v>
      </c>
      <c r="G2418">
        <v>121</v>
      </c>
      <c r="H2418">
        <v>122</v>
      </c>
      <c r="I2418">
        <v>221</v>
      </c>
      <c r="J2418">
        <v>222</v>
      </c>
    </row>
    <row r="2419" spans="1:10" x14ac:dyDescent="0.25">
      <c r="A2419" t="s">
        <v>255</v>
      </c>
      <c r="B2419">
        <v>9</v>
      </c>
      <c r="C2419">
        <v>6</v>
      </c>
      <c r="D2419">
        <v>10</v>
      </c>
      <c r="E2419">
        <v>6</v>
      </c>
      <c r="F2419">
        <v>5</v>
      </c>
      <c r="G2419">
        <v>6</v>
      </c>
      <c r="H2419">
        <v>10</v>
      </c>
      <c r="I2419">
        <v>6</v>
      </c>
      <c r="J2419">
        <v>5</v>
      </c>
    </row>
    <row r="2420" spans="1:10" x14ac:dyDescent="0.25">
      <c r="A2420" t="s">
        <v>256</v>
      </c>
      <c r="B2420">
        <v>9</v>
      </c>
      <c r="C2420">
        <v>14.5</v>
      </c>
      <c r="D2420">
        <v>49.2</v>
      </c>
      <c r="E2420">
        <v>6.3</v>
      </c>
      <c r="F2420">
        <v>43.2</v>
      </c>
      <c r="G2420">
        <v>6.3</v>
      </c>
      <c r="H2420">
        <v>57</v>
      </c>
      <c r="I2420">
        <v>12.1</v>
      </c>
      <c r="J2420">
        <v>37.200000000000003</v>
      </c>
    </row>
    <row r="2421" spans="1:10" x14ac:dyDescent="0.25">
      <c r="A2421" t="s">
        <v>257</v>
      </c>
      <c r="B2421">
        <v>9</v>
      </c>
      <c r="C2421">
        <v>2.5</v>
      </c>
      <c r="D2421">
        <v>2.5</v>
      </c>
      <c r="E2421">
        <v>2.5</v>
      </c>
      <c r="F2421">
        <v>3</v>
      </c>
      <c r="G2421">
        <v>2.5</v>
      </c>
      <c r="H2421">
        <v>2.5</v>
      </c>
      <c r="I2421">
        <v>3</v>
      </c>
      <c r="J2421">
        <v>3</v>
      </c>
    </row>
    <row r="2422" spans="1:10" x14ac:dyDescent="0.25">
      <c r="A2422" t="s">
        <v>258</v>
      </c>
      <c r="B2422">
        <v>9</v>
      </c>
      <c r="C2422">
        <v>0</v>
      </c>
      <c r="D2422">
        <v>0</v>
      </c>
      <c r="E2422">
        <v>0</v>
      </c>
      <c r="F2422">
        <v>0</v>
      </c>
      <c r="G2422">
        <v>0</v>
      </c>
      <c r="H2422">
        <v>0</v>
      </c>
      <c r="I2422">
        <v>0</v>
      </c>
      <c r="J2422">
        <v>0</v>
      </c>
    </row>
    <row r="2423" spans="1:10" x14ac:dyDescent="0.25">
      <c r="A2423" t="s">
        <v>259</v>
      </c>
      <c r="B2423">
        <v>9</v>
      </c>
      <c r="C2423">
        <v>0</v>
      </c>
      <c r="D2423">
        <v>0</v>
      </c>
      <c r="E2423">
        <v>0</v>
      </c>
      <c r="F2423">
        <v>0</v>
      </c>
      <c r="G2423">
        <v>0</v>
      </c>
      <c r="H2423">
        <v>0</v>
      </c>
      <c r="I2423">
        <v>0</v>
      </c>
      <c r="J2423">
        <v>0</v>
      </c>
    </row>
    <row r="2424" spans="1:10" x14ac:dyDescent="0.25">
      <c r="A2424" t="s">
        <v>260</v>
      </c>
      <c r="B2424">
        <v>9</v>
      </c>
      <c r="C2424">
        <v>3</v>
      </c>
      <c r="D2424">
        <v>3</v>
      </c>
      <c r="E2424">
        <v>3</v>
      </c>
      <c r="F2424">
        <v>3</v>
      </c>
      <c r="G2424">
        <v>3</v>
      </c>
      <c r="H2424">
        <v>3</v>
      </c>
      <c r="I2424">
        <v>3</v>
      </c>
      <c r="J2424">
        <v>3</v>
      </c>
    </row>
    <row r="2425" spans="1:10" x14ac:dyDescent="0.25">
      <c r="A2425" t="s">
        <v>261</v>
      </c>
      <c r="B2425">
        <v>9</v>
      </c>
      <c r="C2425">
        <v>3</v>
      </c>
      <c r="D2425">
        <v>4.4000000000000004</v>
      </c>
      <c r="E2425">
        <v>3</v>
      </c>
      <c r="F2425">
        <v>3.3</v>
      </c>
      <c r="G2425">
        <v>3</v>
      </c>
      <c r="H2425">
        <v>4.4000000000000004</v>
      </c>
      <c r="I2425">
        <v>3</v>
      </c>
      <c r="J2425">
        <v>3.6</v>
      </c>
    </row>
    <row r="2426" spans="1:10" x14ac:dyDescent="0.25">
      <c r="A2426" t="s">
        <v>262</v>
      </c>
      <c r="B2426">
        <v>9</v>
      </c>
      <c r="C2426">
        <v>3.7</v>
      </c>
      <c r="D2426">
        <v>2</v>
      </c>
      <c r="E2426">
        <v>3.9</v>
      </c>
      <c r="F2426">
        <v>3.5</v>
      </c>
      <c r="G2426">
        <v>3.7</v>
      </c>
      <c r="H2426">
        <v>2.4</v>
      </c>
      <c r="I2426">
        <v>3.9</v>
      </c>
      <c r="J2426">
        <v>3.4</v>
      </c>
    </row>
    <row r="2427" spans="1:10" x14ac:dyDescent="0.25">
      <c r="A2427" t="s">
        <v>263</v>
      </c>
      <c r="B2427">
        <v>9</v>
      </c>
      <c r="C2427">
        <v>0</v>
      </c>
      <c r="D2427">
        <v>3</v>
      </c>
      <c r="E2427">
        <v>0</v>
      </c>
      <c r="F2427">
        <v>0</v>
      </c>
      <c r="G2427">
        <v>0</v>
      </c>
      <c r="H2427">
        <v>3</v>
      </c>
      <c r="I2427">
        <v>0</v>
      </c>
      <c r="J2427">
        <v>0</v>
      </c>
    </row>
    <row r="2428" spans="1:10" x14ac:dyDescent="0.25">
      <c r="A2428" t="s">
        <v>264</v>
      </c>
      <c r="B2428">
        <v>9</v>
      </c>
      <c r="F2428">
        <v>7</v>
      </c>
      <c r="H2428">
        <v>7</v>
      </c>
    </row>
    <row r="2429" spans="1:10" x14ac:dyDescent="0.25">
      <c r="A2429" t="s">
        <v>265</v>
      </c>
      <c r="B2429">
        <v>9</v>
      </c>
      <c r="F2429">
        <v>33</v>
      </c>
      <c r="H2429">
        <v>16</v>
      </c>
    </row>
    <row r="2430" spans="1:10" x14ac:dyDescent="0.25">
      <c r="A2430" t="s">
        <v>266</v>
      </c>
      <c r="B2430">
        <v>9</v>
      </c>
      <c r="F2430">
        <v>0</v>
      </c>
      <c r="H2430">
        <v>0</v>
      </c>
    </row>
    <row r="2431" spans="1:10" x14ac:dyDescent="0.25">
      <c r="A2431" t="s">
        <v>267</v>
      </c>
      <c r="B2431">
        <v>9</v>
      </c>
      <c r="C2431">
        <v>12.7</v>
      </c>
      <c r="D2431">
        <v>22.5</v>
      </c>
      <c r="E2431">
        <v>12.9</v>
      </c>
      <c r="F2431">
        <v>49.8</v>
      </c>
      <c r="G2431">
        <v>12.7</v>
      </c>
      <c r="H2431">
        <v>34.799999999999997</v>
      </c>
      <c r="I2431">
        <v>12.9</v>
      </c>
      <c r="J2431">
        <v>22.5</v>
      </c>
    </row>
    <row r="2432" spans="1:10" x14ac:dyDescent="0.25">
      <c r="A2432" t="s">
        <v>268</v>
      </c>
      <c r="B2432">
        <v>9</v>
      </c>
      <c r="C2432">
        <v>0</v>
      </c>
      <c r="D2432">
        <v>1</v>
      </c>
      <c r="E2432">
        <v>0</v>
      </c>
      <c r="F2432">
        <v>1</v>
      </c>
      <c r="G2432">
        <v>0</v>
      </c>
      <c r="H2432">
        <v>1</v>
      </c>
      <c r="I2432">
        <v>0</v>
      </c>
      <c r="J2432">
        <v>1</v>
      </c>
    </row>
    <row r="2433" spans="1:10" x14ac:dyDescent="0.25">
      <c r="A2433" t="s">
        <v>269</v>
      </c>
      <c r="B2433">
        <v>9</v>
      </c>
      <c r="C2433">
        <v>1</v>
      </c>
      <c r="D2433">
        <v>1</v>
      </c>
      <c r="E2433">
        <v>1</v>
      </c>
      <c r="F2433">
        <v>1</v>
      </c>
      <c r="G2433">
        <v>1</v>
      </c>
      <c r="H2433">
        <v>1</v>
      </c>
      <c r="I2433">
        <v>1</v>
      </c>
      <c r="J2433">
        <v>1</v>
      </c>
    </row>
    <row r="2434" spans="1:10" x14ac:dyDescent="0.25">
      <c r="A2434" t="s">
        <v>270</v>
      </c>
      <c r="B2434">
        <v>9</v>
      </c>
      <c r="C2434">
        <v>53.8</v>
      </c>
      <c r="D2434">
        <v>75</v>
      </c>
      <c r="E2434">
        <v>130.6</v>
      </c>
      <c r="F2434">
        <v>3.8</v>
      </c>
      <c r="G2434">
        <v>53.8</v>
      </c>
      <c r="H2434">
        <v>66.8</v>
      </c>
      <c r="I2434">
        <v>130.6</v>
      </c>
      <c r="J2434">
        <v>9.6</v>
      </c>
    </row>
    <row r="2435" spans="1:10" x14ac:dyDescent="0.25">
      <c r="A2435" t="s">
        <v>271</v>
      </c>
      <c r="B2435">
        <v>9</v>
      </c>
      <c r="C2435">
        <v>75</v>
      </c>
      <c r="D2435">
        <v>130.6</v>
      </c>
      <c r="E2435">
        <v>3.8</v>
      </c>
      <c r="F2435">
        <v>53.8</v>
      </c>
      <c r="G2435">
        <v>66.8</v>
      </c>
      <c r="H2435">
        <v>130.6</v>
      </c>
      <c r="I2435">
        <v>9.6</v>
      </c>
      <c r="J2435">
        <v>53.8</v>
      </c>
    </row>
    <row r="2436" spans="1:10" x14ac:dyDescent="0.25">
      <c r="A2436" t="s">
        <v>272</v>
      </c>
      <c r="B2436">
        <v>9</v>
      </c>
      <c r="C2436">
        <v>68.3</v>
      </c>
      <c r="D2436">
        <v>124.2</v>
      </c>
      <c r="E2436">
        <v>136.9</v>
      </c>
      <c r="F2436">
        <v>47</v>
      </c>
      <c r="G2436">
        <v>60.1</v>
      </c>
      <c r="H2436">
        <v>123.8</v>
      </c>
      <c r="I2436">
        <v>2.7</v>
      </c>
      <c r="J2436">
        <v>46.8</v>
      </c>
    </row>
    <row r="2437" spans="1:10" x14ac:dyDescent="0.25">
      <c r="A2437" t="s">
        <v>273</v>
      </c>
      <c r="B2437">
        <v>9</v>
      </c>
      <c r="C2437">
        <v>68.3</v>
      </c>
      <c r="D2437">
        <v>124.2</v>
      </c>
      <c r="E2437">
        <v>136.9</v>
      </c>
      <c r="F2437">
        <v>47</v>
      </c>
      <c r="G2437">
        <v>60.1</v>
      </c>
      <c r="H2437">
        <v>107.8</v>
      </c>
      <c r="I2437">
        <v>2.7</v>
      </c>
      <c r="J2437">
        <v>46.8</v>
      </c>
    </row>
    <row r="2438" spans="1:10" x14ac:dyDescent="0.25">
      <c r="A2438" t="s">
        <v>274</v>
      </c>
      <c r="B2438">
        <v>9</v>
      </c>
      <c r="C2438">
        <v>118.8</v>
      </c>
      <c r="D2438">
        <v>0</v>
      </c>
      <c r="E2438">
        <v>55.6</v>
      </c>
      <c r="F2438">
        <v>68.8</v>
      </c>
      <c r="G2438">
        <v>118.8</v>
      </c>
      <c r="H2438">
        <v>131.80000000000001</v>
      </c>
      <c r="I2438">
        <v>55.6</v>
      </c>
      <c r="J2438">
        <v>74.599999999999994</v>
      </c>
    </row>
    <row r="2439" spans="1:10" x14ac:dyDescent="0.25">
      <c r="A2439" t="s">
        <v>275</v>
      </c>
      <c r="B2439">
        <v>9</v>
      </c>
      <c r="C2439">
        <v>133.30000000000001</v>
      </c>
      <c r="D2439">
        <v>49.2</v>
      </c>
      <c r="E2439">
        <v>61.9</v>
      </c>
      <c r="F2439">
        <v>112</v>
      </c>
      <c r="G2439">
        <v>125.1</v>
      </c>
      <c r="H2439">
        <v>48.8</v>
      </c>
      <c r="I2439">
        <v>67.7</v>
      </c>
      <c r="J2439">
        <v>111.8</v>
      </c>
    </row>
    <row r="2440" spans="1:10" x14ac:dyDescent="0.25">
      <c r="A2440" t="s">
        <v>276</v>
      </c>
      <c r="B2440">
        <v>9</v>
      </c>
      <c r="C2440">
        <v>133.30000000000001</v>
      </c>
      <c r="D2440">
        <v>49.2</v>
      </c>
      <c r="E2440">
        <v>61.9</v>
      </c>
      <c r="F2440">
        <v>112</v>
      </c>
      <c r="G2440">
        <v>125.1</v>
      </c>
      <c r="H2440">
        <v>32.799999999999997</v>
      </c>
      <c r="I2440">
        <v>67.7</v>
      </c>
      <c r="J2440">
        <v>111.8</v>
      </c>
    </row>
    <row r="2441" spans="1:10" x14ac:dyDescent="0.25">
      <c r="A2441" t="s">
        <v>567</v>
      </c>
      <c r="B2441">
        <v>9</v>
      </c>
      <c r="C2441">
        <v>14.9</v>
      </c>
      <c r="D2441">
        <v>75.7</v>
      </c>
      <c r="E2441">
        <v>5</v>
      </c>
      <c r="F2441">
        <v>17.600000000000001</v>
      </c>
      <c r="G2441">
        <v>4.5</v>
      </c>
      <c r="H2441">
        <v>85.7</v>
      </c>
      <c r="I2441">
        <v>8.8000000000000007</v>
      </c>
      <c r="J2441">
        <v>13.6</v>
      </c>
    </row>
    <row r="2442" spans="1:10" x14ac:dyDescent="0.25">
      <c r="A2442" t="s">
        <v>254</v>
      </c>
      <c r="B2442">
        <v>11</v>
      </c>
      <c r="C2442">
        <v>111</v>
      </c>
      <c r="D2442">
        <v>112</v>
      </c>
      <c r="E2442">
        <v>211</v>
      </c>
      <c r="F2442">
        <v>212</v>
      </c>
      <c r="G2442">
        <v>121</v>
      </c>
      <c r="H2442">
        <v>122</v>
      </c>
      <c r="I2442">
        <v>221</v>
      </c>
      <c r="J2442">
        <v>222</v>
      </c>
    </row>
    <row r="2443" spans="1:10" x14ac:dyDescent="0.25">
      <c r="A2443" t="s">
        <v>255</v>
      </c>
      <c r="B2443">
        <v>11</v>
      </c>
      <c r="C2443">
        <v>6</v>
      </c>
      <c r="D2443">
        <v>20</v>
      </c>
      <c r="E2443">
        <v>6</v>
      </c>
      <c r="F2443">
        <v>8</v>
      </c>
      <c r="G2443">
        <v>6</v>
      </c>
      <c r="H2443">
        <v>20</v>
      </c>
      <c r="I2443">
        <v>6</v>
      </c>
      <c r="J2443">
        <v>8</v>
      </c>
    </row>
    <row r="2444" spans="1:10" x14ac:dyDescent="0.25">
      <c r="A2444" t="s">
        <v>256</v>
      </c>
      <c r="B2444">
        <v>11</v>
      </c>
      <c r="C2444">
        <v>20.6</v>
      </c>
      <c r="D2444">
        <v>48</v>
      </c>
      <c r="E2444">
        <v>18.100000000000001</v>
      </c>
      <c r="F2444">
        <v>27.3</v>
      </c>
      <c r="G2444">
        <v>18</v>
      </c>
      <c r="H2444">
        <v>50.6</v>
      </c>
      <c r="I2444">
        <v>6</v>
      </c>
      <c r="J2444">
        <v>40</v>
      </c>
    </row>
    <row r="2445" spans="1:10" x14ac:dyDescent="0.25">
      <c r="A2445" t="s">
        <v>257</v>
      </c>
      <c r="B2445">
        <v>11</v>
      </c>
      <c r="C2445">
        <v>2.5</v>
      </c>
      <c r="D2445">
        <v>4</v>
      </c>
      <c r="E2445">
        <v>2.5</v>
      </c>
      <c r="F2445">
        <v>3.6</v>
      </c>
      <c r="G2445">
        <v>2</v>
      </c>
      <c r="H2445">
        <v>4</v>
      </c>
      <c r="I2445">
        <v>2.5</v>
      </c>
      <c r="J2445">
        <v>2</v>
      </c>
    </row>
    <row r="2446" spans="1:10" x14ac:dyDescent="0.25">
      <c r="A2446" t="s">
        <v>258</v>
      </c>
      <c r="B2446">
        <v>11</v>
      </c>
      <c r="C2446">
        <v>0</v>
      </c>
      <c r="D2446">
        <v>0</v>
      </c>
      <c r="E2446">
        <v>0</v>
      </c>
      <c r="F2446">
        <v>0</v>
      </c>
      <c r="G2446">
        <v>0</v>
      </c>
      <c r="H2446">
        <v>0</v>
      </c>
      <c r="I2446">
        <v>0</v>
      </c>
      <c r="J2446">
        <v>0</v>
      </c>
    </row>
    <row r="2447" spans="1:10" x14ac:dyDescent="0.25">
      <c r="A2447" t="s">
        <v>259</v>
      </c>
      <c r="B2447">
        <v>11</v>
      </c>
      <c r="C2447">
        <v>0</v>
      </c>
      <c r="D2447">
        <v>0</v>
      </c>
      <c r="E2447">
        <v>0</v>
      </c>
      <c r="F2447">
        <v>0</v>
      </c>
      <c r="G2447">
        <v>0</v>
      </c>
      <c r="H2447">
        <v>0</v>
      </c>
      <c r="I2447">
        <v>0</v>
      </c>
      <c r="J2447">
        <v>0</v>
      </c>
    </row>
    <row r="2448" spans="1:10"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7" t="s">
        <v>570</v>
      </c>
      <c r="F3" s="97"/>
      <c r="G3" s="97" t="s">
        <v>36</v>
      </c>
      <c r="H3" s="97"/>
      <c r="I3" s="97" t="s">
        <v>573</v>
      </c>
      <c r="J3" s="97"/>
      <c r="K3" s="97" t="s">
        <v>574</v>
      </c>
      <c r="L3" s="97"/>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workbookViewId="0"/>
  </sheetViews>
  <sheetFormatPr defaultRowHeight="15" x14ac:dyDescent="0.25"/>
  <sheetData>
    <row r="1" spans="1:10" x14ac:dyDescent="0.25">
      <c r="A1" t="s">
        <v>562</v>
      </c>
    </row>
    <row r="2" spans="1:10" x14ac:dyDescent="0.25">
      <c r="A2" t="s">
        <v>672</v>
      </c>
    </row>
    <row r="3" spans="1:10" x14ac:dyDescent="0.25">
      <c r="A3" t="s">
        <v>0</v>
      </c>
      <c r="B3" t="s">
        <v>1</v>
      </c>
      <c r="C3" t="s">
        <v>399</v>
      </c>
      <c r="D3" t="s">
        <v>400</v>
      </c>
      <c r="E3" t="s">
        <v>397</v>
      </c>
      <c r="F3" t="s">
        <v>398</v>
      </c>
      <c r="G3" t="s">
        <v>673</v>
      </c>
      <c r="H3" t="s">
        <v>674</v>
      </c>
      <c r="I3" t="s">
        <v>675</v>
      </c>
      <c r="J3" t="s">
        <v>676</v>
      </c>
    </row>
    <row r="4" spans="1:10" x14ac:dyDescent="0.25">
      <c r="A4" t="s">
        <v>677</v>
      </c>
      <c r="B4">
        <v>1</v>
      </c>
      <c r="C4">
        <v>5</v>
      </c>
      <c r="D4">
        <v>3</v>
      </c>
      <c r="E4">
        <v>9</v>
      </c>
      <c r="F4">
        <v>2</v>
      </c>
    </row>
    <row r="5" spans="1:10" x14ac:dyDescent="0.25">
      <c r="A5" t="s">
        <v>36</v>
      </c>
      <c r="B5">
        <v>1</v>
      </c>
      <c r="C5">
        <v>4</v>
      </c>
      <c r="D5">
        <v>4</v>
      </c>
      <c r="E5">
        <v>4</v>
      </c>
      <c r="F5">
        <v>4</v>
      </c>
    </row>
    <row r="6" spans="1:10" x14ac:dyDescent="0.25">
      <c r="A6" t="s">
        <v>503</v>
      </c>
      <c r="B6">
        <v>1</v>
      </c>
      <c r="C6" t="s">
        <v>740</v>
      </c>
      <c r="D6" t="s">
        <v>740</v>
      </c>
      <c r="E6" t="s">
        <v>741</v>
      </c>
      <c r="F6" t="s">
        <v>741</v>
      </c>
    </row>
    <row r="7" spans="1:10" x14ac:dyDescent="0.25">
      <c r="A7" t="s">
        <v>678</v>
      </c>
      <c r="B7">
        <v>1</v>
      </c>
      <c r="C7">
        <v>526</v>
      </c>
      <c r="D7">
        <v>579</v>
      </c>
      <c r="E7">
        <v>2966</v>
      </c>
      <c r="F7">
        <v>739</v>
      </c>
    </row>
    <row r="8" spans="1:10" x14ac:dyDescent="0.25">
      <c r="A8" t="s">
        <v>42</v>
      </c>
      <c r="B8">
        <v>1</v>
      </c>
      <c r="C8">
        <v>40</v>
      </c>
      <c r="D8">
        <v>40</v>
      </c>
      <c r="E8">
        <v>45</v>
      </c>
      <c r="F8">
        <v>45</v>
      </c>
    </row>
    <row r="9" spans="1:10" x14ac:dyDescent="0.25">
      <c r="A9" t="s">
        <v>679</v>
      </c>
      <c r="B9">
        <v>1</v>
      </c>
      <c r="C9">
        <v>9</v>
      </c>
      <c r="D9">
        <v>9.9</v>
      </c>
      <c r="E9">
        <v>44.9</v>
      </c>
      <c r="F9">
        <v>11.2</v>
      </c>
    </row>
    <row r="10" spans="1:10" x14ac:dyDescent="0.25">
      <c r="A10" t="s">
        <v>41</v>
      </c>
      <c r="B10">
        <v>1</v>
      </c>
      <c r="C10">
        <v>0</v>
      </c>
      <c r="D10">
        <v>0</v>
      </c>
      <c r="E10">
        <v>0</v>
      </c>
      <c r="F10">
        <v>0</v>
      </c>
    </row>
    <row r="11" spans="1:10" x14ac:dyDescent="0.25">
      <c r="A11" t="s">
        <v>680</v>
      </c>
      <c r="B11">
        <v>1</v>
      </c>
      <c r="C11">
        <v>12</v>
      </c>
      <c r="D11">
        <v>12</v>
      </c>
      <c r="E11">
        <v>12</v>
      </c>
      <c r="F11">
        <v>12</v>
      </c>
    </row>
    <row r="12" spans="1:10" x14ac:dyDescent="0.25">
      <c r="A12" t="s">
        <v>563</v>
      </c>
      <c r="B12">
        <v>1</v>
      </c>
      <c r="C12">
        <v>0</v>
      </c>
      <c r="D12">
        <v>0</v>
      </c>
      <c r="E12">
        <v>0</v>
      </c>
      <c r="F12">
        <v>0</v>
      </c>
    </row>
    <row r="13" spans="1:10" x14ac:dyDescent="0.25">
      <c r="A13" t="s">
        <v>681</v>
      </c>
      <c r="B13">
        <v>1</v>
      </c>
      <c r="C13">
        <v>0</v>
      </c>
      <c r="D13">
        <v>0</v>
      </c>
      <c r="E13">
        <v>0</v>
      </c>
      <c r="F13">
        <v>0</v>
      </c>
    </row>
    <row r="14" spans="1:10" x14ac:dyDescent="0.25">
      <c r="A14" t="s">
        <v>682</v>
      </c>
      <c r="B14">
        <v>1</v>
      </c>
      <c r="C14">
        <v>16</v>
      </c>
      <c r="D14">
        <v>16</v>
      </c>
      <c r="E14">
        <v>16</v>
      </c>
      <c r="F14">
        <v>16</v>
      </c>
    </row>
    <row r="15" spans="1:10" x14ac:dyDescent="0.25">
      <c r="A15" t="s">
        <v>683</v>
      </c>
      <c r="B15">
        <v>1</v>
      </c>
      <c r="C15">
        <v>583</v>
      </c>
      <c r="D15">
        <v>583</v>
      </c>
      <c r="E15">
        <v>583</v>
      </c>
      <c r="F15">
        <v>583</v>
      </c>
    </row>
    <row r="16" spans="1:10" x14ac:dyDescent="0.25">
      <c r="A16" t="s">
        <v>684</v>
      </c>
      <c r="B16">
        <v>1</v>
      </c>
      <c r="C16">
        <v>1761</v>
      </c>
      <c r="D16">
        <v>1761</v>
      </c>
      <c r="E16">
        <v>1980</v>
      </c>
      <c r="F16">
        <v>1980</v>
      </c>
    </row>
    <row r="17" spans="1:6" x14ac:dyDescent="0.25">
      <c r="A17" t="s">
        <v>685</v>
      </c>
      <c r="B17">
        <v>1</v>
      </c>
      <c r="C17">
        <v>1174</v>
      </c>
      <c r="D17">
        <v>1174</v>
      </c>
      <c r="E17">
        <v>1320</v>
      </c>
      <c r="F17">
        <v>1320</v>
      </c>
    </row>
    <row r="18" spans="1:6" x14ac:dyDescent="0.25">
      <c r="A18" t="s">
        <v>686</v>
      </c>
      <c r="B18">
        <v>1</v>
      </c>
      <c r="C18">
        <v>2348</v>
      </c>
      <c r="D18">
        <v>2348</v>
      </c>
      <c r="E18">
        <v>2640</v>
      </c>
      <c r="F18">
        <v>2640</v>
      </c>
    </row>
    <row r="19" spans="1:6" x14ac:dyDescent="0.25">
      <c r="A19" t="s">
        <v>687</v>
      </c>
      <c r="B19">
        <v>1</v>
      </c>
      <c r="C19">
        <v>-346781</v>
      </c>
    </row>
    <row r="20" spans="1:6" x14ac:dyDescent="0.25">
      <c r="A20" t="s">
        <v>688</v>
      </c>
      <c r="B20">
        <v>1</v>
      </c>
      <c r="C20">
        <v>9567</v>
      </c>
    </row>
    <row r="21" spans="1:6" x14ac:dyDescent="0.25">
      <c r="A21" t="s">
        <v>689</v>
      </c>
      <c r="B21">
        <v>1</v>
      </c>
      <c r="C21">
        <v>0</v>
      </c>
    </row>
    <row r="22" spans="1:6" x14ac:dyDescent="0.25">
      <c r="A22" t="s">
        <v>690</v>
      </c>
      <c r="B22">
        <v>1</v>
      </c>
      <c r="C22" t="b">
        <v>0</v>
      </c>
      <c r="D22" t="b">
        <v>0</v>
      </c>
      <c r="E22" t="b">
        <v>0</v>
      </c>
      <c r="F22" t="b">
        <v>0</v>
      </c>
    </row>
    <row r="23" spans="1:6" x14ac:dyDescent="0.25">
      <c r="A23" t="s">
        <v>691</v>
      </c>
      <c r="B23">
        <v>1</v>
      </c>
      <c r="C23" t="b">
        <v>0</v>
      </c>
      <c r="D23" t="b">
        <v>0</v>
      </c>
      <c r="E23" t="b">
        <v>0</v>
      </c>
      <c r="F23" t="b">
        <v>0</v>
      </c>
    </row>
    <row r="24" spans="1:6" x14ac:dyDescent="0.25">
      <c r="A24" t="s">
        <v>677</v>
      </c>
      <c r="B24">
        <v>2</v>
      </c>
      <c r="E24">
        <v>1</v>
      </c>
    </row>
    <row r="25" spans="1:6" x14ac:dyDescent="0.25">
      <c r="A25" t="s">
        <v>36</v>
      </c>
      <c r="B25">
        <v>2</v>
      </c>
      <c r="E25">
        <v>3</v>
      </c>
    </row>
    <row r="26" spans="1:6" x14ac:dyDescent="0.25">
      <c r="A26" t="s">
        <v>503</v>
      </c>
      <c r="B26">
        <v>2</v>
      </c>
      <c r="E26" t="s">
        <v>741</v>
      </c>
    </row>
    <row r="27" spans="1:6" x14ac:dyDescent="0.25">
      <c r="A27" t="s">
        <v>678</v>
      </c>
      <c r="B27">
        <v>2</v>
      </c>
      <c r="E27">
        <v>739</v>
      </c>
    </row>
    <row r="28" spans="1:6" x14ac:dyDescent="0.25">
      <c r="A28" t="s">
        <v>42</v>
      </c>
      <c r="B28">
        <v>2</v>
      </c>
      <c r="E28">
        <v>30</v>
      </c>
    </row>
    <row r="29" spans="1:6" x14ac:dyDescent="0.25">
      <c r="A29" t="s">
        <v>679</v>
      </c>
      <c r="B29">
        <v>2</v>
      </c>
      <c r="E29">
        <v>16.8</v>
      </c>
    </row>
    <row r="30" spans="1:6" x14ac:dyDescent="0.25">
      <c r="A30" t="s">
        <v>41</v>
      </c>
      <c r="B30">
        <v>2</v>
      </c>
      <c r="E30">
        <v>0</v>
      </c>
    </row>
    <row r="31" spans="1:6" x14ac:dyDescent="0.25">
      <c r="A31" t="s">
        <v>680</v>
      </c>
      <c r="B31">
        <v>2</v>
      </c>
      <c r="E31">
        <v>12</v>
      </c>
    </row>
    <row r="32" spans="1:6" x14ac:dyDescent="0.25">
      <c r="A32" t="s">
        <v>563</v>
      </c>
      <c r="B32">
        <v>2</v>
      </c>
      <c r="E32">
        <v>0</v>
      </c>
    </row>
    <row r="33" spans="1:5" x14ac:dyDescent="0.25">
      <c r="A33" t="s">
        <v>681</v>
      </c>
      <c r="B33">
        <v>2</v>
      </c>
      <c r="E33">
        <v>0</v>
      </c>
    </row>
    <row r="34" spans="1:5" x14ac:dyDescent="0.25">
      <c r="A34" t="s">
        <v>682</v>
      </c>
      <c r="B34">
        <v>2</v>
      </c>
      <c r="E34">
        <v>16</v>
      </c>
    </row>
    <row r="35" spans="1:5" x14ac:dyDescent="0.25">
      <c r="A35" t="s">
        <v>683</v>
      </c>
      <c r="B35">
        <v>2</v>
      </c>
      <c r="E35">
        <v>200</v>
      </c>
    </row>
    <row r="36" spans="1:5" x14ac:dyDescent="0.25">
      <c r="A36" t="s">
        <v>684</v>
      </c>
      <c r="B36">
        <v>2</v>
      </c>
      <c r="E36">
        <v>1320</v>
      </c>
    </row>
    <row r="37" spans="1:5" x14ac:dyDescent="0.25">
      <c r="A37" t="s">
        <v>685</v>
      </c>
      <c r="B37">
        <v>2</v>
      </c>
      <c r="E37">
        <v>880</v>
      </c>
    </row>
    <row r="38" spans="1:5" x14ac:dyDescent="0.25">
      <c r="A38" t="s">
        <v>686</v>
      </c>
      <c r="B38">
        <v>2</v>
      </c>
      <c r="E38">
        <v>1760</v>
      </c>
    </row>
    <row r="39" spans="1:5" x14ac:dyDescent="0.25">
      <c r="A39" t="s">
        <v>687</v>
      </c>
      <c r="B39">
        <v>2</v>
      </c>
    </row>
    <row r="40" spans="1:5" x14ac:dyDescent="0.25">
      <c r="A40" t="s">
        <v>688</v>
      </c>
      <c r="B40">
        <v>2</v>
      </c>
    </row>
    <row r="41" spans="1:5" x14ac:dyDescent="0.25">
      <c r="A41" t="s">
        <v>689</v>
      </c>
      <c r="B41">
        <v>2</v>
      </c>
    </row>
    <row r="42" spans="1:5" x14ac:dyDescent="0.25">
      <c r="A42" t="s">
        <v>690</v>
      </c>
      <c r="B42">
        <v>2</v>
      </c>
      <c r="E42" t="b">
        <v>0</v>
      </c>
    </row>
    <row r="43" spans="1:5" x14ac:dyDescent="0.25">
      <c r="A43" t="s">
        <v>691</v>
      </c>
      <c r="B43">
        <v>2</v>
      </c>
      <c r="E43" t="b">
        <v>0</v>
      </c>
    </row>
    <row r="44" spans="1:5" x14ac:dyDescent="0.25">
      <c r="A44" t="s">
        <v>677</v>
      </c>
      <c r="B44">
        <v>3</v>
      </c>
      <c r="C44">
        <v>1</v>
      </c>
    </row>
    <row r="45" spans="1:5" x14ac:dyDescent="0.25">
      <c r="A45" t="s">
        <v>36</v>
      </c>
      <c r="B45">
        <v>3</v>
      </c>
      <c r="C45">
        <v>2</v>
      </c>
    </row>
    <row r="46" spans="1:5" x14ac:dyDescent="0.25">
      <c r="A46" t="s">
        <v>503</v>
      </c>
      <c r="B46">
        <v>3</v>
      </c>
      <c r="C46" t="s">
        <v>740</v>
      </c>
    </row>
    <row r="47" spans="1:5" x14ac:dyDescent="0.25">
      <c r="A47" t="s">
        <v>678</v>
      </c>
      <c r="B47">
        <v>3</v>
      </c>
      <c r="C47">
        <v>579</v>
      </c>
    </row>
    <row r="48" spans="1:5" x14ac:dyDescent="0.25">
      <c r="A48" t="s">
        <v>42</v>
      </c>
      <c r="B48">
        <v>3</v>
      </c>
      <c r="C48">
        <v>30</v>
      </c>
    </row>
    <row r="49" spans="1:3" x14ac:dyDescent="0.25">
      <c r="A49" t="s">
        <v>679</v>
      </c>
      <c r="B49">
        <v>3</v>
      </c>
      <c r="C49">
        <v>13.2</v>
      </c>
    </row>
    <row r="50" spans="1:3" x14ac:dyDescent="0.25">
      <c r="A50" t="s">
        <v>41</v>
      </c>
      <c r="B50">
        <v>3</v>
      </c>
      <c r="C50">
        <v>0</v>
      </c>
    </row>
    <row r="51" spans="1:3" x14ac:dyDescent="0.25">
      <c r="A51" t="s">
        <v>680</v>
      </c>
      <c r="B51">
        <v>3</v>
      </c>
      <c r="C51">
        <v>12</v>
      </c>
    </row>
    <row r="52" spans="1:3" x14ac:dyDescent="0.25">
      <c r="A52" t="s">
        <v>563</v>
      </c>
      <c r="B52">
        <v>3</v>
      </c>
      <c r="C52">
        <v>0</v>
      </c>
    </row>
    <row r="53" spans="1:3" x14ac:dyDescent="0.25">
      <c r="A53" t="s">
        <v>681</v>
      </c>
      <c r="B53">
        <v>3</v>
      </c>
      <c r="C53">
        <v>0</v>
      </c>
    </row>
    <row r="54" spans="1:3" x14ac:dyDescent="0.25">
      <c r="A54" t="s">
        <v>682</v>
      </c>
      <c r="B54">
        <v>3</v>
      </c>
      <c r="C54">
        <v>16</v>
      </c>
    </row>
    <row r="55" spans="1:3" x14ac:dyDescent="0.25">
      <c r="A55" t="s">
        <v>683</v>
      </c>
      <c r="B55">
        <v>3</v>
      </c>
      <c r="C55">
        <v>200</v>
      </c>
    </row>
    <row r="56" spans="1:3" x14ac:dyDescent="0.25">
      <c r="A56" t="s">
        <v>684</v>
      </c>
      <c r="B56">
        <v>3</v>
      </c>
      <c r="C56">
        <v>1320</v>
      </c>
    </row>
    <row r="57" spans="1:3" x14ac:dyDescent="0.25">
      <c r="A57" t="s">
        <v>685</v>
      </c>
      <c r="B57">
        <v>3</v>
      </c>
      <c r="C57">
        <v>880</v>
      </c>
    </row>
    <row r="58" spans="1:3" x14ac:dyDescent="0.25">
      <c r="A58" t="s">
        <v>686</v>
      </c>
      <c r="B58">
        <v>3</v>
      </c>
      <c r="C58">
        <v>1760</v>
      </c>
    </row>
    <row r="59" spans="1:3" x14ac:dyDescent="0.25">
      <c r="A59" t="s">
        <v>687</v>
      </c>
      <c r="B59">
        <v>3</v>
      </c>
    </row>
    <row r="60" spans="1:3" x14ac:dyDescent="0.25">
      <c r="A60" t="s">
        <v>688</v>
      </c>
      <c r="B60">
        <v>3</v>
      </c>
    </row>
    <row r="61" spans="1:3" x14ac:dyDescent="0.25">
      <c r="A61" t="s">
        <v>689</v>
      </c>
      <c r="B61">
        <v>3</v>
      </c>
    </row>
    <row r="62" spans="1:3" x14ac:dyDescent="0.25">
      <c r="A62" t="s">
        <v>690</v>
      </c>
      <c r="B62">
        <v>3</v>
      </c>
      <c r="C62" t="b">
        <v>0</v>
      </c>
    </row>
    <row r="63" spans="1:3" x14ac:dyDescent="0.25">
      <c r="A63" t="s">
        <v>691</v>
      </c>
      <c r="B63">
        <v>3</v>
      </c>
      <c r="C63" t="b">
        <v>0</v>
      </c>
    </row>
    <row r="64" spans="1:3" x14ac:dyDescent="0.25">
      <c r="A64" t="s">
        <v>677</v>
      </c>
      <c r="B64">
        <v>4</v>
      </c>
      <c r="C64">
        <v>9</v>
      </c>
    </row>
    <row r="65" spans="1:3" x14ac:dyDescent="0.25">
      <c r="A65" t="s">
        <v>36</v>
      </c>
      <c r="B65">
        <v>4</v>
      </c>
      <c r="C65">
        <v>1</v>
      </c>
    </row>
    <row r="66" spans="1:3" x14ac:dyDescent="0.25">
      <c r="A66" t="s">
        <v>503</v>
      </c>
      <c r="B66">
        <v>4</v>
      </c>
      <c r="C66" t="s">
        <v>742</v>
      </c>
    </row>
    <row r="67" spans="1:3" x14ac:dyDescent="0.25">
      <c r="A67" t="s">
        <v>678</v>
      </c>
      <c r="B67">
        <v>4</v>
      </c>
      <c r="C67">
        <v>365</v>
      </c>
    </row>
    <row r="68" spans="1:3" x14ac:dyDescent="0.25">
      <c r="A68" t="s">
        <v>42</v>
      </c>
      <c r="B68">
        <v>4</v>
      </c>
      <c r="C68">
        <v>25</v>
      </c>
    </row>
    <row r="69" spans="1:3" x14ac:dyDescent="0.25">
      <c r="A69" t="s">
        <v>679</v>
      </c>
      <c r="B69">
        <v>4</v>
      </c>
      <c r="C69">
        <v>10</v>
      </c>
    </row>
    <row r="70" spans="1:3" x14ac:dyDescent="0.25">
      <c r="A70" t="s">
        <v>41</v>
      </c>
      <c r="B70">
        <v>4</v>
      </c>
      <c r="C70">
        <v>0</v>
      </c>
    </row>
    <row r="71" spans="1:3" x14ac:dyDescent="0.25">
      <c r="A71" t="s">
        <v>680</v>
      </c>
      <c r="B71">
        <v>4</v>
      </c>
      <c r="C71">
        <v>12</v>
      </c>
    </row>
    <row r="72" spans="1:3" x14ac:dyDescent="0.25">
      <c r="A72" t="s">
        <v>563</v>
      </c>
      <c r="B72">
        <v>4</v>
      </c>
      <c r="C72">
        <v>0</v>
      </c>
    </row>
    <row r="73" spans="1:3" x14ac:dyDescent="0.25">
      <c r="A73" t="s">
        <v>681</v>
      </c>
      <c r="B73">
        <v>4</v>
      </c>
      <c r="C73">
        <v>1</v>
      </c>
    </row>
    <row r="74" spans="1:3" x14ac:dyDescent="0.25">
      <c r="A74" t="s">
        <v>682</v>
      </c>
      <c r="B74">
        <v>4</v>
      </c>
      <c r="C74">
        <v>16</v>
      </c>
    </row>
    <row r="75" spans="1:3" x14ac:dyDescent="0.25">
      <c r="A75" t="s">
        <v>683</v>
      </c>
      <c r="B75">
        <v>4</v>
      </c>
      <c r="C75">
        <v>200</v>
      </c>
    </row>
    <row r="76" spans="1:3" x14ac:dyDescent="0.25">
      <c r="A76" t="s">
        <v>684</v>
      </c>
      <c r="B76">
        <v>4</v>
      </c>
      <c r="C76">
        <v>1101</v>
      </c>
    </row>
    <row r="77" spans="1:3" x14ac:dyDescent="0.25">
      <c r="A77" t="s">
        <v>685</v>
      </c>
      <c r="B77">
        <v>4</v>
      </c>
      <c r="C77">
        <v>734</v>
      </c>
    </row>
    <row r="78" spans="1:3" x14ac:dyDescent="0.25">
      <c r="A78" t="s">
        <v>686</v>
      </c>
      <c r="B78">
        <v>4</v>
      </c>
      <c r="C78">
        <v>1468</v>
      </c>
    </row>
    <row r="79" spans="1:3" x14ac:dyDescent="0.25">
      <c r="A79" t="s">
        <v>687</v>
      </c>
      <c r="B79">
        <v>4</v>
      </c>
    </row>
    <row r="80" spans="1:3" x14ac:dyDescent="0.25">
      <c r="A80" t="s">
        <v>688</v>
      </c>
      <c r="B80">
        <v>4</v>
      </c>
    </row>
    <row r="81" spans="1:4" x14ac:dyDescent="0.25">
      <c r="A81" t="s">
        <v>689</v>
      </c>
      <c r="B81">
        <v>4</v>
      </c>
    </row>
    <row r="82" spans="1:4" x14ac:dyDescent="0.25">
      <c r="A82" t="s">
        <v>690</v>
      </c>
      <c r="B82">
        <v>4</v>
      </c>
      <c r="C82" t="b">
        <v>0</v>
      </c>
    </row>
    <row r="83" spans="1:4" x14ac:dyDescent="0.25">
      <c r="A83" t="s">
        <v>691</v>
      </c>
      <c r="B83">
        <v>4</v>
      </c>
      <c r="C83" t="b">
        <v>0</v>
      </c>
    </row>
    <row r="84" spans="1:4" x14ac:dyDescent="0.25">
      <c r="A84" t="s">
        <v>677</v>
      </c>
      <c r="B84">
        <v>5</v>
      </c>
      <c r="D84">
        <v>1</v>
      </c>
    </row>
    <row r="85" spans="1:4" x14ac:dyDescent="0.25">
      <c r="A85" t="s">
        <v>36</v>
      </c>
      <c r="B85">
        <v>5</v>
      </c>
      <c r="D85">
        <v>2</v>
      </c>
    </row>
    <row r="86" spans="1:4" x14ac:dyDescent="0.25">
      <c r="A86" t="s">
        <v>503</v>
      </c>
      <c r="B86">
        <v>5</v>
      </c>
      <c r="D86" t="s">
        <v>740</v>
      </c>
    </row>
    <row r="87" spans="1:4" x14ac:dyDescent="0.25">
      <c r="A87" t="s">
        <v>678</v>
      </c>
      <c r="B87">
        <v>5</v>
      </c>
      <c r="D87">
        <v>526</v>
      </c>
    </row>
    <row r="88" spans="1:4" x14ac:dyDescent="0.25">
      <c r="A88" t="s">
        <v>42</v>
      </c>
      <c r="B88">
        <v>5</v>
      </c>
      <c r="D88">
        <v>30</v>
      </c>
    </row>
    <row r="89" spans="1:4" x14ac:dyDescent="0.25">
      <c r="A89" t="s">
        <v>679</v>
      </c>
      <c r="B89">
        <v>5</v>
      </c>
      <c r="D89">
        <v>12</v>
      </c>
    </row>
    <row r="90" spans="1:4" x14ac:dyDescent="0.25">
      <c r="A90" t="s">
        <v>41</v>
      </c>
      <c r="B90">
        <v>5</v>
      </c>
      <c r="D90">
        <v>0</v>
      </c>
    </row>
    <row r="91" spans="1:4" x14ac:dyDescent="0.25">
      <c r="A91" t="s">
        <v>680</v>
      </c>
      <c r="B91">
        <v>5</v>
      </c>
      <c r="D91">
        <v>12</v>
      </c>
    </row>
    <row r="92" spans="1:4" x14ac:dyDescent="0.25">
      <c r="A92" t="s">
        <v>563</v>
      </c>
      <c r="B92">
        <v>5</v>
      </c>
      <c r="D92">
        <v>0</v>
      </c>
    </row>
    <row r="93" spans="1:4" x14ac:dyDescent="0.25">
      <c r="A93" t="s">
        <v>681</v>
      </c>
      <c r="B93">
        <v>5</v>
      </c>
      <c r="D93">
        <v>0</v>
      </c>
    </row>
    <row r="94" spans="1:4" x14ac:dyDescent="0.25">
      <c r="A94" t="s">
        <v>682</v>
      </c>
      <c r="B94">
        <v>5</v>
      </c>
      <c r="D94">
        <v>16</v>
      </c>
    </row>
    <row r="95" spans="1:4" x14ac:dyDescent="0.25">
      <c r="A95" t="s">
        <v>683</v>
      </c>
      <c r="B95">
        <v>5</v>
      </c>
      <c r="D95">
        <v>200</v>
      </c>
    </row>
    <row r="96" spans="1:4" x14ac:dyDescent="0.25">
      <c r="A96" t="s">
        <v>684</v>
      </c>
      <c r="B96">
        <v>5</v>
      </c>
      <c r="D96">
        <v>1320</v>
      </c>
    </row>
    <row r="97" spans="1:4" x14ac:dyDescent="0.25">
      <c r="A97" t="s">
        <v>685</v>
      </c>
      <c r="B97">
        <v>5</v>
      </c>
      <c r="D97">
        <v>880</v>
      </c>
    </row>
    <row r="98" spans="1:4" x14ac:dyDescent="0.25">
      <c r="A98" t="s">
        <v>686</v>
      </c>
      <c r="B98">
        <v>5</v>
      </c>
      <c r="D98">
        <v>1760</v>
      </c>
    </row>
    <row r="99" spans="1:4" x14ac:dyDescent="0.25">
      <c r="A99" t="s">
        <v>687</v>
      </c>
      <c r="B99">
        <v>5</v>
      </c>
      <c r="D99">
        <v>-346828</v>
      </c>
    </row>
    <row r="100" spans="1:4" x14ac:dyDescent="0.25">
      <c r="A100" t="s">
        <v>688</v>
      </c>
      <c r="B100">
        <v>5</v>
      </c>
      <c r="D100">
        <v>9398</v>
      </c>
    </row>
    <row r="101" spans="1:4" x14ac:dyDescent="0.25">
      <c r="A101" t="s">
        <v>689</v>
      </c>
      <c r="B101">
        <v>5</v>
      </c>
      <c r="D101">
        <v>0</v>
      </c>
    </row>
    <row r="102" spans="1:4" x14ac:dyDescent="0.25">
      <c r="A102" t="s">
        <v>690</v>
      </c>
      <c r="B102">
        <v>5</v>
      </c>
      <c r="D102" t="b">
        <v>0</v>
      </c>
    </row>
    <row r="103" spans="1:4" x14ac:dyDescent="0.25">
      <c r="A103" t="s">
        <v>691</v>
      </c>
      <c r="B103">
        <v>5</v>
      </c>
      <c r="D103" t="b">
        <v>0</v>
      </c>
    </row>
    <row r="104" spans="1:4" x14ac:dyDescent="0.25">
      <c r="A104" t="s">
        <v>677</v>
      </c>
      <c r="B104">
        <v>6</v>
      </c>
      <c r="D104">
        <v>9</v>
      </c>
    </row>
    <row r="105" spans="1:4" x14ac:dyDescent="0.25">
      <c r="A105" t="s">
        <v>36</v>
      </c>
      <c r="B105">
        <v>6</v>
      </c>
      <c r="D105">
        <v>1</v>
      </c>
    </row>
    <row r="106" spans="1:4" x14ac:dyDescent="0.25">
      <c r="A106" t="s">
        <v>503</v>
      </c>
      <c r="B106">
        <v>6</v>
      </c>
      <c r="D106" t="s">
        <v>742</v>
      </c>
    </row>
    <row r="107" spans="1:4" x14ac:dyDescent="0.25">
      <c r="A107" t="s">
        <v>678</v>
      </c>
      <c r="B107">
        <v>6</v>
      </c>
      <c r="D107">
        <v>575</v>
      </c>
    </row>
    <row r="108" spans="1:4" x14ac:dyDescent="0.25">
      <c r="A108" t="s">
        <v>42</v>
      </c>
      <c r="B108">
        <v>6</v>
      </c>
      <c r="D108">
        <v>30</v>
      </c>
    </row>
    <row r="109" spans="1:4" x14ac:dyDescent="0.25">
      <c r="A109" t="s">
        <v>679</v>
      </c>
      <c r="B109">
        <v>6</v>
      </c>
      <c r="D109">
        <v>13.1</v>
      </c>
    </row>
    <row r="110" spans="1:4" x14ac:dyDescent="0.25">
      <c r="A110" t="s">
        <v>41</v>
      </c>
      <c r="B110">
        <v>6</v>
      </c>
      <c r="D110">
        <v>0</v>
      </c>
    </row>
    <row r="111" spans="1:4" x14ac:dyDescent="0.25">
      <c r="A111" t="s">
        <v>680</v>
      </c>
      <c r="B111">
        <v>6</v>
      </c>
      <c r="D111">
        <v>12</v>
      </c>
    </row>
    <row r="112" spans="1:4" x14ac:dyDescent="0.25">
      <c r="A112" t="s">
        <v>563</v>
      </c>
      <c r="B112">
        <v>6</v>
      </c>
      <c r="D112">
        <v>0</v>
      </c>
    </row>
    <row r="113" spans="1:6" x14ac:dyDescent="0.25">
      <c r="A113" t="s">
        <v>681</v>
      </c>
      <c r="B113">
        <v>6</v>
      </c>
      <c r="D113">
        <v>0</v>
      </c>
    </row>
    <row r="114" spans="1:6" x14ac:dyDescent="0.25">
      <c r="A114" t="s">
        <v>682</v>
      </c>
      <c r="B114">
        <v>6</v>
      </c>
      <c r="D114">
        <v>16</v>
      </c>
    </row>
    <row r="115" spans="1:6" x14ac:dyDescent="0.25">
      <c r="A115" t="s">
        <v>683</v>
      </c>
      <c r="B115">
        <v>6</v>
      </c>
      <c r="D115">
        <v>200</v>
      </c>
    </row>
    <row r="116" spans="1:6" x14ac:dyDescent="0.25">
      <c r="A116" t="s">
        <v>684</v>
      </c>
      <c r="B116">
        <v>6</v>
      </c>
      <c r="D116">
        <v>1320</v>
      </c>
    </row>
    <row r="117" spans="1:6" x14ac:dyDescent="0.25">
      <c r="A117" t="s">
        <v>685</v>
      </c>
      <c r="B117">
        <v>6</v>
      </c>
      <c r="D117">
        <v>880</v>
      </c>
    </row>
    <row r="118" spans="1:6" x14ac:dyDescent="0.25">
      <c r="A118" t="s">
        <v>686</v>
      </c>
      <c r="B118">
        <v>6</v>
      </c>
      <c r="D118">
        <v>1760</v>
      </c>
    </row>
    <row r="119" spans="1:6" x14ac:dyDescent="0.25">
      <c r="A119" t="s">
        <v>687</v>
      </c>
      <c r="B119">
        <v>6</v>
      </c>
    </row>
    <row r="120" spans="1:6" x14ac:dyDescent="0.25">
      <c r="A120" t="s">
        <v>688</v>
      </c>
      <c r="B120">
        <v>6</v>
      </c>
    </row>
    <row r="121" spans="1:6" x14ac:dyDescent="0.25">
      <c r="A121" t="s">
        <v>689</v>
      </c>
      <c r="B121">
        <v>6</v>
      </c>
    </row>
    <row r="122" spans="1:6" x14ac:dyDescent="0.25">
      <c r="A122" t="s">
        <v>690</v>
      </c>
      <c r="B122">
        <v>6</v>
      </c>
      <c r="D122" t="b">
        <v>0</v>
      </c>
    </row>
    <row r="123" spans="1:6" x14ac:dyDescent="0.25">
      <c r="A123" t="s">
        <v>691</v>
      </c>
      <c r="B123">
        <v>6</v>
      </c>
      <c r="D123" t="b">
        <v>0</v>
      </c>
    </row>
    <row r="124" spans="1:6" x14ac:dyDescent="0.25">
      <c r="A124" t="s">
        <v>677</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743</v>
      </c>
      <c r="D126" t="s">
        <v>744</v>
      </c>
      <c r="E126" t="s">
        <v>741</v>
      </c>
      <c r="F126" t="s">
        <v>741</v>
      </c>
    </row>
    <row r="127" spans="1:6" x14ac:dyDescent="0.25">
      <c r="A127" t="s">
        <v>678</v>
      </c>
      <c r="B127">
        <v>7</v>
      </c>
      <c r="C127">
        <v>512</v>
      </c>
      <c r="D127">
        <v>667</v>
      </c>
      <c r="E127">
        <v>2820</v>
      </c>
      <c r="F127">
        <v>2784</v>
      </c>
    </row>
    <row r="128" spans="1:6" x14ac:dyDescent="0.25">
      <c r="A128" t="s">
        <v>42</v>
      </c>
      <c r="B128">
        <v>7</v>
      </c>
      <c r="C128">
        <v>30</v>
      </c>
      <c r="D128">
        <v>30</v>
      </c>
      <c r="E128">
        <v>45</v>
      </c>
      <c r="F128">
        <v>45</v>
      </c>
    </row>
    <row r="129" spans="1:6" x14ac:dyDescent="0.25">
      <c r="A129" t="s">
        <v>679</v>
      </c>
      <c r="B129">
        <v>7</v>
      </c>
      <c r="C129">
        <v>11.6</v>
      </c>
      <c r="D129">
        <v>15.2</v>
      </c>
      <c r="E129">
        <v>42.7</v>
      </c>
      <c r="F129">
        <v>42.2</v>
      </c>
    </row>
    <row r="130" spans="1:6" x14ac:dyDescent="0.25">
      <c r="A130" t="s">
        <v>41</v>
      </c>
      <c r="B130">
        <v>7</v>
      </c>
      <c r="C130">
        <v>0</v>
      </c>
      <c r="D130">
        <v>0</v>
      </c>
      <c r="E130">
        <v>0</v>
      </c>
      <c r="F130">
        <v>0</v>
      </c>
    </row>
    <row r="131" spans="1:6" x14ac:dyDescent="0.25">
      <c r="A131" t="s">
        <v>680</v>
      </c>
      <c r="B131">
        <v>7</v>
      </c>
      <c r="C131">
        <v>12</v>
      </c>
      <c r="D131">
        <v>12</v>
      </c>
      <c r="E131">
        <v>12</v>
      </c>
      <c r="F131">
        <v>12</v>
      </c>
    </row>
    <row r="132" spans="1:6" x14ac:dyDescent="0.25">
      <c r="A132" t="s">
        <v>563</v>
      </c>
      <c r="B132">
        <v>7</v>
      </c>
      <c r="C132">
        <v>0</v>
      </c>
      <c r="D132">
        <v>0</v>
      </c>
      <c r="E132">
        <v>0</v>
      </c>
      <c r="F132">
        <v>0</v>
      </c>
    </row>
    <row r="133" spans="1:6" x14ac:dyDescent="0.25">
      <c r="A133" t="s">
        <v>681</v>
      </c>
      <c r="B133">
        <v>7</v>
      </c>
      <c r="C133">
        <v>0</v>
      </c>
      <c r="D133">
        <v>0</v>
      </c>
      <c r="E133">
        <v>0</v>
      </c>
      <c r="F133">
        <v>0</v>
      </c>
    </row>
    <row r="134" spans="1:6" x14ac:dyDescent="0.25">
      <c r="A134" t="s">
        <v>682</v>
      </c>
      <c r="B134">
        <v>7</v>
      </c>
      <c r="C134">
        <v>16</v>
      </c>
      <c r="D134">
        <v>16</v>
      </c>
      <c r="E134">
        <v>16</v>
      </c>
      <c r="F134">
        <v>16</v>
      </c>
    </row>
    <row r="135" spans="1:6" x14ac:dyDescent="0.25">
      <c r="A135" t="s">
        <v>683</v>
      </c>
      <c r="B135">
        <v>7</v>
      </c>
      <c r="C135">
        <v>583</v>
      </c>
      <c r="D135">
        <v>583</v>
      </c>
      <c r="E135">
        <v>583</v>
      </c>
      <c r="F135">
        <v>583</v>
      </c>
    </row>
    <row r="136" spans="1:6" x14ac:dyDescent="0.25">
      <c r="A136" t="s">
        <v>684</v>
      </c>
      <c r="B136">
        <v>7</v>
      </c>
      <c r="C136">
        <v>1320</v>
      </c>
      <c r="D136">
        <v>1320</v>
      </c>
      <c r="E136">
        <v>1980</v>
      </c>
      <c r="F136">
        <v>1980</v>
      </c>
    </row>
    <row r="137" spans="1:6" x14ac:dyDescent="0.25">
      <c r="A137" t="s">
        <v>685</v>
      </c>
      <c r="B137">
        <v>7</v>
      </c>
      <c r="C137">
        <v>880</v>
      </c>
      <c r="D137">
        <v>880</v>
      </c>
      <c r="E137">
        <v>1320</v>
      </c>
      <c r="F137">
        <v>1320</v>
      </c>
    </row>
    <row r="138" spans="1:6" x14ac:dyDescent="0.25">
      <c r="A138" t="s">
        <v>686</v>
      </c>
      <c r="B138">
        <v>7</v>
      </c>
      <c r="C138">
        <v>1760</v>
      </c>
      <c r="D138">
        <v>1760</v>
      </c>
      <c r="E138">
        <v>2640</v>
      </c>
      <c r="F138">
        <v>2640</v>
      </c>
    </row>
    <row r="139" spans="1:6" x14ac:dyDescent="0.25">
      <c r="A139" t="s">
        <v>687</v>
      </c>
      <c r="B139">
        <v>7</v>
      </c>
    </row>
    <row r="140" spans="1:6" x14ac:dyDescent="0.25">
      <c r="A140" t="s">
        <v>688</v>
      </c>
      <c r="B140">
        <v>7</v>
      </c>
    </row>
    <row r="141" spans="1:6" x14ac:dyDescent="0.25">
      <c r="A141" t="s">
        <v>689</v>
      </c>
      <c r="B141">
        <v>7</v>
      </c>
    </row>
    <row r="142" spans="1:6" x14ac:dyDescent="0.25">
      <c r="A142" t="s">
        <v>690</v>
      </c>
      <c r="B142">
        <v>7</v>
      </c>
      <c r="C142" t="b">
        <v>0</v>
      </c>
      <c r="D142" t="b">
        <v>0</v>
      </c>
      <c r="E142" t="b">
        <v>0</v>
      </c>
      <c r="F142" t="b">
        <v>0</v>
      </c>
    </row>
    <row r="143" spans="1:6" x14ac:dyDescent="0.25">
      <c r="A143" t="s">
        <v>691</v>
      </c>
      <c r="B143">
        <v>7</v>
      </c>
      <c r="C143" t="b">
        <v>0</v>
      </c>
      <c r="D143" t="b">
        <v>0</v>
      </c>
      <c r="E143" t="b">
        <v>0</v>
      </c>
      <c r="F143" t="b">
        <v>0</v>
      </c>
    </row>
    <row r="144" spans="1:6" x14ac:dyDescent="0.25">
      <c r="A144" t="s">
        <v>677</v>
      </c>
      <c r="B144">
        <v>8</v>
      </c>
      <c r="C144">
        <v>7</v>
      </c>
    </row>
    <row r="145" spans="1:3" x14ac:dyDescent="0.25">
      <c r="A145" t="s">
        <v>36</v>
      </c>
      <c r="B145">
        <v>8</v>
      </c>
      <c r="C145">
        <v>2</v>
      </c>
    </row>
    <row r="146" spans="1:3" x14ac:dyDescent="0.25">
      <c r="A146" t="s">
        <v>503</v>
      </c>
      <c r="B146">
        <v>8</v>
      </c>
      <c r="C146" t="s">
        <v>744</v>
      </c>
    </row>
    <row r="147" spans="1:3" x14ac:dyDescent="0.25">
      <c r="A147" t="s">
        <v>678</v>
      </c>
      <c r="B147">
        <v>8</v>
      </c>
      <c r="C147">
        <v>667</v>
      </c>
    </row>
    <row r="148" spans="1:3" x14ac:dyDescent="0.25">
      <c r="A148" t="s">
        <v>42</v>
      </c>
      <c r="B148">
        <v>8</v>
      </c>
      <c r="C148">
        <v>30</v>
      </c>
    </row>
    <row r="149" spans="1:3" x14ac:dyDescent="0.25">
      <c r="A149" t="s">
        <v>679</v>
      </c>
      <c r="B149">
        <v>8</v>
      </c>
      <c r="C149">
        <v>15.2</v>
      </c>
    </row>
    <row r="150" spans="1:3" x14ac:dyDescent="0.25">
      <c r="A150" t="s">
        <v>41</v>
      </c>
      <c r="B150">
        <v>8</v>
      </c>
      <c r="C150">
        <v>0</v>
      </c>
    </row>
    <row r="151" spans="1:3" x14ac:dyDescent="0.25">
      <c r="A151" t="s">
        <v>680</v>
      </c>
      <c r="B151">
        <v>8</v>
      </c>
      <c r="C151">
        <v>12</v>
      </c>
    </row>
    <row r="152" spans="1:3" x14ac:dyDescent="0.25">
      <c r="A152" t="s">
        <v>563</v>
      </c>
      <c r="B152">
        <v>8</v>
      </c>
      <c r="C152">
        <v>0</v>
      </c>
    </row>
    <row r="153" spans="1:3" x14ac:dyDescent="0.25">
      <c r="A153" t="s">
        <v>681</v>
      </c>
      <c r="B153">
        <v>8</v>
      </c>
      <c r="C153">
        <v>0</v>
      </c>
    </row>
    <row r="154" spans="1:3" x14ac:dyDescent="0.25">
      <c r="A154" t="s">
        <v>682</v>
      </c>
      <c r="B154">
        <v>8</v>
      </c>
      <c r="C154">
        <v>16</v>
      </c>
    </row>
    <row r="155" spans="1:3" x14ac:dyDescent="0.25">
      <c r="A155" t="s">
        <v>683</v>
      </c>
      <c r="B155">
        <v>8</v>
      </c>
      <c r="C155">
        <v>200</v>
      </c>
    </row>
    <row r="156" spans="1:3" x14ac:dyDescent="0.25">
      <c r="A156" t="s">
        <v>684</v>
      </c>
      <c r="B156">
        <v>8</v>
      </c>
      <c r="C156">
        <v>1320</v>
      </c>
    </row>
    <row r="157" spans="1:3" x14ac:dyDescent="0.25">
      <c r="A157" t="s">
        <v>685</v>
      </c>
      <c r="B157">
        <v>8</v>
      </c>
      <c r="C157">
        <v>880</v>
      </c>
    </row>
    <row r="158" spans="1:3" x14ac:dyDescent="0.25">
      <c r="A158" t="s">
        <v>686</v>
      </c>
      <c r="B158">
        <v>8</v>
      </c>
      <c r="C158">
        <v>1760</v>
      </c>
    </row>
    <row r="159" spans="1:3" x14ac:dyDescent="0.25">
      <c r="A159" t="s">
        <v>687</v>
      </c>
      <c r="B159">
        <v>8</v>
      </c>
    </row>
    <row r="160" spans="1:3" x14ac:dyDescent="0.25">
      <c r="A160" t="s">
        <v>688</v>
      </c>
      <c r="B160">
        <v>8</v>
      </c>
    </row>
    <row r="161" spans="1:6" x14ac:dyDescent="0.25">
      <c r="A161" t="s">
        <v>689</v>
      </c>
      <c r="B161">
        <v>8</v>
      </c>
    </row>
    <row r="162" spans="1:6" x14ac:dyDescent="0.25">
      <c r="A162" t="s">
        <v>690</v>
      </c>
      <c r="B162">
        <v>8</v>
      </c>
      <c r="C162" t="b">
        <v>0</v>
      </c>
    </row>
    <row r="163" spans="1:6" x14ac:dyDescent="0.25">
      <c r="A163" t="s">
        <v>691</v>
      </c>
      <c r="B163">
        <v>8</v>
      </c>
      <c r="C163" t="b">
        <v>0</v>
      </c>
    </row>
    <row r="164" spans="1:6" x14ac:dyDescent="0.25">
      <c r="A164" t="s">
        <v>677</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742</v>
      </c>
      <c r="D166" t="s">
        <v>742</v>
      </c>
      <c r="E166" t="s">
        <v>741</v>
      </c>
      <c r="F166" t="s">
        <v>741</v>
      </c>
    </row>
    <row r="167" spans="1:6" x14ac:dyDescent="0.25">
      <c r="A167" t="s">
        <v>678</v>
      </c>
      <c r="B167">
        <v>9</v>
      </c>
      <c r="C167">
        <v>575</v>
      </c>
      <c r="D167">
        <v>365</v>
      </c>
      <c r="E167">
        <v>2784</v>
      </c>
      <c r="F167">
        <v>2966</v>
      </c>
    </row>
    <row r="168" spans="1:6" x14ac:dyDescent="0.25">
      <c r="A168" t="s">
        <v>42</v>
      </c>
      <c r="B168">
        <v>9</v>
      </c>
      <c r="C168">
        <v>35</v>
      </c>
      <c r="D168">
        <v>30</v>
      </c>
      <c r="E168">
        <v>45</v>
      </c>
      <c r="F168">
        <v>45</v>
      </c>
    </row>
    <row r="169" spans="1:6" x14ac:dyDescent="0.25">
      <c r="A169" t="s">
        <v>679</v>
      </c>
      <c r="B169">
        <v>9</v>
      </c>
      <c r="C169">
        <v>11.2</v>
      </c>
      <c r="D169">
        <v>8.3000000000000007</v>
      </c>
      <c r="E169">
        <v>42.2</v>
      </c>
      <c r="F169">
        <v>44.9</v>
      </c>
    </row>
    <row r="170" spans="1:6" x14ac:dyDescent="0.25">
      <c r="A170" t="s">
        <v>41</v>
      </c>
      <c r="B170">
        <v>9</v>
      </c>
      <c r="C170">
        <v>0</v>
      </c>
      <c r="D170">
        <v>0</v>
      </c>
      <c r="E170">
        <v>0</v>
      </c>
      <c r="F170">
        <v>0</v>
      </c>
    </row>
    <row r="171" spans="1:6" x14ac:dyDescent="0.25">
      <c r="A171" t="s">
        <v>680</v>
      </c>
      <c r="B171">
        <v>9</v>
      </c>
      <c r="C171">
        <v>12</v>
      </c>
      <c r="D171">
        <v>12</v>
      </c>
      <c r="E171">
        <v>12</v>
      </c>
      <c r="F171">
        <v>12</v>
      </c>
    </row>
    <row r="172" spans="1:6" x14ac:dyDescent="0.25">
      <c r="A172" t="s">
        <v>563</v>
      </c>
      <c r="B172">
        <v>9</v>
      </c>
      <c r="C172">
        <v>0</v>
      </c>
      <c r="D172">
        <v>0</v>
      </c>
      <c r="E172">
        <v>0</v>
      </c>
      <c r="F172">
        <v>0</v>
      </c>
    </row>
    <row r="173" spans="1:6" x14ac:dyDescent="0.25">
      <c r="A173" t="s">
        <v>681</v>
      </c>
      <c r="B173">
        <v>9</v>
      </c>
      <c r="C173">
        <v>0</v>
      </c>
      <c r="D173">
        <v>1</v>
      </c>
      <c r="E173">
        <v>0</v>
      </c>
      <c r="F173">
        <v>0</v>
      </c>
    </row>
    <row r="174" spans="1:6" x14ac:dyDescent="0.25">
      <c r="A174" t="s">
        <v>682</v>
      </c>
      <c r="B174">
        <v>9</v>
      </c>
      <c r="C174">
        <v>16</v>
      </c>
      <c r="D174">
        <v>16</v>
      </c>
      <c r="E174">
        <v>16</v>
      </c>
      <c r="F174">
        <v>16</v>
      </c>
    </row>
    <row r="175" spans="1:6" x14ac:dyDescent="0.25">
      <c r="A175" t="s">
        <v>683</v>
      </c>
      <c r="B175">
        <v>9</v>
      </c>
      <c r="C175">
        <v>583</v>
      </c>
      <c r="D175">
        <v>583</v>
      </c>
      <c r="E175">
        <v>583</v>
      </c>
      <c r="F175">
        <v>583</v>
      </c>
    </row>
    <row r="176" spans="1:6" x14ac:dyDescent="0.25">
      <c r="A176" t="s">
        <v>684</v>
      </c>
      <c r="B176">
        <v>9</v>
      </c>
      <c r="C176">
        <v>1539</v>
      </c>
      <c r="D176">
        <v>1320</v>
      </c>
      <c r="E176">
        <v>1980</v>
      </c>
      <c r="F176">
        <v>1980</v>
      </c>
    </row>
    <row r="177" spans="1:6" x14ac:dyDescent="0.25">
      <c r="A177" t="s">
        <v>685</v>
      </c>
      <c r="B177">
        <v>9</v>
      </c>
      <c r="C177">
        <v>1026</v>
      </c>
      <c r="D177">
        <v>880</v>
      </c>
      <c r="E177">
        <v>1320</v>
      </c>
      <c r="F177">
        <v>1320</v>
      </c>
    </row>
    <row r="178" spans="1:6" x14ac:dyDescent="0.25">
      <c r="A178" t="s">
        <v>686</v>
      </c>
      <c r="B178">
        <v>9</v>
      </c>
      <c r="C178">
        <v>2052</v>
      </c>
      <c r="D178">
        <v>1760</v>
      </c>
      <c r="E178">
        <v>2640</v>
      </c>
      <c r="F178">
        <v>2640</v>
      </c>
    </row>
    <row r="179" spans="1:6" x14ac:dyDescent="0.25">
      <c r="A179" t="s">
        <v>687</v>
      </c>
      <c r="B179">
        <v>9</v>
      </c>
    </row>
    <row r="180" spans="1:6" x14ac:dyDescent="0.25">
      <c r="A180" t="s">
        <v>688</v>
      </c>
      <c r="B180">
        <v>9</v>
      </c>
    </row>
    <row r="181" spans="1:6" x14ac:dyDescent="0.25">
      <c r="A181" t="s">
        <v>689</v>
      </c>
      <c r="B181">
        <v>9</v>
      </c>
    </row>
    <row r="182" spans="1:6" x14ac:dyDescent="0.25">
      <c r="A182" t="s">
        <v>690</v>
      </c>
      <c r="B182">
        <v>9</v>
      </c>
      <c r="C182" t="b">
        <v>0</v>
      </c>
      <c r="D182" t="b">
        <v>0</v>
      </c>
      <c r="E182" t="b">
        <v>0</v>
      </c>
      <c r="F182" t="b">
        <v>0</v>
      </c>
    </row>
    <row r="183" spans="1:6" x14ac:dyDescent="0.25">
      <c r="A183" t="s">
        <v>691</v>
      </c>
      <c r="B183">
        <v>9</v>
      </c>
      <c r="C183" t="b">
        <v>0</v>
      </c>
      <c r="D183" t="b">
        <v>0</v>
      </c>
      <c r="E183" t="b">
        <v>0</v>
      </c>
      <c r="F183" t="b">
        <v>0</v>
      </c>
    </row>
    <row r="184" spans="1:6" x14ac:dyDescent="0.25">
      <c r="A184" t="s">
        <v>677</v>
      </c>
      <c r="B184">
        <v>10</v>
      </c>
      <c r="D184">
        <v>7</v>
      </c>
    </row>
    <row r="185" spans="1:6" x14ac:dyDescent="0.25">
      <c r="A185" t="s">
        <v>36</v>
      </c>
      <c r="B185">
        <v>10</v>
      </c>
      <c r="D185">
        <v>2</v>
      </c>
    </row>
    <row r="186" spans="1:6" x14ac:dyDescent="0.25">
      <c r="A186" t="s">
        <v>503</v>
      </c>
      <c r="B186">
        <v>10</v>
      </c>
      <c r="D186" t="s">
        <v>743</v>
      </c>
    </row>
    <row r="187" spans="1:6" x14ac:dyDescent="0.25">
      <c r="A187" t="s">
        <v>678</v>
      </c>
      <c r="B187">
        <v>10</v>
      </c>
      <c r="D187">
        <v>512</v>
      </c>
    </row>
    <row r="188" spans="1:6" x14ac:dyDescent="0.25">
      <c r="A188" t="s">
        <v>42</v>
      </c>
      <c r="B188">
        <v>10</v>
      </c>
      <c r="D188">
        <v>30</v>
      </c>
    </row>
    <row r="189" spans="1:6" x14ac:dyDescent="0.25">
      <c r="A189" t="s">
        <v>679</v>
      </c>
      <c r="B189">
        <v>10</v>
      </c>
      <c r="D189">
        <v>11.6</v>
      </c>
    </row>
    <row r="190" spans="1:6" x14ac:dyDescent="0.25">
      <c r="A190" t="s">
        <v>41</v>
      </c>
      <c r="B190">
        <v>10</v>
      </c>
      <c r="D190">
        <v>0</v>
      </c>
    </row>
    <row r="191" spans="1:6" x14ac:dyDescent="0.25">
      <c r="A191" t="s">
        <v>680</v>
      </c>
      <c r="B191">
        <v>10</v>
      </c>
      <c r="D191">
        <v>12</v>
      </c>
    </row>
    <row r="192" spans="1:6" x14ac:dyDescent="0.25">
      <c r="A192" t="s">
        <v>563</v>
      </c>
      <c r="B192">
        <v>10</v>
      </c>
      <c r="D192">
        <v>0</v>
      </c>
    </row>
    <row r="193" spans="1:6" x14ac:dyDescent="0.25">
      <c r="A193" t="s">
        <v>681</v>
      </c>
      <c r="B193">
        <v>10</v>
      </c>
      <c r="D193">
        <v>0</v>
      </c>
    </row>
    <row r="194" spans="1:6" x14ac:dyDescent="0.25">
      <c r="A194" t="s">
        <v>682</v>
      </c>
      <c r="B194">
        <v>10</v>
      </c>
      <c r="D194">
        <v>16</v>
      </c>
    </row>
    <row r="195" spans="1:6" x14ac:dyDescent="0.25">
      <c r="A195" t="s">
        <v>683</v>
      </c>
      <c r="B195">
        <v>10</v>
      </c>
      <c r="D195">
        <v>200</v>
      </c>
    </row>
    <row r="196" spans="1:6" x14ac:dyDescent="0.25">
      <c r="A196" t="s">
        <v>684</v>
      </c>
      <c r="B196">
        <v>10</v>
      </c>
      <c r="D196">
        <v>1320</v>
      </c>
    </row>
    <row r="197" spans="1:6" x14ac:dyDescent="0.25">
      <c r="A197" t="s">
        <v>685</v>
      </c>
      <c r="B197">
        <v>10</v>
      </c>
      <c r="D197">
        <v>880</v>
      </c>
    </row>
    <row r="198" spans="1:6" x14ac:dyDescent="0.25">
      <c r="A198" t="s">
        <v>686</v>
      </c>
      <c r="B198">
        <v>10</v>
      </c>
      <c r="D198">
        <v>1760</v>
      </c>
    </row>
    <row r="199" spans="1:6" x14ac:dyDescent="0.25">
      <c r="A199" t="s">
        <v>687</v>
      </c>
      <c r="B199">
        <v>10</v>
      </c>
    </row>
    <row r="200" spans="1:6" x14ac:dyDescent="0.25">
      <c r="A200" t="s">
        <v>688</v>
      </c>
      <c r="B200">
        <v>10</v>
      </c>
    </row>
    <row r="201" spans="1:6" x14ac:dyDescent="0.25">
      <c r="A201" t="s">
        <v>689</v>
      </c>
      <c r="B201">
        <v>10</v>
      </c>
    </row>
    <row r="202" spans="1:6" x14ac:dyDescent="0.25">
      <c r="A202" t="s">
        <v>690</v>
      </c>
      <c r="B202">
        <v>10</v>
      </c>
      <c r="D202" t="b">
        <v>0</v>
      </c>
    </row>
    <row r="203" spans="1:6" x14ac:dyDescent="0.25">
      <c r="A203" t="s">
        <v>691</v>
      </c>
      <c r="B203">
        <v>10</v>
      </c>
      <c r="D203" t="b">
        <v>0</v>
      </c>
    </row>
    <row r="204" spans="1:6" x14ac:dyDescent="0.25">
      <c r="A204" t="s">
        <v>677</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745</v>
      </c>
      <c r="D206" t="s">
        <v>745</v>
      </c>
      <c r="E206" t="s">
        <v>741</v>
      </c>
      <c r="F206" t="s">
        <v>741</v>
      </c>
    </row>
    <row r="207" spans="1:6" x14ac:dyDescent="0.25">
      <c r="A207" t="s">
        <v>678</v>
      </c>
      <c r="B207">
        <v>11</v>
      </c>
      <c r="C207">
        <v>401</v>
      </c>
      <c r="D207">
        <v>533</v>
      </c>
      <c r="E207">
        <v>1028</v>
      </c>
      <c r="F207">
        <v>2820</v>
      </c>
    </row>
    <row r="208" spans="1:6" x14ac:dyDescent="0.25">
      <c r="A208" t="s">
        <v>42</v>
      </c>
      <c r="B208">
        <v>11</v>
      </c>
      <c r="C208">
        <v>35</v>
      </c>
      <c r="D208">
        <v>30</v>
      </c>
      <c r="E208">
        <v>45</v>
      </c>
      <c r="F208">
        <v>45</v>
      </c>
    </row>
    <row r="209" spans="1:6" x14ac:dyDescent="0.25">
      <c r="A209" t="s">
        <v>679</v>
      </c>
      <c r="B209">
        <v>11</v>
      </c>
      <c r="C209">
        <v>7.8</v>
      </c>
      <c r="D209">
        <v>12.1</v>
      </c>
      <c r="E209">
        <v>15.6</v>
      </c>
      <c r="F209">
        <v>42.7</v>
      </c>
    </row>
    <row r="210" spans="1:6" x14ac:dyDescent="0.25">
      <c r="A210" t="s">
        <v>41</v>
      </c>
      <c r="B210">
        <v>11</v>
      </c>
      <c r="C210">
        <v>0</v>
      </c>
      <c r="D210">
        <v>0</v>
      </c>
      <c r="E210">
        <v>0</v>
      </c>
      <c r="F210">
        <v>0</v>
      </c>
    </row>
    <row r="211" spans="1:6" x14ac:dyDescent="0.25">
      <c r="A211" t="s">
        <v>680</v>
      </c>
      <c r="B211">
        <v>11</v>
      </c>
      <c r="C211">
        <v>12</v>
      </c>
      <c r="D211">
        <v>12</v>
      </c>
      <c r="E211">
        <v>12</v>
      </c>
      <c r="F211">
        <v>12</v>
      </c>
    </row>
    <row r="212" spans="1:6" x14ac:dyDescent="0.25">
      <c r="A212" t="s">
        <v>563</v>
      </c>
      <c r="B212">
        <v>11</v>
      </c>
      <c r="C212">
        <v>0</v>
      </c>
      <c r="D212">
        <v>0</v>
      </c>
      <c r="E212">
        <v>0</v>
      </c>
      <c r="F212">
        <v>0</v>
      </c>
    </row>
    <row r="213" spans="1:6" x14ac:dyDescent="0.25">
      <c r="A213" t="s">
        <v>681</v>
      </c>
      <c r="B213">
        <v>11</v>
      </c>
      <c r="C213">
        <v>1</v>
      </c>
      <c r="D213">
        <v>0</v>
      </c>
      <c r="E213">
        <v>0</v>
      </c>
      <c r="F213">
        <v>0</v>
      </c>
    </row>
    <row r="214" spans="1:6" x14ac:dyDescent="0.25">
      <c r="A214" t="s">
        <v>682</v>
      </c>
      <c r="B214">
        <v>11</v>
      </c>
      <c r="C214">
        <v>16</v>
      </c>
      <c r="D214">
        <v>16</v>
      </c>
      <c r="E214">
        <v>16</v>
      </c>
      <c r="F214">
        <v>16</v>
      </c>
    </row>
    <row r="215" spans="1:6" x14ac:dyDescent="0.25">
      <c r="A215" t="s">
        <v>683</v>
      </c>
      <c r="B215">
        <v>11</v>
      </c>
      <c r="C215">
        <v>583</v>
      </c>
      <c r="D215">
        <v>583</v>
      </c>
      <c r="E215">
        <v>583</v>
      </c>
      <c r="F215">
        <v>583</v>
      </c>
    </row>
    <row r="216" spans="1:6" x14ac:dyDescent="0.25">
      <c r="A216" t="s">
        <v>684</v>
      </c>
      <c r="B216">
        <v>11</v>
      </c>
      <c r="C216">
        <v>1539</v>
      </c>
      <c r="D216">
        <v>1320</v>
      </c>
      <c r="E216">
        <v>1980</v>
      </c>
      <c r="F216">
        <v>1980</v>
      </c>
    </row>
    <row r="217" spans="1:6" x14ac:dyDescent="0.25">
      <c r="A217" t="s">
        <v>685</v>
      </c>
      <c r="B217">
        <v>11</v>
      </c>
      <c r="C217">
        <v>1026</v>
      </c>
      <c r="D217">
        <v>880</v>
      </c>
      <c r="E217">
        <v>1320</v>
      </c>
      <c r="F217">
        <v>1320</v>
      </c>
    </row>
    <row r="218" spans="1:6" x14ac:dyDescent="0.25">
      <c r="A218" t="s">
        <v>686</v>
      </c>
      <c r="B218">
        <v>11</v>
      </c>
      <c r="C218">
        <v>2052</v>
      </c>
      <c r="D218">
        <v>1760</v>
      </c>
      <c r="E218">
        <v>2640</v>
      </c>
      <c r="F218">
        <v>2640</v>
      </c>
    </row>
    <row r="219" spans="1:6" x14ac:dyDescent="0.25">
      <c r="A219" t="s">
        <v>687</v>
      </c>
      <c r="B219">
        <v>11</v>
      </c>
    </row>
    <row r="220" spans="1:6" x14ac:dyDescent="0.25">
      <c r="A220" t="s">
        <v>688</v>
      </c>
      <c r="B220">
        <v>11</v>
      </c>
    </row>
    <row r="221" spans="1:6" x14ac:dyDescent="0.25">
      <c r="A221" t="s">
        <v>689</v>
      </c>
      <c r="B221">
        <v>11</v>
      </c>
    </row>
    <row r="222" spans="1:6" x14ac:dyDescent="0.25">
      <c r="A222" t="s">
        <v>690</v>
      </c>
      <c r="B222">
        <v>11</v>
      </c>
      <c r="C222" t="b">
        <v>0</v>
      </c>
      <c r="D222" t="b">
        <v>0</v>
      </c>
      <c r="E222" t="b">
        <v>0</v>
      </c>
      <c r="F222" t="b">
        <v>0</v>
      </c>
    </row>
    <row r="223" spans="1:6" x14ac:dyDescent="0.25">
      <c r="A223" t="s">
        <v>691</v>
      </c>
      <c r="B223">
        <v>11</v>
      </c>
      <c r="C223" t="b">
        <v>0</v>
      </c>
      <c r="D223" t="b">
        <v>0</v>
      </c>
      <c r="E223" t="b">
        <v>0</v>
      </c>
      <c r="F223" t="b">
        <v>0</v>
      </c>
    </row>
    <row r="224" spans="1:6" x14ac:dyDescent="0.25">
      <c r="A224" t="s">
        <v>677</v>
      </c>
      <c r="B224">
        <v>12</v>
      </c>
      <c r="C224">
        <v>11</v>
      </c>
    </row>
    <row r="225" spans="1:3" x14ac:dyDescent="0.25">
      <c r="A225" t="s">
        <v>36</v>
      </c>
      <c r="B225">
        <v>12</v>
      </c>
      <c r="C225">
        <v>2</v>
      </c>
    </row>
    <row r="226" spans="1:3" x14ac:dyDescent="0.25">
      <c r="A226" t="s">
        <v>503</v>
      </c>
      <c r="B226">
        <v>12</v>
      </c>
      <c r="C226" t="s">
        <v>745</v>
      </c>
    </row>
    <row r="227" spans="1:3" x14ac:dyDescent="0.25">
      <c r="A227" t="s">
        <v>678</v>
      </c>
      <c r="B227">
        <v>12</v>
      </c>
      <c r="C227">
        <v>533</v>
      </c>
    </row>
    <row r="228" spans="1:3" x14ac:dyDescent="0.25">
      <c r="A228" t="s">
        <v>42</v>
      </c>
      <c r="B228">
        <v>12</v>
      </c>
      <c r="C228">
        <v>30</v>
      </c>
    </row>
    <row r="229" spans="1:3" x14ac:dyDescent="0.25">
      <c r="A229" t="s">
        <v>679</v>
      </c>
      <c r="B229">
        <v>12</v>
      </c>
      <c r="C229">
        <v>12.1</v>
      </c>
    </row>
    <row r="230" spans="1:3" x14ac:dyDescent="0.25">
      <c r="A230" t="s">
        <v>41</v>
      </c>
      <c r="B230">
        <v>12</v>
      </c>
      <c r="C230">
        <v>0</v>
      </c>
    </row>
    <row r="231" spans="1:3" x14ac:dyDescent="0.25">
      <c r="A231" t="s">
        <v>680</v>
      </c>
      <c r="B231">
        <v>12</v>
      </c>
      <c r="C231">
        <v>0</v>
      </c>
    </row>
    <row r="232" spans="1:3" x14ac:dyDescent="0.25">
      <c r="A232" t="s">
        <v>563</v>
      </c>
      <c r="B232">
        <v>12</v>
      </c>
      <c r="C232">
        <v>0</v>
      </c>
    </row>
    <row r="233" spans="1:3" x14ac:dyDescent="0.25">
      <c r="A233" t="s">
        <v>681</v>
      </c>
      <c r="B233">
        <v>12</v>
      </c>
      <c r="C233">
        <v>0</v>
      </c>
    </row>
    <row r="234" spans="1:3" x14ac:dyDescent="0.25">
      <c r="A234" t="s">
        <v>682</v>
      </c>
      <c r="B234">
        <v>12</v>
      </c>
      <c r="C234">
        <v>16</v>
      </c>
    </row>
    <row r="235" spans="1:3" x14ac:dyDescent="0.25">
      <c r="A235" t="s">
        <v>683</v>
      </c>
      <c r="B235">
        <v>12</v>
      </c>
      <c r="C235">
        <v>200</v>
      </c>
    </row>
    <row r="236" spans="1:3" x14ac:dyDescent="0.25">
      <c r="A236" t="s">
        <v>684</v>
      </c>
      <c r="B236">
        <v>12</v>
      </c>
      <c r="C236">
        <v>1320</v>
      </c>
    </row>
    <row r="237" spans="1:3" x14ac:dyDescent="0.25">
      <c r="A237" t="s">
        <v>685</v>
      </c>
      <c r="B237">
        <v>12</v>
      </c>
      <c r="C237">
        <v>880</v>
      </c>
    </row>
    <row r="238" spans="1:3" x14ac:dyDescent="0.25">
      <c r="A238" t="s">
        <v>686</v>
      </c>
      <c r="B238">
        <v>12</v>
      </c>
      <c r="C238">
        <v>1760</v>
      </c>
    </row>
    <row r="239" spans="1:3" x14ac:dyDescent="0.25">
      <c r="A239" t="s">
        <v>687</v>
      </c>
      <c r="B239">
        <v>12</v>
      </c>
    </row>
    <row r="240" spans="1:3" x14ac:dyDescent="0.25">
      <c r="A240" t="s">
        <v>688</v>
      </c>
      <c r="B240">
        <v>12</v>
      </c>
    </row>
    <row r="241" spans="1:10" x14ac:dyDescent="0.25">
      <c r="A241" t="s">
        <v>689</v>
      </c>
      <c r="B241">
        <v>12</v>
      </c>
    </row>
    <row r="242" spans="1:10" x14ac:dyDescent="0.25">
      <c r="A242" t="s">
        <v>690</v>
      </c>
      <c r="B242">
        <v>12</v>
      </c>
      <c r="C242" t="b">
        <v>0</v>
      </c>
    </row>
    <row r="243" spans="1:10" x14ac:dyDescent="0.25">
      <c r="A243" t="s">
        <v>691</v>
      </c>
      <c r="B243">
        <v>12</v>
      </c>
      <c r="C243" t="b">
        <v>0</v>
      </c>
    </row>
    <row r="244" spans="1:10" x14ac:dyDescent="0.25">
      <c r="A244" t="s">
        <v>677</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746</v>
      </c>
      <c r="H246" t="s">
        <v>741</v>
      </c>
      <c r="I246" t="s">
        <v>741</v>
      </c>
      <c r="J246" t="s">
        <v>747</v>
      </c>
    </row>
    <row r="247" spans="1:10" x14ac:dyDescent="0.25">
      <c r="A247" t="s">
        <v>678</v>
      </c>
      <c r="B247">
        <v>13</v>
      </c>
      <c r="G247">
        <v>538</v>
      </c>
      <c r="H247">
        <v>914</v>
      </c>
      <c r="I247">
        <v>2934</v>
      </c>
      <c r="J247">
        <v>684</v>
      </c>
    </row>
    <row r="248" spans="1:10" x14ac:dyDescent="0.25">
      <c r="A248" t="s">
        <v>42</v>
      </c>
      <c r="B248">
        <v>13</v>
      </c>
      <c r="G248">
        <v>30</v>
      </c>
      <c r="H248">
        <v>45</v>
      </c>
      <c r="I248">
        <v>45</v>
      </c>
      <c r="J248">
        <v>35</v>
      </c>
    </row>
    <row r="249" spans="1:10" x14ac:dyDescent="0.25">
      <c r="A249" t="s">
        <v>679</v>
      </c>
      <c r="B249">
        <v>13</v>
      </c>
      <c r="G249">
        <v>12.2</v>
      </c>
      <c r="H249">
        <v>13.8</v>
      </c>
      <c r="I249">
        <v>44.5</v>
      </c>
      <c r="J249">
        <v>13.3</v>
      </c>
    </row>
    <row r="250" spans="1:10" x14ac:dyDescent="0.25">
      <c r="A250" t="s">
        <v>41</v>
      </c>
      <c r="B250">
        <v>13</v>
      </c>
      <c r="G250">
        <v>0</v>
      </c>
      <c r="H250">
        <v>0</v>
      </c>
      <c r="I250">
        <v>0</v>
      </c>
      <c r="J250">
        <v>0</v>
      </c>
    </row>
    <row r="251" spans="1:10" x14ac:dyDescent="0.25">
      <c r="A251" t="s">
        <v>680</v>
      </c>
      <c r="B251">
        <v>13</v>
      </c>
      <c r="G251">
        <v>24</v>
      </c>
      <c r="H251">
        <v>24</v>
      </c>
      <c r="I251">
        <v>24</v>
      </c>
      <c r="J251">
        <v>24</v>
      </c>
    </row>
    <row r="252" spans="1:10" x14ac:dyDescent="0.25">
      <c r="A252" t="s">
        <v>563</v>
      </c>
      <c r="B252">
        <v>13</v>
      </c>
      <c r="G252">
        <v>0</v>
      </c>
      <c r="H252">
        <v>0</v>
      </c>
      <c r="I252">
        <v>0</v>
      </c>
      <c r="J252">
        <v>0</v>
      </c>
    </row>
    <row r="253" spans="1:10" x14ac:dyDescent="0.25">
      <c r="A253" t="s">
        <v>681</v>
      </c>
      <c r="B253">
        <v>13</v>
      </c>
      <c r="G253">
        <v>0</v>
      </c>
      <c r="H253">
        <v>0</v>
      </c>
      <c r="I253">
        <v>0</v>
      </c>
      <c r="J253">
        <v>0</v>
      </c>
    </row>
    <row r="254" spans="1:10" x14ac:dyDescent="0.25">
      <c r="A254" t="s">
        <v>682</v>
      </c>
      <c r="B254">
        <v>13</v>
      </c>
      <c r="G254">
        <v>16</v>
      </c>
      <c r="H254">
        <v>16</v>
      </c>
      <c r="I254">
        <v>16</v>
      </c>
      <c r="J254">
        <v>16</v>
      </c>
    </row>
    <row r="255" spans="1:10" x14ac:dyDescent="0.25">
      <c r="A255" t="s">
        <v>683</v>
      </c>
      <c r="B255">
        <v>13</v>
      </c>
      <c r="G255">
        <v>583</v>
      </c>
      <c r="H255">
        <v>583</v>
      </c>
      <c r="I255">
        <v>583</v>
      </c>
      <c r="J255">
        <v>583</v>
      </c>
    </row>
    <row r="256" spans="1:10" x14ac:dyDescent="0.25">
      <c r="A256" t="s">
        <v>684</v>
      </c>
      <c r="B256">
        <v>13</v>
      </c>
      <c r="G256">
        <v>1320</v>
      </c>
      <c r="H256">
        <v>1980</v>
      </c>
      <c r="I256">
        <v>1980</v>
      </c>
      <c r="J256">
        <v>1539</v>
      </c>
    </row>
    <row r="257" spans="1:10" x14ac:dyDescent="0.25">
      <c r="A257" t="s">
        <v>685</v>
      </c>
      <c r="B257">
        <v>13</v>
      </c>
      <c r="G257">
        <v>880</v>
      </c>
      <c r="H257">
        <v>1320</v>
      </c>
      <c r="I257">
        <v>1320</v>
      </c>
      <c r="J257">
        <v>1026</v>
      </c>
    </row>
    <row r="258" spans="1:10" x14ac:dyDescent="0.25">
      <c r="A258" t="s">
        <v>686</v>
      </c>
      <c r="B258">
        <v>13</v>
      </c>
      <c r="G258">
        <v>1760</v>
      </c>
      <c r="H258">
        <v>2640</v>
      </c>
      <c r="I258">
        <v>2640</v>
      </c>
      <c r="J258">
        <v>2052</v>
      </c>
    </row>
    <row r="259" spans="1:10" x14ac:dyDescent="0.25">
      <c r="A259" t="s">
        <v>687</v>
      </c>
      <c r="B259">
        <v>13</v>
      </c>
      <c r="H259">
        <v>-359366</v>
      </c>
    </row>
    <row r="260" spans="1:10" x14ac:dyDescent="0.25">
      <c r="A260" t="s">
        <v>688</v>
      </c>
      <c r="B260">
        <v>13</v>
      </c>
      <c r="H260">
        <v>14381</v>
      </c>
    </row>
    <row r="261" spans="1:10" x14ac:dyDescent="0.25">
      <c r="A261" t="s">
        <v>689</v>
      </c>
      <c r="B261">
        <v>13</v>
      </c>
      <c r="H261">
        <v>0</v>
      </c>
    </row>
    <row r="262" spans="1:10" x14ac:dyDescent="0.25">
      <c r="A262" t="s">
        <v>690</v>
      </c>
      <c r="B262">
        <v>13</v>
      </c>
      <c r="G262" t="b">
        <v>0</v>
      </c>
      <c r="H262" t="b">
        <v>0</v>
      </c>
      <c r="I262" t="b">
        <v>0</v>
      </c>
      <c r="J262" t="b">
        <v>0</v>
      </c>
    </row>
    <row r="263" spans="1:10" x14ac:dyDescent="0.25">
      <c r="A263" t="s">
        <v>691</v>
      </c>
      <c r="B263">
        <v>13</v>
      </c>
      <c r="G263" t="b">
        <v>0</v>
      </c>
      <c r="H263" t="b">
        <v>0</v>
      </c>
      <c r="I263" t="b">
        <v>0</v>
      </c>
      <c r="J263" t="b">
        <v>0</v>
      </c>
    </row>
    <row r="264" spans="1:10" x14ac:dyDescent="0.25">
      <c r="A264" t="s">
        <v>677</v>
      </c>
      <c r="B264">
        <v>14</v>
      </c>
      <c r="D264">
        <v>11</v>
      </c>
    </row>
    <row r="265" spans="1:10" x14ac:dyDescent="0.25">
      <c r="A265" t="s">
        <v>36</v>
      </c>
      <c r="B265">
        <v>14</v>
      </c>
      <c r="D265">
        <v>2</v>
      </c>
    </row>
    <row r="266" spans="1:10" x14ac:dyDescent="0.25">
      <c r="A266" t="s">
        <v>503</v>
      </c>
      <c r="B266">
        <v>14</v>
      </c>
      <c r="D266" t="s">
        <v>745</v>
      </c>
    </row>
    <row r="267" spans="1:10" x14ac:dyDescent="0.25">
      <c r="A267" t="s">
        <v>678</v>
      </c>
      <c r="B267">
        <v>14</v>
      </c>
      <c r="D267">
        <v>401</v>
      </c>
    </row>
    <row r="268" spans="1:10" x14ac:dyDescent="0.25">
      <c r="A268" t="s">
        <v>42</v>
      </c>
      <c r="B268">
        <v>14</v>
      </c>
      <c r="D268">
        <v>30</v>
      </c>
    </row>
    <row r="269" spans="1:10" x14ac:dyDescent="0.25">
      <c r="A269" t="s">
        <v>679</v>
      </c>
      <c r="B269">
        <v>14</v>
      </c>
      <c r="D269">
        <v>9.1</v>
      </c>
    </row>
    <row r="270" spans="1:10" x14ac:dyDescent="0.25">
      <c r="A270" t="s">
        <v>41</v>
      </c>
      <c r="B270">
        <v>14</v>
      </c>
      <c r="D270">
        <v>0</v>
      </c>
    </row>
    <row r="271" spans="1:10" x14ac:dyDescent="0.25">
      <c r="A271" t="s">
        <v>680</v>
      </c>
      <c r="B271">
        <v>14</v>
      </c>
      <c r="D271">
        <v>12</v>
      </c>
    </row>
    <row r="272" spans="1:10" x14ac:dyDescent="0.25">
      <c r="A272" t="s">
        <v>563</v>
      </c>
      <c r="B272">
        <v>14</v>
      </c>
      <c r="D272">
        <v>0</v>
      </c>
    </row>
    <row r="273" spans="1:7" x14ac:dyDescent="0.25">
      <c r="A273" t="s">
        <v>681</v>
      </c>
      <c r="B273">
        <v>14</v>
      </c>
      <c r="D273">
        <v>1</v>
      </c>
    </row>
    <row r="274" spans="1:7" x14ac:dyDescent="0.25">
      <c r="A274" t="s">
        <v>682</v>
      </c>
      <c r="B274">
        <v>14</v>
      </c>
      <c r="D274">
        <v>16</v>
      </c>
    </row>
    <row r="275" spans="1:7" x14ac:dyDescent="0.25">
      <c r="A275" t="s">
        <v>683</v>
      </c>
      <c r="B275">
        <v>14</v>
      </c>
      <c r="D275">
        <v>200</v>
      </c>
    </row>
    <row r="276" spans="1:7" x14ac:dyDescent="0.25">
      <c r="A276" t="s">
        <v>684</v>
      </c>
      <c r="B276">
        <v>14</v>
      </c>
      <c r="D276">
        <v>1320</v>
      </c>
    </row>
    <row r="277" spans="1:7" x14ac:dyDescent="0.25">
      <c r="A277" t="s">
        <v>685</v>
      </c>
      <c r="B277">
        <v>14</v>
      </c>
      <c r="D277">
        <v>880</v>
      </c>
    </row>
    <row r="278" spans="1:7" x14ac:dyDescent="0.25">
      <c r="A278" t="s">
        <v>686</v>
      </c>
      <c r="B278">
        <v>14</v>
      </c>
      <c r="D278">
        <v>1760</v>
      </c>
    </row>
    <row r="279" spans="1:7" x14ac:dyDescent="0.25">
      <c r="A279" t="s">
        <v>687</v>
      </c>
      <c r="B279">
        <v>14</v>
      </c>
    </row>
    <row r="280" spans="1:7" x14ac:dyDescent="0.25">
      <c r="A280" t="s">
        <v>688</v>
      </c>
      <c r="B280">
        <v>14</v>
      </c>
    </row>
    <row r="281" spans="1:7" x14ac:dyDescent="0.25">
      <c r="A281" t="s">
        <v>689</v>
      </c>
      <c r="B281">
        <v>14</v>
      </c>
    </row>
    <row r="282" spans="1:7" x14ac:dyDescent="0.25">
      <c r="A282" t="s">
        <v>690</v>
      </c>
      <c r="B282">
        <v>14</v>
      </c>
      <c r="D282" t="b">
        <v>0</v>
      </c>
    </row>
    <row r="283" spans="1:7" x14ac:dyDescent="0.25">
      <c r="A283" t="s">
        <v>691</v>
      </c>
      <c r="B283">
        <v>14</v>
      </c>
      <c r="D283" t="b">
        <v>0</v>
      </c>
    </row>
    <row r="284" spans="1:7" x14ac:dyDescent="0.25">
      <c r="A284" t="s">
        <v>677</v>
      </c>
      <c r="B284">
        <v>15</v>
      </c>
      <c r="G284">
        <v>13</v>
      </c>
    </row>
    <row r="285" spans="1:7" x14ac:dyDescent="0.25">
      <c r="A285" t="s">
        <v>36</v>
      </c>
      <c r="B285">
        <v>15</v>
      </c>
      <c r="G285">
        <v>2</v>
      </c>
    </row>
    <row r="286" spans="1:7" x14ac:dyDescent="0.25">
      <c r="A286" t="s">
        <v>503</v>
      </c>
      <c r="B286">
        <v>15</v>
      </c>
      <c r="G286" t="s">
        <v>747</v>
      </c>
    </row>
    <row r="287" spans="1:7" x14ac:dyDescent="0.25">
      <c r="A287" t="s">
        <v>678</v>
      </c>
      <c r="B287">
        <v>15</v>
      </c>
      <c r="G287">
        <v>684</v>
      </c>
    </row>
    <row r="288" spans="1:7" x14ac:dyDescent="0.25">
      <c r="A288" t="s">
        <v>42</v>
      </c>
      <c r="B288">
        <v>15</v>
      </c>
      <c r="G288">
        <v>30</v>
      </c>
    </row>
    <row r="289" spans="1:10" x14ac:dyDescent="0.25">
      <c r="A289" t="s">
        <v>679</v>
      </c>
      <c r="B289">
        <v>15</v>
      </c>
      <c r="G289">
        <v>15.5</v>
      </c>
    </row>
    <row r="290" spans="1:10" x14ac:dyDescent="0.25">
      <c r="A290" t="s">
        <v>41</v>
      </c>
      <c r="B290">
        <v>15</v>
      </c>
      <c r="G290">
        <v>0</v>
      </c>
    </row>
    <row r="291" spans="1:10" x14ac:dyDescent="0.25">
      <c r="A291" t="s">
        <v>680</v>
      </c>
      <c r="B291">
        <v>15</v>
      </c>
      <c r="G291">
        <v>24</v>
      </c>
    </row>
    <row r="292" spans="1:10" x14ac:dyDescent="0.25">
      <c r="A292" t="s">
        <v>563</v>
      </c>
      <c r="B292">
        <v>15</v>
      </c>
      <c r="G292">
        <v>0</v>
      </c>
    </row>
    <row r="293" spans="1:10" x14ac:dyDescent="0.25">
      <c r="A293" t="s">
        <v>681</v>
      </c>
      <c r="B293">
        <v>15</v>
      </c>
      <c r="G293">
        <v>0</v>
      </c>
    </row>
    <row r="294" spans="1:10" x14ac:dyDescent="0.25">
      <c r="A294" t="s">
        <v>682</v>
      </c>
      <c r="B294">
        <v>15</v>
      </c>
      <c r="G294">
        <v>16</v>
      </c>
    </row>
    <row r="295" spans="1:10" x14ac:dyDescent="0.25">
      <c r="A295" t="s">
        <v>683</v>
      </c>
      <c r="B295">
        <v>15</v>
      </c>
      <c r="G295">
        <v>200</v>
      </c>
    </row>
    <row r="296" spans="1:10" x14ac:dyDescent="0.25">
      <c r="A296" t="s">
        <v>684</v>
      </c>
      <c r="B296">
        <v>15</v>
      </c>
      <c r="G296">
        <v>1320</v>
      </c>
    </row>
    <row r="297" spans="1:10" x14ac:dyDescent="0.25">
      <c r="A297" t="s">
        <v>685</v>
      </c>
      <c r="B297">
        <v>15</v>
      </c>
      <c r="G297">
        <v>880</v>
      </c>
    </row>
    <row r="298" spans="1:10" x14ac:dyDescent="0.25">
      <c r="A298" t="s">
        <v>686</v>
      </c>
      <c r="B298">
        <v>15</v>
      </c>
      <c r="G298">
        <v>1760</v>
      </c>
    </row>
    <row r="299" spans="1:10" x14ac:dyDescent="0.25">
      <c r="A299" t="s">
        <v>687</v>
      </c>
      <c r="B299">
        <v>15</v>
      </c>
    </row>
    <row r="300" spans="1:10" x14ac:dyDescent="0.25">
      <c r="A300" t="s">
        <v>688</v>
      </c>
      <c r="B300">
        <v>15</v>
      </c>
    </row>
    <row r="301" spans="1:10" x14ac:dyDescent="0.25">
      <c r="A301" t="s">
        <v>689</v>
      </c>
      <c r="B301">
        <v>15</v>
      </c>
    </row>
    <row r="302" spans="1:10" x14ac:dyDescent="0.25">
      <c r="A302" t="s">
        <v>690</v>
      </c>
      <c r="B302">
        <v>15</v>
      </c>
      <c r="G302" t="b">
        <v>0</v>
      </c>
    </row>
    <row r="303" spans="1:10" x14ac:dyDescent="0.25">
      <c r="A303" t="s">
        <v>691</v>
      </c>
      <c r="B303">
        <v>15</v>
      </c>
      <c r="G303" t="b">
        <v>0</v>
      </c>
    </row>
    <row r="304" spans="1:10" x14ac:dyDescent="0.25">
      <c r="A304" t="s">
        <v>677</v>
      </c>
      <c r="B304">
        <v>16</v>
      </c>
      <c r="J304">
        <v>13</v>
      </c>
    </row>
    <row r="305" spans="1:10" x14ac:dyDescent="0.25">
      <c r="A305" t="s">
        <v>36</v>
      </c>
      <c r="B305">
        <v>16</v>
      </c>
      <c r="J305">
        <v>2</v>
      </c>
    </row>
    <row r="306" spans="1:10" x14ac:dyDescent="0.25">
      <c r="A306" t="s">
        <v>503</v>
      </c>
      <c r="B306">
        <v>16</v>
      </c>
      <c r="J306" t="s">
        <v>746</v>
      </c>
    </row>
    <row r="307" spans="1:10" x14ac:dyDescent="0.25">
      <c r="A307" t="s">
        <v>678</v>
      </c>
      <c r="B307">
        <v>16</v>
      </c>
      <c r="J307">
        <v>538</v>
      </c>
    </row>
    <row r="308" spans="1:10" x14ac:dyDescent="0.25">
      <c r="A308" t="s">
        <v>42</v>
      </c>
      <c r="B308">
        <v>16</v>
      </c>
      <c r="J308">
        <v>30</v>
      </c>
    </row>
    <row r="309" spans="1:10" x14ac:dyDescent="0.25">
      <c r="A309" t="s">
        <v>679</v>
      </c>
      <c r="B309">
        <v>16</v>
      </c>
      <c r="J309">
        <v>12.2</v>
      </c>
    </row>
    <row r="310" spans="1:10" x14ac:dyDescent="0.25">
      <c r="A310" t="s">
        <v>41</v>
      </c>
      <c r="B310">
        <v>16</v>
      </c>
      <c r="J310">
        <v>0</v>
      </c>
    </row>
    <row r="311" spans="1:10" x14ac:dyDescent="0.25">
      <c r="A311" t="s">
        <v>680</v>
      </c>
      <c r="B311">
        <v>16</v>
      </c>
      <c r="J311">
        <v>24</v>
      </c>
    </row>
    <row r="312" spans="1:10" x14ac:dyDescent="0.25">
      <c r="A312" t="s">
        <v>563</v>
      </c>
      <c r="B312">
        <v>16</v>
      </c>
      <c r="J312">
        <v>0</v>
      </c>
    </row>
    <row r="313" spans="1:10" x14ac:dyDescent="0.25">
      <c r="A313" t="s">
        <v>681</v>
      </c>
      <c r="B313">
        <v>16</v>
      </c>
      <c r="J313">
        <v>0</v>
      </c>
    </row>
    <row r="314" spans="1:10" x14ac:dyDescent="0.25">
      <c r="A314" t="s">
        <v>682</v>
      </c>
      <c r="B314">
        <v>16</v>
      </c>
      <c r="J314">
        <v>16</v>
      </c>
    </row>
    <row r="315" spans="1:10" x14ac:dyDescent="0.25">
      <c r="A315" t="s">
        <v>683</v>
      </c>
      <c r="B315">
        <v>16</v>
      </c>
      <c r="J315">
        <v>200</v>
      </c>
    </row>
    <row r="316" spans="1:10" x14ac:dyDescent="0.25">
      <c r="A316" t="s">
        <v>684</v>
      </c>
      <c r="B316">
        <v>16</v>
      </c>
      <c r="J316">
        <v>1320</v>
      </c>
    </row>
    <row r="317" spans="1:10" x14ac:dyDescent="0.25">
      <c r="A317" t="s">
        <v>685</v>
      </c>
      <c r="B317">
        <v>16</v>
      </c>
      <c r="J317">
        <v>880</v>
      </c>
    </row>
    <row r="318" spans="1:10" x14ac:dyDescent="0.25">
      <c r="A318" t="s">
        <v>686</v>
      </c>
      <c r="B318">
        <v>16</v>
      </c>
      <c r="J318">
        <v>1760</v>
      </c>
    </row>
    <row r="319" spans="1:10" x14ac:dyDescent="0.25">
      <c r="A319" t="s">
        <v>687</v>
      </c>
      <c r="B319">
        <v>16</v>
      </c>
    </row>
    <row r="320" spans="1:10" x14ac:dyDescent="0.25">
      <c r="A320" t="s">
        <v>688</v>
      </c>
      <c r="B320">
        <v>16</v>
      </c>
    </row>
    <row r="321" spans="1:10" x14ac:dyDescent="0.25">
      <c r="A321" t="s">
        <v>689</v>
      </c>
      <c r="B321">
        <v>16</v>
      </c>
    </row>
    <row r="322" spans="1:10" x14ac:dyDescent="0.25">
      <c r="A322" t="s">
        <v>690</v>
      </c>
      <c r="B322">
        <v>16</v>
      </c>
      <c r="J322" t="b">
        <v>0</v>
      </c>
    </row>
    <row r="323" spans="1:10" x14ac:dyDescent="0.25">
      <c r="A323" t="s">
        <v>691</v>
      </c>
      <c r="B323">
        <v>16</v>
      </c>
      <c r="J323" t="b">
        <v>0</v>
      </c>
    </row>
    <row r="324" spans="1:10" x14ac:dyDescent="0.25">
      <c r="A324" t="s">
        <v>677</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748</v>
      </c>
      <c r="H326" t="s">
        <v>741</v>
      </c>
      <c r="I326" t="s">
        <v>749</v>
      </c>
      <c r="J326" t="s">
        <v>750</v>
      </c>
    </row>
    <row r="327" spans="1:10" x14ac:dyDescent="0.25">
      <c r="A327" t="s">
        <v>678</v>
      </c>
      <c r="B327">
        <v>17</v>
      </c>
      <c r="E327">
        <v>995</v>
      </c>
      <c r="H327">
        <v>4063</v>
      </c>
      <c r="I327">
        <v>4722</v>
      </c>
      <c r="J327">
        <v>288</v>
      </c>
    </row>
    <row r="328" spans="1:10" x14ac:dyDescent="0.25">
      <c r="A328" t="s">
        <v>42</v>
      </c>
      <c r="B328">
        <v>17</v>
      </c>
      <c r="E328">
        <v>25</v>
      </c>
      <c r="H328">
        <v>45</v>
      </c>
      <c r="I328">
        <v>45</v>
      </c>
      <c r="J328">
        <v>30</v>
      </c>
    </row>
    <row r="329" spans="1:10" x14ac:dyDescent="0.25">
      <c r="A329" t="s">
        <v>679</v>
      </c>
      <c r="B329">
        <v>17</v>
      </c>
      <c r="E329">
        <v>27.1</v>
      </c>
      <c r="H329">
        <v>61.6</v>
      </c>
      <c r="I329">
        <v>71.5</v>
      </c>
      <c r="J329">
        <v>6.5</v>
      </c>
    </row>
    <row r="330" spans="1:10" x14ac:dyDescent="0.25">
      <c r="A330" t="s">
        <v>41</v>
      </c>
      <c r="B330">
        <v>17</v>
      </c>
      <c r="E330">
        <v>0</v>
      </c>
      <c r="H330">
        <v>0</v>
      </c>
      <c r="I330">
        <v>0</v>
      </c>
      <c r="J330">
        <v>0</v>
      </c>
    </row>
    <row r="331" spans="1:10" x14ac:dyDescent="0.25">
      <c r="A331" t="s">
        <v>680</v>
      </c>
      <c r="B331">
        <v>17</v>
      </c>
      <c r="E331">
        <v>24</v>
      </c>
      <c r="H331">
        <v>24</v>
      </c>
      <c r="I331">
        <v>24</v>
      </c>
      <c r="J331">
        <v>12</v>
      </c>
    </row>
    <row r="332" spans="1:10" x14ac:dyDescent="0.25">
      <c r="A332" t="s">
        <v>563</v>
      </c>
      <c r="B332">
        <v>17</v>
      </c>
      <c r="E332">
        <v>0</v>
      </c>
      <c r="H332">
        <v>0</v>
      </c>
      <c r="I332">
        <v>0</v>
      </c>
      <c r="J332">
        <v>0</v>
      </c>
    </row>
    <row r="333" spans="1:10" x14ac:dyDescent="0.25">
      <c r="A333" t="s">
        <v>681</v>
      </c>
      <c r="B333">
        <v>17</v>
      </c>
      <c r="E333">
        <v>1</v>
      </c>
      <c r="H333">
        <v>0</v>
      </c>
      <c r="I333">
        <v>0</v>
      </c>
      <c r="J333">
        <v>0</v>
      </c>
    </row>
    <row r="334" spans="1:10" x14ac:dyDescent="0.25">
      <c r="A334" t="s">
        <v>682</v>
      </c>
      <c r="B334">
        <v>17</v>
      </c>
      <c r="E334">
        <v>16</v>
      </c>
      <c r="H334">
        <v>16</v>
      </c>
      <c r="I334">
        <v>16</v>
      </c>
      <c r="J334">
        <v>16</v>
      </c>
    </row>
    <row r="335" spans="1:10" x14ac:dyDescent="0.25">
      <c r="A335" t="s">
        <v>683</v>
      </c>
      <c r="B335">
        <v>17</v>
      </c>
      <c r="E335">
        <v>687</v>
      </c>
      <c r="H335">
        <v>687</v>
      </c>
      <c r="I335">
        <v>687</v>
      </c>
      <c r="J335">
        <v>687</v>
      </c>
    </row>
    <row r="336" spans="1:10" x14ac:dyDescent="0.25">
      <c r="A336" t="s">
        <v>684</v>
      </c>
      <c r="B336">
        <v>17</v>
      </c>
      <c r="E336">
        <v>1101</v>
      </c>
      <c r="H336">
        <v>1980</v>
      </c>
      <c r="I336">
        <v>1980</v>
      </c>
      <c r="J336">
        <v>1320</v>
      </c>
    </row>
    <row r="337" spans="1:10" x14ac:dyDescent="0.25">
      <c r="A337" t="s">
        <v>685</v>
      </c>
      <c r="B337">
        <v>17</v>
      </c>
      <c r="E337">
        <v>734</v>
      </c>
      <c r="H337">
        <v>1320</v>
      </c>
      <c r="I337">
        <v>1320</v>
      </c>
      <c r="J337">
        <v>880</v>
      </c>
    </row>
    <row r="338" spans="1:10" x14ac:dyDescent="0.25">
      <c r="A338" t="s">
        <v>686</v>
      </c>
      <c r="B338">
        <v>17</v>
      </c>
      <c r="E338">
        <v>1468</v>
      </c>
      <c r="H338">
        <v>2640</v>
      </c>
      <c r="I338">
        <v>2640</v>
      </c>
      <c r="J338">
        <v>1760</v>
      </c>
    </row>
    <row r="339" spans="1:10" x14ac:dyDescent="0.25">
      <c r="A339" t="s">
        <v>687</v>
      </c>
      <c r="B339">
        <v>17</v>
      </c>
    </row>
    <row r="340" spans="1:10" x14ac:dyDescent="0.25">
      <c r="A340" t="s">
        <v>688</v>
      </c>
      <c r="B340">
        <v>17</v>
      </c>
    </row>
    <row r="341" spans="1:10" x14ac:dyDescent="0.25">
      <c r="A341" t="s">
        <v>689</v>
      </c>
      <c r="B341">
        <v>17</v>
      </c>
    </row>
    <row r="342" spans="1:10" x14ac:dyDescent="0.25">
      <c r="A342" t="s">
        <v>690</v>
      </c>
      <c r="B342">
        <v>17</v>
      </c>
      <c r="E342" t="b">
        <v>0</v>
      </c>
      <c r="H342" t="b">
        <v>0</v>
      </c>
      <c r="I342" t="b">
        <v>0</v>
      </c>
      <c r="J342" t="b">
        <v>0</v>
      </c>
    </row>
    <row r="343" spans="1:10" x14ac:dyDescent="0.25">
      <c r="A343" t="s">
        <v>691</v>
      </c>
      <c r="B343">
        <v>17</v>
      </c>
      <c r="E343" t="b">
        <v>0</v>
      </c>
      <c r="H343" t="b">
        <v>0</v>
      </c>
      <c r="I343" t="b">
        <v>0</v>
      </c>
      <c r="J343" t="b">
        <v>0</v>
      </c>
    </row>
    <row r="344" spans="1:10" x14ac:dyDescent="0.25">
      <c r="A344" t="s">
        <v>677</v>
      </c>
      <c r="B344">
        <v>18</v>
      </c>
      <c r="E344">
        <v>13</v>
      </c>
      <c r="F344">
        <v>25</v>
      </c>
    </row>
    <row r="345" spans="1:10" x14ac:dyDescent="0.25">
      <c r="A345" t="s">
        <v>36</v>
      </c>
      <c r="B345">
        <v>18</v>
      </c>
      <c r="E345">
        <v>3</v>
      </c>
      <c r="F345">
        <v>3</v>
      </c>
    </row>
    <row r="346" spans="1:10" x14ac:dyDescent="0.25">
      <c r="A346" t="s">
        <v>503</v>
      </c>
      <c r="B346">
        <v>18</v>
      </c>
      <c r="E346" t="s">
        <v>741</v>
      </c>
      <c r="F346" t="s">
        <v>741</v>
      </c>
    </row>
    <row r="347" spans="1:10" x14ac:dyDescent="0.25">
      <c r="A347" t="s">
        <v>678</v>
      </c>
      <c r="B347">
        <v>18</v>
      </c>
      <c r="E347">
        <v>914</v>
      </c>
      <c r="F347">
        <v>3145</v>
      </c>
    </row>
    <row r="348" spans="1:10" x14ac:dyDescent="0.25">
      <c r="A348" t="s">
        <v>42</v>
      </c>
      <c r="B348">
        <v>18</v>
      </c>
      <c r="E348">
        <v>45</v>
      </c>
      <c r="F348">
        <v>45</v>
      </c>
    </row>
    <row r="349" spans="1:10" x14ac:dyDescent="0.25">
      <c r="A349" t="s">
        <v>679</v>
      </c>
      <c r="B349">
        <v>18</v>
      </c>
      <c r="E349">
        <v>13.8</v>
      </c>
      <c r="F349">
        <v>47.7</v>
      </c>
    </row>
    <row r="350" spans="1:10" x14ac:dyDescent="0.25">
      <c r="A350" t="s">
        <v>41</v>
      </c>
      <c r="B350">
        <v>18</v>
      </c>
      <c r="E350">
        <v>0</v>
      </c>
      <c r="F350">
        <v>0</v>
      </c>
    </row>
    <row r="351" spans="1:10" x14ac:dyDescent="0.25">
      <c r="A351" t="s">
        <v>680</v>
      </c>
      <c r="B351">
        <v>18</v>
      </c>
      <c r="E351">
        <v>24</v>
      </c>
      <c r="F351">
        <v>24</v>
      </c>
    </row>
    <row r="352" spans="1:10" x14ac:dyDescent="0.25">
      <c r="A352" t="s">
        <v>563</v>
      </c>
      <c r="B352">
        <v>18</v>
      </c>
      <c r="E352">
        <v>0</v>
      </c>
      <c r="F352">
        <v>0</v>
      </c>
    </row>
    <row r="353" spans="1:6" x14ac:dyDescent="0.25">
      <c r="A353" t="s">
        <v>681</v>
      </c>
      <c r="B353">
        <v>18</v>
      </c>
      <c r="E353">
        <v>0</v>
      </c>
      <c r="F353">
        <v>0</v>
      </c>
    </row>
    <row r="354" spans="1:6" x14ac:dyDescent="0.25">
      <c r="A354" t="s">
        <v>682</v>
      </c>
      <c r="B354">
        <v>18</v>
      </c>
      <c r="E354">
        <v>16</v>
      </c>
      <c r="F354">
        <v>16</v>
      </c>
    </row>
    <row r="355" spans="1:6" x14ac:dyDescent="0.25">
      <c r="A355" t="s">
        <v>683</v>
      </c>
      <c r="B355">
        <v>18</v>
      </c>
      <c r="E355">
        <v>100</v>
      </c>
      <c r="F355">
        <v>100</v>
      </c>
    </row>
    <row r="356" spans="1:6" x14ac:dyDescent="0.25">
      <c r="A356" t="s">
        <v>684</v>
      </c>
      <c r="B356">
        <v>18</v>
      </c>
      <c r="E356">
        <v>1980</v>
      </c>
      <c r="F356">
        <v>1980</v>
      </c>
    </row>
    <row r="357" spans="1:6" x14ac:dyDescent="0.25">
      <c r="A357" t="s">
        <v>685</v>
      </c>
      <c r="B357">
        <v>18</v>
      </c>
      <c r="E357">
        <v>1320</v>
      </c>
      <c r="F357">
        <v>1320</v>
      </c>
    </row>
    <row r="358" spans="1:6" x14ac:dyDescent="0.25">
      <c r="A358" t="s">
        <v>686</v>
      </c>
      <c r="B358">
        <v>18</v>
      </c>
      <c r="E358">
        <v>2640</v>
      </c>
      <c r="F358">
        <v>2640</v>
      </c>
    </row>
    <row r="359" spans="1:6" x14ac:dyDescent="0.25">
      <c r="A359" t="s">
        <v>687</v>
      </c>
      <c r="B359">
        <v>18</v>
      </c>
      <c r="E359">
        <v>-359035</v>
      </c>
    </row>
    <row r="360" spans="1:6" x14ac:dyDescent="0.25">
      <c r="A360" t="s">
        <v>688</v>
      </c>
      <c r="B360">
        <v>18</v>
      </c>
      <c r="E360">
        <v>14076</v>
      </c>
    </row>
    <row r="361" spans="1:6" x14ac:dyDescent="0.25">
      <c r="A361" t="s">
        <v>689</v>
      </c>
      <c r="B361">
        <v>18</v>
      </c>
      <c r="E361">
        <v>0</v>
      </c>
    </row>
    <row r="362" spans="1:6" x14ac:dyDescent="0.25">
      <c r="A362" t="s">
        <v>690</v>
      </c>
      <c r="B362">
        <v>18</v>
      </c>
      <c r="E362" t="b">
        <v>0</v>
      </c>
      <c r="F362" t="b">
        <v>0</v>
      </c>
    </row>
    <row r="363" spans="1:6" x14ac:dyDescent="0.25">
      <c r="A363" t="s">
        <v>691</v>
      </c>
      <c r="B363">
        <v>18</v>
      </c>
      <c r="E363" t="b">
        <v>0</v>
      </c>
      <c r="F363" t="b">
        <v>0</v>
      </c>
    </row>
    <row r="364" spans="1:6" x14ac:dyDescent="0.25">
      <c r="A364" t="s">
        <v>677</v>
      </c>
      <c r="B364">
        <v>19</v>
      </c>
      <c r="F364">
        <v>17</v>
      </c>
    </row>
    <row r="365" spans="1:6" x14ac:dyDescent="0.25">
      <c r="A365" t="s">
        <v>36</v>
      </c>
      <c r="B365">
        <v>19</v>
      </c>
      <c r="F365">
        <v>2</v>
      </c>
    </row>
    <row r="366" spans="1:6" x14ac:dyDescent="0.25">
      <c r="A366" t="s">
        <v>503</v>
      </c>
      <c r="B366">
        <v>19</v>
      </c>
      <c r="F366" t="s">
        <v>748</v>
      </c>
    </row>
    <row r="367" spans="1:6" x14ac:dyDescent="0.25">
      <c r="A367" t="s">
        <v>678</v>
      </c>
      <c r="B367">
        <v>19</v>
      </c>
      <c r="F367">
        <v>995</v>
      </c>
    </row>
    <row r="368" spans="1:6" x14ac:dyDescent="0.25">
      <c r="A368" t="s">
        <v>42</v>
      </c>
      <c r="B368">
        <v>19</v>
      </c>
      <c r="F368">
        <v>30</v>
      </c>
    </row>
    <row r="369" spans="1:7" x14ac:dyDescent="0.25">
      <c r="A369" t="s">
        <v>679</v>
      </c>
      <c r="B369">
        <v>19</v>
      </c>
      <c r="F369">
        <v>22.6</v>
      </c>
    </row>
    <row r="370" spans="1:7" x14ac:dyDescent="0.25">
      <c r="A370" t="s">
        <v>41</v>
      </c>
      <c r="B370">
        <v>19</v>
      </c>
      <c r="F370">
        <v>0</v>
      </c>
    </row>
    <row r="371" spans="1:7" x14ac:dyDescent="0.25">
      <c r="A371" t="s">
        <v>680</v>
      </c>
      <c r="B371">
        <v>19</v>
      </c>
      <c r="F371">
        <v>12</v>
      </c>
    </row>
    <row r="372" spans="1:7" x14ac:dyDescent="0.25">
      <c r="A372" t="s">
        <v>563</v>
      </c>
      <c r="B372">
        <v>19</v>
      </c>
      <c r="F372">
        <v>0</v>
      </c>
    </row>
    <row r="373" spans="1:7" x14ac:dyDescent="0.25">
      <c r="A373" t="s">
        <v>681</v>
      </c>
      <c r="B373">
        <v>19</v>
      </c>
      <c r="F373">
        <v>1</v>
      </c>
    </row>
    <row r="374" spans="1:7" x14ac:dyDescent="0.25">
      <c r="A374" t="s">
        <v>682</v>
      </c>
      <c r="B374">
        <v>19</v>
      </c>
      <c r="F374">
        <v>16</v>
      </c>
    </row>
    <row r="375" spans="1:7" x14ac:dyDescent="0.25">
      <c r="A375" t="s">
        <v>683</v>
      </c>
      <c r="B375">
        <v>19</v>
      </c>
      <c r="F375">
        <v>200</v>
      </c>
    </row>
    <row r="376" spans="1:7" x14ac:dyDescent="0.25">
      <c r="A376" t="s">
        <v>684</v>
      </c>
      <c r="B376">
        <v>19</v>
      </c>
      <c r="F376">
        <v>1320</v>
      </c>
    </row>
    <row r="377" spans="1:7" x14ac:dyDescent="0.25">
      <c r="A377" t="s">
        <v>685</v>
      </c>
      <c r="B377">
        <v>19</v>
      </c>
      <c r="F377">
        <v>880</v>
      </c>
    </row>
    <row r="378" spans="1:7" x14ac:dyDescent="0.25">
      <c r="A378" t="s">
        <v>686</v>
      </c>
      <c r="B378">
        <v>19</v>
      </c>
      <c r="F378">
        <v>1760</v>
      </c>
    </row>
    <row r="379" spans="1:7" x14ac:dyDescent="0.25">
      <c r="A379" t="s">
        <v>687</v>
      </c>
      <c r="B379">
        <v>19</v>
      </c>
    </row>
    <row r="380" spans="1:7" x14ac:dyDescent="0.25">
      <c r="A380" t="s">
        <v>688</v>
      </c>
      <c r="B380">
        <v>19</v>
      </c>
    </row>
    <row r="381" spans="1:7" x14ac:dyDescent="0.25">
      <c r="A381" t="s">
        <v>689</v>
      </c>
      <c r="B381">
        <v>19</v>
      </c>
    </row>
    <row r="382" spans="1:7" x14ac:dyDescent="0.25">
      <c r="A382" t="s">
        <v>690</v>
      </c>
      <c r="B382">
        <v>19</v>
      </c>
      <c r="F382" t="b">
        <v>0</v>
      </c>
    </row>
    <row r="383" spans="1:7" x14ac:dyDescent="0.25">
      <c r="A383" t="s">
        <v>691</v>
      </c>
      <c r="B383">
        <v>19</v>
      </c>
      <c r="F383" t="b">
        <v>0</v>
      </c>
    </row>
    <row r="384" spans="1:7" x14ac:dyDescent="0.25">
      <c r="A384" t="s">
        <v>677</v>
      </c>
      <c r="B384">
        <v>20</v>
      </c>
      <c r="G384">
        <v>17</v>
      </c>
    </row>
    <row r="385" spans="1:7" x14ac:dyDescent="0.25">
      <c r="A385" t="s">
        <v>36</v>
      </c>
      <c r="B385">
        <v>20</v>
      </c>
      <c r="G385">
        <v>1</v>
      </c>
    </row>
    <row r="386" spans="1:7" x14ac:dyDescent="0.25">
      <c r="A386" t="s">
        <v>503</v>
      </c>
      <c r="B386">
        <v>20</v>
      </c>
      <c r="G386" t="s">
        <v>750</v>
      </c>
    </row>
    <row r="387" spans="1:7" x14ac:dyDescent="0.25">
      <c r="A387" t="s">
        <v>678</v>
      </c>
      <c r="B387">
        <v>20</v>
      </c>
      <c r="G387">
        <v>288</v>
      </c>
    </row>
    <row r="388" spans="1:7" x14ac:dyDescent="0.25">
      <c r="A388" t="s">
        <v>42</v>
      </c>
      <c r="B388">
        <v>20</v>
      </c>
      <c r="G388">
        <v>25</v>
      </c>
    </row>
    <row r="389" spans="1:7" x14ac:dyDescent="0.25">
      <c r="A389" t="s">
        <v>679</v>
      </c>
      <c r="B389">
        <v>20</v>
      </c>
      <c r="G389">
        <v>7.9</v>
      </c>
    </row>
    <row r="390" spans="1:7" x14ac:dyDescent="0.25">
      <c r="A390" t="s">
        <v>41</v>
      </c>
      <c r="B390">
        <v>20</v>
      </c>
      <c r="G390">
        <v>0</v>
      </c>
    </row>
    <row r="391" spans="1:7" x14ac:dyDescent="0.25">
      <c r="A391" t="s">
        <v>680</v>
      </c>
      <c r="B391">
        <v>20</v>
      </c>
      <c r="G391">
        <v>0</v>
      </c>
    </row>
    <row r="392" spans="1:7" x14ac:dyDescent="0.25">
      <c r="A392" t="s">
        <v>563</v>
      </c>
      <c r="B392">
        <v>20</v>
      </c>
      <c r="G392">
        <v>0</v>
      </c>
    </row>
    <row r="393" spans="1:7" x14ac:dyDescent="0.25">
      <c r="A393" t="s">
        <v>681</v>
      </c>
      <c r="B393">
        <v>20</v>
      </c>
      <c r="G393">
        <v>0</v>
      </c>
    </row>
    <row r="394" spans="1:7" x14ac:dyDescent="0.25">
      <c r="A394" t="s">
        <v>682</v>
      </c>
      <c r="B394">
        <v>20</v>
      </c>
      <c r="G394">
        <v>16</v>
      </c>
    </row>
    <row r="395" spans="1:7" x14ac:dyDescent="0.25">
      <c r="A395" t="s">
        <v>683</v>
      </c>
      <c r="B395">
        <v>20</v>
      </c>
      <c r="G395">
        <v>200</v>
      </c>
    </row>
    <row r="396" spans="1:7" x14ac:dyDescent="0.25">
      <c r="A396" t="s">
        <v>684</v>
      </c>
      <c r="B396">
        <v>20</v>
      </c>
      <c r="G396">
        <v>1101</v>
      </c>
    </row>
    <row r="397" spans="1:7" x14ac:dyDescent="0.25">
      <c r="A397" t="s">
        <v>685</v>
      </c>
      <c r="B397">
        <v>20</v>
      </c>
      <c r="G397">
        <v>734</v>
      </c>
    </row>
    <row r="398" spans="1:7" x14ac:dyDescent="0.25">
      <c r="A398" t="s">
        <v>686</v>
      </c>
      <c r="B398">
        <v>20</v>
      </c>
      <c r="G398">
        <v>1468</v>
      </c>
    </row>
    <row r="399" spans="1:7" x14ac:dyDescent="0.25">
      <c r="A399" t="s">
        <v>687</v>
      </c>
      <c r="B399">
        <v>20</v>
      </c>
    </row>
    <row r="400" spans="1:7" x14ac:dyDescent="0.25">
      <c r="A400" t="s">
        <v>688</v>
      </c>
      <c r="B400">
        <v>20</v>
      </c>
    </row>
    <row r="401" spans="1:9" x14ac:dyDescent="0.25">
      <c r="A401" t="s">
        <v>689</v>
      </c>
      <c r="B401">
        <v>20</v>
      </c>
    </row>
    <row r="402" spans="1:9" x14ac:dyDescent="0.25">
      <c r="A402" t="s">
        <v>690</v>
      </c>
      <c r="B402">
        <v>20</v>
      </c>
      <c r="G402" t="b">
        <v>0</v>
      </c>
    </row>
    <row r="403" spans="1:9" x14ac:dyDescent="0.25">
      <c r="A403" t="s">
        <v>691</v>
      </c>
      <c r="B403">
        <v>20</v>
      </c>
      <c r="G403" t="b">
        <v>0</v>
      </c>
    </row>
    <row r="404" spans="1:9" x14ac:dyDescent="0.25">
      <c r="A404" t="s">
        <v>677</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751</v>
      </c>
      <c r="D406" t="s">
        <v>751</v>
      </c>
      <c r="H406" t="s">
        <v>749</v>
      </c>
      <c r="I406" t="s">
        <v>741</v>
      </c>
    </row>
    <row r="407" spans="1:9" x14ac:dyDescent="0.25">
      <c r="A407" t="s">
        <v>678</v>
      </c>
      <c r="B407">
        <v>21</v>
      </c>
      <c r="C407">
        <v>623</v>
      </c>
      <c r="D407">
        <v>452</v>
      </c>
      <c r="H407">
        <v>4722</v>
      </c>
      <c r="I407">
        <v>906</v>
      </c>
    </row>
    <row r="408" spans="1:9" x14ac:dyDescent="0.25">
      <c r="A408" t="s">
        <v>42</v>
      </c>
      <c r="B408">
        <v>21</v>
      </c>
      <c r="C408">
        <v>35</v>
      </c>
      <c r="D408">
        <v>35</v>
      </c>
      <c r="H408">
        <v>45</v>
      </c>
      <c r="I408">
        <v>45</v>
      </c>
    </row>
    <row r="409" spans="1:9" x14ac:dyDescent="0.25">
      <c r="A409" t="s">
        <v>679</v>
      </c>
      <c r="B409">
        <v>21</v>
      </c>
      <c r="C409">
        <v>12.1</v>
      </c>
      <c r="D409">
        <v>8.8000000000000007</v>
      </c>
      <c r="H409">
        <v>71.5</v>
      </c>
      <c r="I409">
        <v>13.7</v>
      </c>
    </row>
    <row r="410" spans="1:9" x14ac:dyDescent="0.25">
      <c r="A410" t="s">
        <v>41</v>
      </c>
      <c r="B410">
        <v>21</v>
      </c>
      <c r="C410">
        <v>0</v>
      </c>
      <c r="D410">
        <v>0</v>
      </c>
      <c r="H410">
        <v>0</v>
      </c>
      <c r="I410">
        <v>0</v>
      </c>
    </row>
    <row r="411" spans="1:9" x14ac:dyDescent="0.25">
      <c r="A411" t="s">
        <v>680</v>
      </c>
      <c r="B411">
        <v>21</v>
      </c>
      <c r="C411">
        <v>24</v>
      </c>
      <c r="D411">
        <v>24</v>
      </c>
      <c r="H411">
        <v>24</v>
      </c>
      <c r="I411">
        <v>24</v>
      </c>
    </row>
    <row r="412" spans="1:9" x14ac:dyDescent="0.25">
      <c r="A412" t="s">
        <v>563</v>
      </c>
      <c r="B412">
        <v>21</v>
      </c>
      <c r="C412">
        <v>0</v>
      </c>
      <c r="D412">
        <v>0</v>
      </c>
      <c r="H412">
        <v>0</v>
      </c>
      <c r="I412">
        <v>0</v>
      </c>
    </row>
    <row r="413" spans="1:9" x14ac:dyDescent="0.25">
      <c r="A413" t="s">
        <v>681</v>
      </c>
      <c r="B413">
        <v>21</v>
      </c>
      <c r="C413">
        <v>0</v>
      </c>
      <c r="D413">
        <v>0</v>
      </c>
      <c r="H413">
        <v>0</v>
      </c>
      <c r="I413">
        <v>0</v>
      </c>
    </row>
    <row r="414" spans="1:9" x14ac:dyDescent="0.25">
      <c r="A414" t="s">
        <v>682</v>
      </c>
      <c r="B414">
        <v>21</v>
      </c>
      <c r="C414">
        <v>16</v>
      </c>
      <c r="D414">
        <v>16</v>
      </c>
      <c r="H414">
        <v>16</v>
      </c>
      <c r="I414">
        <v>16</v>
      </c>
    </row>
    <row r="415" spans="1:9" x14ac:dyDescent="0.25">
      <c r="A415" t="s">
        <v>683</v>
      </c>
      <c r="B415">
        <v>21</v>
      </c>
      <c r="C415">
        <v>583</v>
      </c>
      <c r="D415">
        <v>583</v>
      </c>
      <c r="H415">
        <v>583</v>
      </c>
      <c r="I415">
        <v>583</v>
      </c>
    </row>
    <row r="416" spans="1:9" x14ac:dyDescent="0.25">
      <c r="A416" t="s">
        <v>684</v>
      </c>
      <c r="B416">
        <v>21</v>
      </c>
      <c r="C416">
        <v>1539</v>
      </c>
      <c r="D416">
        <v>1539</v>
      </c>
      <c r="H416">
        <v>1980</v>
      </c>
      <c r="I416">
        <v>1980</v>
      </c>
    </row>
    <row r="417" spans="1:9" x14ac:dyDescent="0.25">
      <c r="A417" t="s">
        <v>685</v>
      </c>
      <c r="B417">
        <v>21</v>
      </c>
      <c r="C417">
        <v>1026</v>
      </c>
      <c r="D417">
        <v>1026</v>
      </c>
      <c r="H417">
        <v>1320</v>
      </c>
      <c r="I417">
        <v>1320</v>
      </c>
    </row>
    <row r="418" spans="1:9" x14ac:dyDescent="0.25">
      <c r="A418" t="s">
        <v>686</v>
      </c>
      <c r="B418">
        <v>21</v>
      </c>
      <c r="C418">
        <v>2052</v>
      </c>
      <c r="D418">
        <v>2052</v>
      </c>
      <c r="H418">
        <v>2640</v>
      </c>
      <c r="I418">
        <v>2640</v>
      </c>
    </row>
    <row r="419" spans="1:9" x14ac:dyDescent="0.25">
      <c r="A419" t="s">
        <v>687</v>
      </c>
      <c r="B419">
        <v>21</v>
      </c>
    </row>
    <row r="420" spans="1:9" x14ac:dyDescent="0.25">
      <c r="A420" t="s">
        <v>688</v>
      </c>
      <c r="B420">
        <v>21</v>
      </c>
    </row>
    <row r="421" spans="1:9" x14ac:dyDescent="0.25">
      <c r="A421" t="s">
        <v>689</v>
      </c>
      <c r="B421">
        <v>21</v>
      </c>
    </row>
    <row r="422" spans="1:9" x14ac:dyDescent="0.25">
      <c r="A422" t="s">
        <v>690</v>
      </c>
      <c r="B422">
        <v>21</v>
      </c>
      <c r="C422" t="b">
        <v>0</v>
      </c>
      <c r="D422" t="b">
        <v>0</v>
      </c>
      <c r="H422" t="b">
        <v>0</v>
      </c>
      <c r="I422" t="b">
        <v>0</v>
      </c>
    </row>
    <row r="423" spans="1:9" x14ac:dyDescent="0.25">
      <c r="A423" t="s">
        <v>691</v>
      </c>
      <c r="B423">
        <v>21</v>
      </c>
      <c r="C423" t="b">
        <v>0</v>
      </c>
      <c r="D423" t="b">
        <v>0</v>
      </c>
      <c r="H423" t="b">
        <v>0</v>
      </c>
      <c r="I423" t="b">
        <v>0</v>
      </c>
    </row>
    <row r="424" spans="1:9" x14ac:dyDescent="0.25">
      <c r="A424" t="s">
        <v>677</v>
      </c>
      <c r="B424">
        <v>22</v>
      </c>
      <c r="D424">
        <v>21</v>
      </c>
    </row>
    <row r="425" spans="1:9" x14ac:dyDescent="0.25">
      <c r="A425" t="s">
        <v>36</v>
      </c>
      <c r="B425">
        <v>22</v>
      </c>
      <c r="D425">
        <v>2</v>
      </c>
    </row>
    <row r="426" spans="1:9" x14ac:dyDescent="0.25">
      <c r="A426" t="s">
        <v>503</v>
      </c>
      <c r="B426">
        <v>22</v>
      </c>
      <c r="D426" t="s">
        <v>751</v>
      </c>
    </row>
    <row r="427" spans="1:9" x14ac:dyDescent="0.25">
      <c r="A427" t="s">
        <v>678</v>
      </c>
      <c r="B427">
        <v>22</v>
      </c>
      <c r="D427">
        <v>623</v>
      </c>
    </row>
    <row r="428" spans="1:9" x14ac:dyDescent="0.25">
      <c r="A428" t="s">
        <v>42</v>
      </c>
      <c r="B428">
        <v>22</v>
      </c>
      <c r="D428">
        <v>30</v>
      </c>
    </row>
    <row r="429" spans="1:9" x14ac:dyDescent="0.25">
      <c r="A429" t="s">
        <v>679</v>
      </c>
      <c r="B429">
        <v>22</v>
      </c>
      <c r="D429">
        <v>14.2</v>
      </c>
    </row>
    <row r="430" spans="1:9" x14ac:dyDescent="0.25">
      <c r="A430" t="s">
        <v>41</v>
      </c>
      <c r="B430">
        <v>22</v>
      </c>
      <c r="D430">
        <v>0</v>
      </c>
    </row>
    <row r="431" spans="1:9" x14ac:dyDescent="0.25">
      <c r="A431" t="s">
        <v>680</v>
      </c>
      <c r="B431">
        <v>22</v>
      </c>
      <c r="D431">
        <v>24</v>
      </c>
    </row>
    <row r="432" spans="1:9" x14ac:dyDescent="0.25">
      <c r="A432" t="s">
        <v>563</v>
      </c>
      <c r="B432">
        <v>22</v>
      </c>
      <c r="D432">
        <v>0</v>
      </c>
    </row>
    <row r="433" spans="1:4" x14ac:dyDescent="0.25">
      <c r="A433" t="s">
        <v>681</v>
      </c>
      <c r="B433">
        <v>22</v>
      </c>
      <c r="D433">
        <v>0</v>
      </c>
    </row>
    <row r="434" spans="1:4" x14ac:dyDescent="0.25">
      <c r="A434" t="s">
        <v>682</v>
      </c>
      <c r="B434">
        <v>22</v>
      </c>
      <c r="D434">
        <v>16</v>
      </c>
    </row>
    <row r="435" spans="1:4" x14ac:dyDescent="0.25">
      <c r="A435" t="s">
        <v>683</v>
      </c>
      <c r="B435">
        <v>22</v>
      </c>
      <c r="D435">
        <v>200</v>
      </c>
    </row>
    <row r="436" spans="1:4" x14ac:dyDescent="0.25">
      <c r="A436" t="s">
        <v>684</v>
      </c>
      <c r="B436">
        <v>22</v>
      </c>
      <c r="D436">
        <v>1320</v>
      </c>
    </row>
    <row r="437" spans="1:4" x14ac:dyDescent="0.25">
      <c r="A437" t="s">
        <v>685</v>
      </c>
      <c r="B437">
        <v>22</v>
      </c>
      <c r="D437">
        <v>880</v>
      </c>
    </row>
    <row r="438" spans="1:4" x14ac:dyDescent="0.25">
      <c r="A438" t="s">
        <v>686</v>
      </c>
      <c r="B438">
        <v>22</v>
      </c>
      <c r="D438">
        <v>1760</v>
      </c>
    </row>
    <row r="439" spans="1:4" x14ac:dyDescent="0.25">
      <c r="A439" t="s">
        <v>687</v>
      </c>
      <c r="B439">
        <v>22</v>
      </c>
    </row>
    <row r="440" spans="1:4" x14ac:dyDescent="0.25">
      <c r="A440" t="s">
        <v>688</v>
      </c>
      <c r="B440">
        <v>22</v>
      </c>
    </row>
    <row r="441" spans="1:4" x14ac:dyDescent="0.25">
      <c r="A441" t="s">
        <v>689</v>
      </c>
      <c r="B441">
        <v>22</v>
      </c>
    </row>
    <row r="442" spans="1:4" x14ac:dyDescent="0.25">
      <c r="A442" t="s">
        <v>690</v>
      </c>
      <c r="B442">
        <v>22</v>
      </c>
      <c r="D442" t="b">
        <v>0</v>
      </c>
    </row>
    <row r="443" spans="1:4" x14ac:dyDescent="0.25">
      <c r="A443" t="s">
        <v>691</v>
      </c>
      <c r="B443">
        <v>22</v>
      </c>
      <c r="D443" t="b">
        <v>0</v>
      </c>
    </row>
    <row r="444" spans="1:4" x14ac:dyDescent="0.25">
      <c r="A444" t="s">
        <v>677</v>
      </c>
      <c r="B444">
        <v>23</v>
      </c>
      <c r="C444">
        <v>21</v>
      </c>
    </row>
    <row r="445" spans="1:4" x14ac:dyDescent="0.25">
      <c r="A445" t="s">
        <v>36</v>
      </c>
      <c r="B445">
        <v>23</v>
      </c>
      <c r="C445">
        <v>2</v>
      </c>
    </row>
    <row r="446" spans="1:4" x14ac:dyDescent="0.25">
      <c r="A446" t="s">
        <v>503</v>
      </c>
      <c r="B446">
        <v>23</v>
      </c>
      <c r="C446" t="s">
        <v>751</v>
      </c>
    </row>
    <row r="447" spans="1:4" x14ac:dyDescent="0.25">
      <c r="A447" t="s">
        <v>678</v>
      </c>
      <c r="B447">
        <v>23</v>
      </c>
      <c r="C447">
        <v>452</v>
      </c>
    </row>
    <row r="448" spans="1:4" x14ac:dyDescent="0.25">
      <c r="A448" t="s">
        <v>42</v>
      </c>
      <c r="B448">
        <v>23</v>
      </c>
      <c r="C448">
        <v>30</v>
      </c>
    </row>
    <row r="449" spans="1:10" x14ac:dyDescent="0.25">
      <c r="A449" t="s">
        <v>679</v>
      </c>
      <c r="B449">
        <v>23</v>
      </c>
      <c r="C449">
        <v>10.3</v>
      </c>
    </row>
    <row r="450" spans="1:10" x14ac:dyDescent="0.25">
      <c r="A450" t="s">
        <v>41</v>
      </c>
      <c r="B450">
        <v>23</v>
      </c>
      <c r="C450">
        <v>0</v>
      </c>
    </row>
    <row r="451" spans="1:10" x14ac:dyDescent="0.25">
      <c r="A451" t="s">
        <v>680</v>
      </c>
      <c r="B451">
        <v>23</v>
      </c>
      <c r="C451">
        <v>12</v>
      </c>
    </row>
    <row r="452" spans="1:10" x14ac:dyDescent="0.25">
      <c r="A452" t="s">
        <v>563</v>
      </c>
      <c r="B452">
        <v>23</v>
      </c>
      <c r="C452">
        <v>0</v>
      </c>
    </row>
    <row r="453" spans="1:10" x14ac:dyDescent="0.25">
      <c r="A453" t="s">
        <v>681</v>
      </c>
      <c r="B453">
        <v>23</v>
      </c>
      <c r="C453">
        <v>0</v>
      </c>
    </row>
    <row r="454" spans="1:10" x14ac:dyDescent="0.25">
      <c r="A454" t="s">
        <v>682</v>
      </c>
      <c r="B454">
        <v>23</v>
      </c>
      <c r="C454">
        <v>16</v>
      </c>
    </row>
    <row r="455" spans="1:10" x14ac:dyDescent="0.25">
      <c r="A455" t="s">
        <v>683</v>
      </c>
      <c r="B455">
        <v>23</v>
      </c>
      <c r="C455">
        <v>200</v>
      </c>
    </row>
    <row r="456" spans="1:10" x14ac:dyDescent="0.25">
      <c r="A456" t="s">
        <v>684</v>
      </c>
      <c r="B456">
        <v>23</v>
      </c>
      <c r="C456">
        <v>1320</v>
      </c>
    </row>
    <row r="457" spans="1:10" x14ac:dyDescent="0.25">
      <c r="A457" t="s">
        <v>685</v>
      </c>
      <c r="B457">
        <v>23</v>
      </c>
      <c r="C457">
        <v>880</v>
      </c>
    </row>
    <row r="458" spans="1:10" x14ac:dyDescent="0.25">
      <c r="A458" t="s">
        <v>686</v>
      </c>
      <c r="B458">
        <v>23</v>
      </c>
      <c r="C458">
        <v>1760</v>
      </c>
    </row>
    <row r="459" spans="1:10" x14ac:dyDescent="0.25">
      <c r="A459" t="s">
        <v>687</v>
      </c>
      <c r="B459">
        <v>23</v>
      </c>
    </row>
    <row r="460" spans="1:10" x14ac:dyDescent="0.25">
      <c r="A460" t="s">
        <v>688</v>
      </c>
      <c r="B460">
        <v>23</v>
      </c>
    </row>
    <row r="461" spans="1:10" x14ac:dyDescent="0.25">
      <c r="A461" t="s">
        <v>689</v>
      </c>
      <c r="B461">
        <v>23</v>
      </c>
    </row>
    <row r="462" spans="1:10" x14ac:dyDescent="0.25">
      <c r="A462" t="s">
        <v>690</v>
      </c>
      <c r="B462">
        <v>23</v>
      </c>
      <c r="C462" t="b">
        <v>0</v>
      </c>
    </row>
    <row r="463" spans="1:10" x14ac:dyDescent="0.25">
      <c r="A463" t="s">
        <v>691</v>
      </c>
      <c r="B463">
        <v>23</v>
      </c>
      <c r="C463" t="b">
        <v>0</v>
      </c>
    </row>
    <row r="464" spans="1:10" x14ac:dyDescent="0.25">
      <c r="A464" t="s">
        <v>677</v>
      </c>
      <c r="B464">
        <v>24</v>
      </c>
      <c r="J464">
        <v>28</v>
      </c>
    </row>
    <row r="465" spans="1:10" x14ac:dyDescent="0.25">
      <c r="A465" t="s">
        <v>36</v>
      </c>
      <c r="B465">
        <v>24</v>
      </c>
      <c r="J465">
        <v>1</v>
      </c>
    </row>
    <row r="466" spans="1:10" x14ac:dyDescent="0.25">
      <c r="A466" t="s">
        <v>503</v>
      </c>
      <c r="B466">
        <v>24</v>
      </c>
      <c r="J466" t="s">
        <v>752</v>
      </c>
    </row>
    <row r="467" spans="1:10" x14ac:dyDescent="0.25">
      <c r="A467" t="s">
        <v>678</v>
      </c>
      <c r="B467">
        <v>24</v>
      </c>
      <c r="J467">
        <v>274</v>
      </c>
    </row>
    <row r="468" spans="1:10" x14ac:dyDescent="0.25">
      <c r="A468" t="s">
        <v>42</v>
      </c>
      <c r="B468">
        <v>24</v>
      </c>
      <c r="J468">
        <v>25</v>
      </c>
    </row>
    <row r="469" spans="1:10" x14ac:dyDescent="0.25">
      <c r="A469" t="s">
        <v>679</v>
      </c>
      <c r="B469">
        <v>24</v>
      </c>
      <c r="J469">
        <v>7.5</v>
      </c>
    </row>
    <row r="470" spans="1:10" x14ac:dyDescent="0.25">
      <c r="A470" t="s">
        <v>41</v>
      </c>
      <c r="B470">
        <v>24</v>
      </c>
      <c r="J470">
        <v>0</v>
      </c>
    </row>
    <row r="471" spans="1:10" x14ac:dyDescent="0.25">
      <c r="A471" t="s">
        <v>680</v>
      </c>
      <c r="B471">
        <v>24</v>
      </c>
      <c r="J471">
        <v>0</v>
      </c>
    </row>
    <row r="472" spans="1:10" x14ac:dyDescent="0.25">
      <c r="A472" t="s">
        <v>563</v>
      </c>
      <c r="B472">
        <v>24</v>
      </c>
      <c r="J472">
        <v>0</v>
      </c>
    </row>
    <row r="473" spans="1:10" x14ac:dyDescent="0.25">
      <c r="A473" t="s">
        <v>681</v>
      </c>
      <c r="B473">
        <v>24</v>
      </c>
      <c r="J473">
        <v>0</v>
      </c>
    </row>
    <row r="474" spans="1:10" x14ac:dyDescent="0.25">
      <c r="A474" t="s">
        <v>682</v>
      </c>
      <c r="B474">
        <v>24</v>
      </c>
      <c r="J474">
        <v>16</v>
      </c>
    </row>
    <row r="475" spans="1:10" x14ac:dyDescent="0.25">
      <c r="A475" t="s">
        <v>683</v>
      </c>
      <c r="B475">
        <v>24</v>
      </c>
      <c r="J475">
        <v>200</v>
      </c>
    </row>
    <row r="476" spans="1:10" x14ac:dyDescent="0.25">
      <c r="A476" t="s">
        <v>684</v>
      </c>
      <c r="B476">
        <v>24</v>
      </c>
      <c r="J476">
        <v>1101</v>
      </c>
    </row>
    <row r="477" spans="1:10" x14ac:dyDescent="0.25">
      <c r="A477" t="s">
        <v>685</v>
      </c>
      <c r="B477">
        <v>24</v>
      </c>
      <c r="J477">
        <v>734</v>
      </c>
    </row>
    <row r="478" spans="1:10" x14ac:dyDescent="0.25">
      <c r="A478" t="s">
        <v>686</v>
      </c>
      <c r="B478">
        <v>24</v>
      </c>
      <c r="J478">
        <v>1468</v>
      </c>
    </row>
    <row r="479" spans="1:10" x14ac:dyDescent="0.25">
      <c r="A479" t="s">
        <v>687</v>
      </c>
      <c r="B479">
        <v>24</v>
      </c>
    </row>
    <row r="480" spans="1:10" x14ac:dyDescent="0.25">
      <c r="A480" t="s">
        <v>688</v>
      </c>
      <c r="B480">
        <v>24</v>
      </c>
    </row>
    <row r="481" spans="1:10" x14ac:dyDescent="0.25">
      <c r="A481" t="s">
        <v>689</v>
      </c>
      <c r="B481">
        <v>24</v>
      </c>
    </row>
    <row r="482" spans="1:10" x14ac:dyDescent="0.25">
      <c r="A482" t="s">
        <v>690</v>
      </c>
      <c r="B482">
        <v>24</v>
      </c>
      <c r="J482" t="b">
        <v>0</v>
      </c>
    </row>
    <row r="483" spans="1:10" x14ac:dyDescent="0.25">
      <c r="A483" t="s">
        <v>691</v>
      </c>
      <c r="B483">
        <v>24</v>
      </c>
      <c r="J483" t="b">
        <v>0</v>
      </c>
    </row>
    <row r="484" spans="1:10" x14ac:dyDescent="0.25">
      <c r="A484" t="s">
        <v>677</v>
      </c>
      <c r="B484">
        <v>25</v>
      </c>
      <c r="C484">
        <v>48</v>
      </c>
      <c r="E484">
        <v>18</v>
      </c>
      <c r="F484">
        <v>11</v>
      </c>
    </row>
    <row r="485" spans="1:10" x14ac:dyDescent="0.25">
      <c r="A485" t="s">
        <v>36</v>
      </c>
      <c r="B485">
        <v>25</v>
      </c>
      <c r="C485">
        <v>1</v>
      </c>
      <c r="E485">
        <v>3</v>
      </c>
      <c r="F485">
        <v>4</v>
      </c>
    </row>
    <row r="486" spans="1:10" x14ac:dyDescent="0.25">
      <c r="A486" t="s">
        <v>503</v>
      </c>
      <c r="B486">
        <v>25</v>
      </c>
      <c r="C486" t="s">
        <v>753</v>
      </c>
      <c r="E486" t="s">
        <v>741</v>
      </c>
      <c r="F486" t="s">
        <v>741</v>
      </c>
    </row>
    <row r="487" spans="1:10" x14ac:dyDescent="0.25">
      <c r="A487" t="s">
        <v>678</v>
      </c>
      <c r="B487">
        <v>25</v>
      </c>
      <c r="C487">
        <v>656</v>
      </c>
      <c r="E487">
        <v>3145</v>
      </c>
      <c r="F487">
        <v>1028</v>
      </c>
    </row>
    <row r="488" spans="1:10" x14ac:dyDescent="0.25">
      <c r="A488" t="s">
        <v>42</v>
      </c>
      <c r="B488">
        <v>25</v>
      </c>
      <c r="C488">
        <v>30</v>
      </c>
      <c r="E488">
        <v>45</v>
      </c>
      <c r="F488">
        <v>45</v>
      </c>
    </row>
    <row r="489" spans="1:10" x14ac:dyDescent="0.25">
      <c r="A489" t="s">
        <v>679</v>
      </c>
      <c r="B489">
        <v>25</v>
      </c>
      <c r="C489">
        <v>14.9</v>
      </c>
      <c r="E489">
        <v>47.7</v>
      </c>
      <c r="F489">
        <v>15.6</v>
      </c>
    </row>
    <row r="490" spans="1:10" x14ac:dyDescent="0.25">
      <c r="A490" t="s">
        <v>41</v>
      </c>
      <c r="B490">
        <v>25</v>
      </c>
      <c r="C490">
        <v>0</v>
      </c>
      <c r="E490">
        <v>0</v>
      </c>
      <c r="F490">
        <v>0</v>
      </c>
    </row>
    <row r="491" spans="1:10" x14ac:dyDescent="0.25">
      <c r="A491" t="s">
        <v>680</v>
      </c>
      <c r="B491">
        <v>25</v>
      </c>
      <c r="C491">
        <v>12</v>
      </c>
      <c r="E491">
        <v>12</v>
      </c>
      <c r="F491">
        <v>12</v>
      </c>
    </row>
    <row r="492" spans="1:10" x14ac:dyDescent="0.25">
      <c r="A492" t="s">
        <v>563</v>
      </c>
      <c r="B492">
        <v>25</v>
      </c>
      <c r="C492">
        <v>0</v>
      </c>
      <c r="E492">
        <v>0</v>
      </c>
      <c r="F492">
        <v>0</v>
      </c>
    </row>
    <row r="493" spans="1:10" x14ac:dyDescent="0.25">
      <c r="A493" t="s">
        <v>681</v>
      </c>
      <c r="B493">
        <v>25</v>
      </c>
      <c r="C493">
        <v>0</v>
      </c>
      <c r="E493">
        <v>0</v>
      </c>
      <c r="F493">
        <v>0</v>
      </c>
    </row>
    <row r="494" spans="1:10" x14ac:dyDescent="0.25">
      <c r="A494" t="s">
        <v>682</v>
      </c>
      <c r="B494">
        <v>25</v>
      </c>
      <c r="C494">
        <v>16</v>
      </c>
      <c r="E494">
        <v>16</v>
      </c>
      <c r="F494">
        <v>16</v>
      </c>
    </row>
    <row r="495" spans="1:10" x14ac:dyDescent="0.25">
      <c r="A495" t="s">
        <v>683</v>
      </c>
      <c r="B495">
        <v>25</v>
      </c>
      <c r="C495">
        <v>583</v>
      </c>
      <c r="E495">
        <v>583</v>
      </c>
      <c r="F495">
        <v>583</v>
      </c>
    </row>
    <row r="496" spans="1:10" x14ac:dyDescent="0.25">
      <c r="A496" t="s">
        <v>684</v>
      </c>
      <c r="B496">
        <v>25</v>
      </c>
      <c r="C496">
        <v>1320</v>
      </c>
      <c r="E496">
        <v>1980</v>
      </c>
      <c r="F496">
        <v>1980</v>
      </c>
    </row>
    <row r="497" spans="1:9" x14ac:dyDescent="0.25">
      <c r="A497" t="s">
        <v>685</v>
      </c>
      <c r="B497">
        <v>25</v>
      </c>
      <c r="C497">
        <v>880</v>
      </c>
      <c r="E497">
        <v>1320</v>
      </c>
      <c r="F497">
        <v>1320</v>
      </c>
    </row>
    <row r="498" spans="1:9" x14ac:dyDescent="0.25">
      <c r="A498" t="s">
        <v>686</v>
      </c>
      <c r="B498">
        <v>25</v>
      </c>
      <c r="C498">
        <v>1760</v>
      </c>
      <c r="E498">
        <v>2640</v>
      </c>
      <c r="F498">
        <v>2640</v>
      </c>
    </row>
    <row r="499" spans="1:9" x14ac:dyDescent="0.25">
      <c r="A499" t="s">
        <v>687</v>
      </c>
      <c r="B499">
        <v>25</v>
      </c>
    </row>
    <row r="500" spans="1:9" x14ac:dyDescent="0.25">
      <c r="A500" t="s">
        <v>688</v>
      </c>
      <c r="B500">
        <v>25</v>
      </c>
    </row>
    <row r="501" spans="1:9" x14ac:dyDescent="0.25">
      <c r="A501" t="s">
        <v>689</v>
      </c>
      <c r="B501">
        <v>25</v>
      </c>
    </row>
    <row r="502" spans="1:9" x14ac:dyDescent="0.25">
      <c r="A502" t="s">
        <v>690</v>
      </c>
      <c r="B502">
        <v>25</v>
      </c>
      <c r="C502" t="b">
        <v>0</v>
      </c>
      <c r="E502" t="b">
        <v>0</v>
      </c>
      <c r="F502" t="b">
        <v>0</v>
      </c>
    </row>
    <row r="503" spans="1:9" x14ac:dyDescent="0.25">
      <c r="A503" t="s">
        <v>691</v>
      </c>
      <c r="B503">
        <v>25</v>
      </c>
      <c r="C503" t="b">
        <v>0</v>
      </c>
      <c r="E503" t="b">
        <v>0</v>
      </c>
      <c r="F503" t="b">
        <v>0</v>
      </c>
    </row>
    <row r="504" spans="1:9" x14ac:dyDescent="0.25">
      <c r="A504" t="s">
        <v>677</v>
      </c>
      <c r="B504">
        <v>26</v>
      </c>
      <c r="G504">
        <v>29</v>
      </c>
      <c r="H504">
        <v>28</v>
      </c>
      <c r="I504">
        <v>27</v>
      </c>
    </row>
    <row r="505" spans="1:9" x14ac:dyDescent="0.25">
      <c r="A505" t="s">
        <v>36</v>
      </c>
      <c r="B505">
        <v>26</v>
      </c>
      <c r="G505">
        <v>2</v>
      </c>
      <c r="H505">
        <v>5</v>
      </c>
      <c r="I505">
        <v>4</v>
      </c>
    </row>
    <row r="506" spans="1:9" x14ac:dyDescent="0.25">
      <c r="A506" t="s">
        <v>503</v>
      </c>
      <c r="B506">
        <v>26</v>
      </c>
      <c r="G506" t="s">
        <v>754</v>
      </c>
      <c r="H506" t="s">
        <v>741</v>
      </c>
      <c r="I506" t="s">
        <v>741</v>
      </c>
    </row>
    <row r="507" spans="1:9" x14ac:dyDescent="0.25">
      <c r="A507" t="s">
        <v>678</v>
      </c>
      <c r="B507">
        <v>26</v>
      </c>
      <c r="G507">
        <v>298</v>
      </c>
      <c r="H507">
        <v>3236</v>
      </c>
      <c r="I507">
        <v>1261</v>
      </c>
    </row>
    <row r="508" spans="1:9" x14ac:dyDescent="0.25">
      <c r="A508" t="s">
        <v>42</v>
      </c>
      <c r="B508">
        <v>26</v>
      </c>
      <c r="G508">
        <v>25</v>
      </c>
      <c r="H508">
        <v>45</v>
      </c>
      <c r="I508">
        <v>45</v>
      </c>
    </row>
    <row r="509" spans="1:9" x14ac:dyDescent="0.25">
      <c r="A509" t="s">
        <v>679</v>
      </c>
      <c r="B509">
        <v>26</v>
      </c>
      <c r="G509">
        <v>8.1</v>
      </c>
      <c r="H509">
        <v>49</v>
      </c>
      <c r="I509">
        <v>19.100000000000001</v>
      </c>
    </row>
    <row r="510" spans="1:9" x14ac:dyDescent="0.25">
      <c r="A510" t="s">
        <v>41</v>
      </c>
      <c r="B510">
        <v>26</v>
      </c>
      <c r="G510">
        <v>0</v>
      </c>
      <c r="H510">
        <v>0</v>
      </c>
      <c r="I510">
        <v>0</v>
      </c>
    </row>
    <row r="511" spans="1:9" x14ac:dyDescent="0.25">
      <c r="A511" t="s">
        <v>680</v>
      </c>
      <c r="B511">
        <v>26</v>
      </c>
      <c r="G511">
        <v>12</v>
      </c>
      <c r="H511">
        <v>24</v>
      </c>
      <c r="I511">
        <v>24</v>
      </c>
    </row>
    <row r="512" spans="1:9" x14ac:dyDescent="0.25">
      <c r="A512" t="s">
        <v>563</v>
      </c>
      <c r="B512">
        <v>26</v>
      </c>
      <c r="G512">
        <v>0</v>
      </c>
      <c r="H512">
        <v>0</v>
      </c>
      <c r="I512">
        <v>0</v>
      </c>
    </row>
    <row r="513" spans="1:9" x14ac:dyDescent="0.25">
      <c r="A513" t="s">
        <v>681</v>
      </c>
      <c r="B513">
        <v>26</v>
      </c>
      <c r="G513">
        <v>0</v>
      </c>
      <c r="H513">
        <v>0</v>
      </c>
      <c r="I513">
        <v>0</v>
      </c>
    </row>
    <row r="514" spans="1:9" x14ac:dyDescent="0.25">
      <c r="A514" t="s">
        <v>682</v>
      </c>
      <c r="B514">
        <v>26</v>
      </c>
      <c r="G514">
        <v>16</v>
      </c>
      <c r="H514">
        <v>16</v>
      </c>
      <c r="I514">
        <v>16</v>
      </c>
    </row>
    <row r="515" spans="1:9" x14ac:dyDescent="0.25">
      <c r="A515" t="s">
        <v>683</v>
      </c>
      <c r="B515">
        <v>26</v>
      </c>
      <c r="G515">
        <v>583</v>
      </c>
      <c r="H515">
        <v>583</v>
      </c>
      <c r="I515">
        <v>583</v>
      </c>
    </row>
    <row r="516" spans="1:9" x14ac:dyDescent="0.25">
      <c r="A516" t="s">
        <v>684</v>
      </c>
      <c r="B516">
        <v>26</v>
      </c>
      <c r="G516">
        <v>1101</v>
      </c>
      <c r="H516">
        <v>1980</v>
      </c>
      <c r="I516">
        <v>1980</v>
      </c>
    </row>
    <row r="517" spans="1:9" x14ac:dyDescent="0.25">
      <c r="A517" t="s">
        <v>685</v>
      </c>
      <c r="B517">
        <v>26</v>
      </c>
      <c r="G517">
        <v>734</v>
      </c>
      <c r="H517">
        <v>1320</v>
      </c>
      <c r="I517">
        <v>1320</v>
      </c>
    </row>
    <row r="518" spans="1:9" x14ac:dyDescent="0.25">
      <c r="A518" t="s">
        <v>686</v>
      </c>
      <c r="B518">
        <v>26</v>
      </c>
      <c r="G518">
        <v>1468</v>
      </c>
      <c r="H518">
        <v>2640</v>
      </c>
      <c r="I518">
        <v>2640</v>
      </c>
    </row>
    <row r="519" spans="1:9" x14ac:dyDescent="0.25">
      <c r="A519" t="s">
        <v>687</v>
      </c>
      <c r="B519">
        <v>26</v>
      </c>
    </row>
    <row r="520" spans="1:9" x14ac:dyDescent="0.25">
      <c r="A520" t="s">
        <v>688</v>
      </c>
      <c r="B520">
        <v>26</v>
      </c>
    </row>
    <row r="521" spans="1:9" x14ac:dyDescent="0.25">
      <c r="A521" t="s">
        <v>689</v>
      </c>
      <c r="B521">
        <v>26</v>
      </c>
    </row>
    <row r="522" spans="1:9" x14ac:dyDescent="0.25">
      <c r="A522" t="s">
        <v>690</v>
      </c>
      <c r="B522">
        <v>26</v>
      </c>
      <c r="G522" t="b">
        <v>0</v>
      </c>
      <c r="H522" t="b">
        <v>0</v>
      </c>
      <c r="I522" t="b">
        <v>0</v>
      </c>
    </row>
    <row r="523" spans="1:9" x14ac:dyDescent="0.25">
      <c r="A523" t="s">
        <v>691</v>
      </c>
      <c r="B523">
        <v>26</v>
      </c>
      <c r="G523" t="b">
        <v>0</v>
      </c>
      <c r="H523" t="b">
        <v>0</v>
      </c>
      <c r="I523" t="b">
        <v>0</v>
      </c>
    </row>
    <row r="524" spans="1:9" x14ac:dyDescent="0.25">
      <c r="A524" t="s">
        <v>677</v>
      </c>
      <c r="B524">
        <v>27</v>
      </c>
      <c r="G524">
        <v>30</v>
      </c>
      <c r="H524">
        <v>26</v>
      </c>
      <c r="I524">
        <v>31</v>
      </c>
    </row>
    <row r="525" spans="1:9" x14ac:dyDescent="0.25">
      <c r="A525" t="s">
        <v>36</v>
      </c>
      <c r="B525">
        <v>27</v>
      </c>
      <c r="G525">
        <v>3</v>
      </c>
      <c r="H525">
        <v>5</v>
      </c>
      <c r="I525">
        <v>4</v>
      </c>
    </row>
    <row r="526" spans="1:9" x14ac:dyDescent="0.25">
      <c r="A526" t="s">
        <v>503</v>
      </c>
      <c r="B526">
        <v>27</v>
      </c>
      <c r="G526" t="s">
        <v>755</v>
      </c>
      <c r="H526" t="s">
        <v>741</v>
      </c>
      <c r="I526" t="s">
        <v>741</v>
      </c>
    </row>
    <row r="527" spans="1:9" x14ac:dyDescent="0.25">
      <c r="A527" t="s">
        <v>678</v>
      </c>
      <c r="B527">
        <v>27</v>
      </c>
      <c r="G527">
        <v>262</v>
      </c>
      <c r="H527">
        <v>1261</v>
      </c>
      <c r="I527">
        <v>2453</v>
      </c>
    </row>
    <row r="528" spans="1:9" x14ac:dyDescent="0.25">
      <c r="A528" t="s">
        <v>42</v>
      </c>
      <c r="B528">
        <v>27</v>
      </c>
      <c r="G528">
        <v>30</v>
      </c>
      <c r="H528">
        <v>45</v>
      </c>
      <c r="I528">
        <v>45</v>
      </c>
    </row>
    <row r="529" spans="1:9" x14ac:dyDescent="0.25">
      <c r="A529" t="s">
        <v>679</v>
      </c>
      <c r="B529">
        <v>27</v>
      </c>
      <c r="G529">
        <v>6</v>
      </c>
      <c r="H529">
        <v>19.100000000000001</v>
      </c>
      <c r="I529">
        <v>37.200000000000003</v>
      </c>
    </row>
    <row r="530" spans="1:9" x14ac:dyDescent="0.25">
      <c r="A530" t="s">
        <v>41</v>
      </c>
      <c r="B530">
        <v>27</v>
      </c>
      <c r="G530">
        <v>0</v>
      </c>
      <c r="H530">
        <v>0</v>
      </c>
      <c r="I530">
        <v>0</v>
      </c>
    </row>
    <row r="531" spans="1:9" x14ac:dyDescent="0.25">
      <c r="A531" t="s">
        <v>680</v>
      </c>
      <c r="B531">
        <v>27</v>
      </c>
      <c r="G531">
        <v>24</v>
      </c>
      <c r="H531">
        <v>24</v>
      </c>
      <c r="I531">
        <v>24</v>
      </c>
    </row>
    <row r="532" spans="1:9" x14ac:dyDescent="0.25">
      <c r="A532" t="s">
        <v>563</v>
      </c>
      <c r="B532">
        <v>27</v>
      </c>
      <c r="G532">
        <v>0</v>
      </c>
      <c r="H532">
        <v>0</v>
      </c>
      <c r="I532">
        <v>0</v>
      </c>
    </row>
    <row r="533" spans="1:9" x14ac:dyDescent="0.25">
      <c r="A533" t="s">
        <v>681</v>
      </c>
      <c r="B533">
        <v>27</v>
      </c>
      <c r="G533">
        <v>0</v>
      </c>
      <c r="H533">
        <v>0</v>
      </c>
      <c r="I533">
        <v>0</v>
      </c>
    </row>
    <row r="534" spans="1:9" x14ac:dyDescent="0.25">
      <c r="A534" t="s">
        <v>682</v>
      </c>
      <c r="B534">
        <v>27</v>
      </c>
      <c r="G534">
        <v>16</v>
      </c>
      <c r="H534">
        <v>16</v>
      </c>
      <c r="I534">
        <v>16</v>
      </c>
    </row>
    <row r="535" spans="1:9" x14ac:dyDescent="0.25">
      <c r="A535" t="s">
        <v>683</v>
      </c>
      <c r="B535">
        <v>27</v>
      </c>
      <c r="G535">
        <v>583</v>
      </c>
      <c r="H535">
        <v>583</v>
      </c>
      <c r="I535">
        <v>583</v>
      </c>
    </row>
    <row r="536" spans="1:9" x14ac:dyDescent="0.25">
      <c r="A536" t="s">
        <v>684</v>
      </c>
      <c r="B536">
        <v>27</v>
      </c>
      <c r="G536">
        <v>1320</v>
      </c>
      <c r="H536">
        <v>1980</v>
      </c>
      <c r="I536">
        <v>1980</v>
      </c>
    </row>
    <row r="537" spans="1:9" x14ac:dyDescent="0.25">
      <c r="A537" t="s">
        <v>685</v>
      </c>
      <c r="B537">
        <v>27</v>
      </c>
      <c r="G537">
        <v>880</v>
      </c>
      <c r="H537">
        <v>1320</v>
      </c>
      <c r="I537">
        <v>1320</v>
      </c>
    </row>
    <row r="538" spans="1:9" x14ac:dyDescent="0.25">
      <c r="A538" t="s">
        <v>686</v>
      </c>
      <c r="B538">
        <v>27</v>
      </c>
      <c r="G538">
        <v>1760</v>
      </c>
      <c r="H538">
        <v>2640</v>
      </c>
      <c r="I538">
        <v>2640</v>
      </c>
    </row>
    <row r="539" spans="1:9" x14ac:dyDescent="0.25">
      <c r="A539" t="s">
        <v>687</v>
      </c>
      <c r="B539">
        <v>27</v>
      </c>
    </row>
    <row r="540" spans="1:9" x14ac:dyDescent="0.25">
      <c r="A540" t="s">
        <v>688</v>
      </c>
      <c r="B540">
        <v>27</v>
      </c>
    </row>
    <row r="541" spans="1:9" x14ac:dyDescent="0.25">
      <c r="A541" t="s">
        <v>689</v>
      </c>
      <c r="B541">
        <v>27</v>
      </c>
    </row>
    <row r="542" spans="1:9" x14ac:dyDescent="0.25">
      <c r="A542" t="s">
        <v>690</v>
      </c>
      <c r="B542">
        <v>27</v>
      </c>
      <c r="G542" t="b">
        <v>0</v>
      </c>
      <c r="H542" t="b">
        <v>0</v>
      </c>
      <c r="I542" t="b">
        <v>0</v>
      </c>
    </row>
    <row r="543" spans="1:9" x14ac:dyDescent="0.25">
      <c r="A543" t="s">
        <v>691</v>
      </c>
      <c r="B543">
        <v>27</v>
      </c>
      <c r="G543" t="b">
        <v>0</v>
      </c>
      <c r="H543" t="b">
        <v>0</v>
      </c>
      <c r="I543" t="b">
        <v>0</v>
      </c>
    </row>
    <row r="544" spans="1:9" x14ac:dyDescent="0.25">
      <c r="A544" t="s">
        <v>677</v>
      </c>
      <c r="B544">
        <v>28</v>
      </c>
      <c r="G544">
        <v>24</v>
      </c>
      <c r="H544">
        <v>46</v>
      </c>
      <c r="I544">
        <v>26</v>
      </c>
    </row>
    <row r="545" spans="1:9" x14ac:dyDescent="0.25">
      <c r="A545" t="s">
        <v>36</v>
      </c>
      <c r="B545">
        <v>28</v>
      </c>
      <c r="G545">
        <v>2</v>
      </c>
      <c r="H545">
        <v>4</v>
      </c>
      <c r="I545">
        <v>4</v>
      </c>
    </row>
    <row r="546" spans="1:9" x14ac:dyDescent="0.25">
      <c r="A546" t="s">
        <v>503</v>
      </c>
      <c r="B546">
        <v>28</v>
      </c>
      <c r="G546" t="s">
        <v>752</v>
      </c>
      <c r="H546" t="s">
        <v>741</v>
      </c>
      <c r="I546" t="s">
        <v>741</v>
      </c>
    </row>
    <row r="547" spans="1:9" x14ac:dyDescent="0.25">
      <c r="A547" t="s">
        <v>678</v>
      </c>
      <c r="B547">
        <v>28</v>
      </c>
      <c r="G547">
        <v>274</v>
      </c>
      <c r="H547">
        <v>1161</v>
      </c>
      <c r="I547">
        <v>3236</v>
      </c>
    </row>
    <row r="548" spans="1:9" x14ac:dyDescent="0.25">
      <c r="A548" t="s">
        <v>42</v>
      </c>
      <c r="B548">
        <v>28</v>
      </c>
      <c r="G548">
        <v>25</v>
      </c>
      <c r="H548">
        <v>45</v>
      </c>
      <c r="I548">
        <v>45</v>
      </c>
    </row>
    <row r="549" spans="1:9" x14ac:dyDescent="0.25">
      <c r="A549" t="s">
        <v>679</v>
      </c>
      <c r="B549">
        <v>28</v>
      </c>
      <c r="G549">
        <v>7.5</v>
      </c>
      <c r="H549">
        <v>17.600000000000001</v>
      </c>
      <c r="I549">
        <v>49</v>
      </c>
    </row>
    <row r="550" spans="1:9" x14ac:dyDescent="0.25">
      <c r="A550" t="s">
        <v>41</v>
      </c>
      <c r="B550">
        <v>28</v>
      </c>
      <c r="G550">
        <v>0</v>
      </c>
      <c r="H550">
        <v>0</v>
      </c>
      <c r="I550">
        <v>0</v>
      </c>
    </row>
    <row r="551" spans="1:9" x14ac:dyDescent="0.25">
      <c r="A551" t="s">
        <v>680</v>
      </c>
      <c r="B551">
        <v>28</v>
      </c>
      <c r="G551">
        <v>12</v>
      </c>
      <c r="H551">
        <v>24</v>
      </c>
      <c r="I551">
        <v>24</v>
      </c>
    </row>
    <row r="552" spans="1:9" x14ac:dyDescent="0.25">
      <c r="A552" t="s">
        <v>563</v>
      </c>
      <c r="B552">
        <v>28</v>
      </c>
      <c r="G552">
        <v>0</v>
      </c>
      <c r="H552">
        <v>0</v>
      </c>
      <c r="I552">
        <v>0</v>
      </c>
    </row>
    <row r="553" spans="1:9" x14ac:dyDescent="0.25">
      <c r="A553" t="s">
        <v>681</v>
      </c>
      <c r="B553">
        <v>28</v>
      </c>
      <c r="G553">
        <v>0</v>
      </c>
      <c r="H553">
        <v>0</v>
      </c>
      <c r="I553">
        <v>0</v>
      </c>
    </row>
    <row r="554" spans="1:9" x14ac:dyDescent="0.25">
      <c r="A554" t="s">
        <v>682</v>
      </c>
      <c r="B554">
        <v>28</v>
      </c>
      <c r="G554">
        <v>16</v>
      </c>
      <c r="H554">
        <v>16</v>
      </c>
      <c r="I554">
        <v>16</v>
      </c>
    </row>
    <row r="555" spans="1:9" x14ac:dyDescent="0.25">
      <c r="A555" t="s">
        <v>683</v>
      </c>
      <c r="B555">
        <v>28</v>
      </c>
      <c r="G555">
        <v>583</v>
      </c>
      <c r="H555">
        <v>583</v>
      </c>
      <c r="I555">
        <v>583</v>
      </c>
    </row>
    <row r="556" spans="1:9" x14ac:dyDescent="0.25">
      <c r="A556" t="s">
        <v>684</v>
      </c>
      <c r="B556">
        <v>28</v>
      </c>
      <c r="G556">
        <v>1101</v>
      </c>
      <c r="H556">
        <v>1980</v>
      </c>
      <c r="I556">
        <v>1980</v>
      </c>
    </row>
    <row r="557" spans="1:9" x14ac:dyDescent="0.25">
      <c r="A557" t="s">
        <v>685</v>
      </c>
      <c r="B557">
        <v>28</v>
      </c>
      <c r="G557">
        <v>734</v>
      </c>
      <c r="H557">
        <v>1320</v>
      </c>
      <c r="I557">
        <v>1320</v>
      </c>
    </row>
    <row r="558" spans="1:9" x14ac:dyDescent="0.25">
      <c r="A558" t="s">
        <v>686</v>
      </c>
      <c r="B558">
        <v>28</v>
      </c>
      <c r="G558">
        <v>1468</v>
      </c>
      <c r="H558">
        <v>2640</v>
      </c>
      <c r="I558">
        <v>2640</v>
      </c>
    </row>
    <row r="559" spans="1:9" x14ac:dyDescent="0.25">
      <c r="A559" t="s">
        <v>687</v>
      </c>
      <c r="B559">
        <v>28</v>
      </c>
    </row>
    <row r="560" spans="1:9" x14ac:dyDescent="0.25">
      <c r="A560" t="s">
        <v>688</v>
      </c>
      <c r="B560">
        <v>28</v>
      </c>
    </row>
    <row r="561" spans="1:10" x14ac:dyDescent="0.25">
      <c r="A561" t="s">
        <v>689</v>
      </c>
      <c r="B561">
        <v>28</v>
      </c>
    </row>
    <row r="562" spans="1:10" x14ac:dyDescent="0.25">
      <c r="A562" t="s">
        <v>690</v>
      </c>
      <c r="B562">
        <v>28</v>
      </c>
      <c r="G562" t="b">
        <v>0</v>
      </c>
      <c r="H562" t="b">
        <v>0</v>
      </c>
      <c r="I562" t="b">
        <v>0</v>
      </c>
    </row>
    <row r="563" spans="1:10" x14ac:dyDescent="0.25">
      <c r="A563" t="s">
        <v>691</v>
      </c>
      <c r="B563">
        <v>28</v>
      </c>
      <c r="G563" t="b">
        <v>0</v>
      </c>
      <c r="H563" t="b">
        <v>0</v>
      </c>
      <c r="I563" t="b">
        <v>0</v>
      </c>
    </row>
    <row r="564" spans="1:10" x14ac:dyDescent="0.25">
      <c r="A564" t="s">
        <v>677</v>
      </c>
      <c r="B564">
        <v>29</v>
      </c>
      <c r="J564">
        <v>26</v>
      </c>
    </row>
    <row r="565" spans="1:10" x14ac:dyDescent="0.25">
      <c r="A565" t="s">
        <v>36</v>
      </c>
      <c r="B565">
        <v>29</v>
      </c>
      <c r="J565">
        <v>2</v>
      </c>
    </row>
    <row r="566" spans="1:10" x14ac:dyDescent="0.25">
      <c r="A566" t="s">
        <v>503</v>
      </c>
      <c r="B566">
        <v>29</v>
      </c>
      <c r="J566" t="s">
        <v>754</v>
      </c>
    </row>
    <row r="567" spans="1:10" x14ac:dyDescent="0.25">
      <c r="A567" t="s">
        <v>678</v>
      </c>
      <c r="B567">
        <v>29</v>
      </c>
      <c r="J567">
        <v>298</v>
      </c>
    </row>
    <row r="568" spans="1:10" x14ac:dyDescent="0.25">
      <c r="A568" t="s">
        <v>42</v>
      </c>
      <c r="B568">
        <v>29</v>
      </c>
      <c r="J568">
        <v>30</v>
      </c>
    </row>
    <row r="569" spans="1:10" x14ac:dyDescent="0.25">
      <c r="A569" t="s">
        <v>679</v>
      </c>
      <c r="B569">
        <v>29</v>
      </c>
      <c r="J569">
        <v>6.8</v>
      </c>
    </row>
    <row r="570" spans="1:10" x14ac:dyDescent="0.25">
      <c r="A570" t="s">
        <v>41</v>
      </c>
      <c r="B570">
        <v>29</v>
      </c>
      <c r="J570">
        <v>0</v>
      </c>
    </row>
    <row r="571" spans="1:10" x14ac:dyDescent="0.25">
      <c r="A571" t="s">
        <v>680</v>
      </c>
      <c r="B571">
        <v>29</v>
      </c>
      <c r="J571">
        <v>0</v>
      </c>
    </row>
    <row r="572" spans="1:10" x14ac:dyDescent="0.25">
      <c r="A572" t="s">
        <v>563</v>
      </c>
      <c r="B572">
        <v>29</v>
      </c>
      <c r="J572">
        <v>0</v>
      </c>
    </row>
    <row r="573" spans="1:10" x14ac:dyDescent="0.25">
      <c r="A573" t="s">
        <v>681</v>
      </c>
      <c r="B573">
        <v>29</v>
      </c>
      <c r="J573">
        <v>0</v>
      </c>
    </row>
    <row r="574" spans="1:10" x14ac:dyDescent="0.25">
      <c r="A574" t="s">
        <v>682</v>
      </c>
      <c r="B574">
        <v>29</v>
      </c>
      <c r="J574">
        <v>16</v>
      </c>
    </row>
    <row r="575" spans="1:10" x14ac:dyDescent="0.25">
      <c r="A575" t="s">
        <v>683</v>
      </c>
      <c r="B575">
        <v>29</v>
      </c>
      <c r="J575">
        <v>200</v>
      </c>
    </row>
    <row r="576" spans="1:10" x14ac:dyDescent="0.25">
      <c r="A576" t="s">
        <v>684</v>
      </c>
      <c r="B576">
        <v>29</v>
      </c>
      <c r="J576">
        <v>1320</v>
      </c>
    </row>
    <row r="577" spans="1:10" x14ac:dyDescent="0.25">
      <c r="A577" t="s">
        <v>685</v>
      </c>
      <c r="B577">
        <v>29</v>
      </c>
      <c r="J577">
        <v>880</v>
      </c>
    </row>
    <row r="578" spans="1:10" x14ac:dyDescent="0.25">
      <c r="A578" t="s">
        <v>686</v>
      </c>
      <c r="B578">
        <v>29</v>
      </c>
      <c r="J578">
        <v>1760</v>
      </c>
    </row>
    <row r="579" spans="1:10" x14ac:dyDescent="0.25">
      <c r="A579" t="s">
        <v>687</v>
      </c>
      <c r="B579">
        <v>29</v>
      </c>
    </row>
    <row r="580" spans="1:10" x14ac:dyDescent="0.25">
      <c r="A580" t="s">
        <v>688</v>
      </c>
      <c r="B580">
        <v>29</v>
      </c>
    </row>
    <row r="581" spans="1:10" x14ac:dyDescent="0.25">
      <c r="A581" t="s">
        <v>689</v>
      </c>
      <c r="B581">
        <v>29</v>
      </c>
    </row>
    <row r="582" spans="1:10" x14ac:dyDescent="0.25">
      <c r="A582" t="s">
        <v>690</v>
      </c>
      <c r="B582">
        <v>29</v>
      </c>
      <c r="J582" t="b">
        <v>0</v>
      </c>
    </row>
    <row r="583" spans="1:10" x14ac:dyDescent="0.25">
      <c r="A583" t="s">
        <v>691</v>
      </c>
      <c r="B583">
        <v>29</v>
      </c>
      <c r="J583" t="b">
        <v>0</v>
      </c>
    </row>
    <row r="584" spans="1:10" x14ac:dyDescent="0.25">
      <c r="A584" t="s">
        <v>677</v>
      </c>
      <c r="B584">
        <v>30</v>
      </c>
      <c r="J584">
        <v>27</v>
      </c>
    </row>
    <row r="585" spans="1:10" x14ac:dyDescent="0.25">
      <c r="A585" t="s">
        <v>36</v>
      </c>
      <c r="B585">
        <v>30</v>
      </c>
      <c r="J585">
        <v>2</v>
      </c>
    </row>
    <row r="586" spans="1:10" x14ac:dyDescent="0.25">
      <c r="A586" t="s">
        <v>503</v>
      </c>
      <c r="B586">
        <v>30</v>
      </c>
      <c r="J586" t="s">
        <v>755</v>
      </c>
    </row>
    <row r="587" spans="1:10" x14ac:dyDescent="0.25">
      <c r="A587" t="s">
        <v>678</v>
      </c>
      <c r="B587">
        <v>30</v>
      </c>
      <c r="J587">
        <v>262</v>
      </c>
    </row>
    <row r="588" spans="1:10" x14ac:dyDescent="0.25">
      <c r="A588" t="s">
        <v>42</v>
      </c>
      <c r="B588">
        <v>30</v>
      </c>
      <c r="J588">
        <v>30</v>
      </c>
    </row>
    <row r="589" spans="1:10" x14ac:dyDescent="0.25">
      <c r="A589" t="s">
        <v>679</v>
      </c>
      <c r="B589">
        <v>30</v>
      </c>
      <c r="J589">
        <v>6</v>
      </c>
    </row>
    <row r="590" spans="1:10" x14ac:dyDescent="0.25">
      <c r="A590" t="s">
        <v>41</v>
      </c>
      <c r="B590">
        <v>30</v>
      </c>
      <c r="J590">
        <v>0</v>
      </c>
    </row>
    <row r="591" spans="1:10" x14ac:dyDescent="0.25">
      <c r="A591" t="s">
        <v>680</v>
      </c>
      <c r="B591">
        <v>30</v>
      </c>
      <c r="J591">
        <v>0</v>
      </c>
    </row>
    <row r="592" spans="1:10" x14ac:dyDescent="0.25">
      <c r="A592" t="s">
        <v>563</v>
      </c>
      <c r="B592">
        <v>30</v>
      </c>
      <c r="J592">
        <v>0</v>
      </c>
    </row>
    <row r="593" spans="1:10" x14ac:dyDescent="0.25">
      <c r="A593" t="s">
        <v>681</v>
      </c>
      <c r="B593">
        <v>30</v>
      </c>
      <c r="J593">
        <v>0</v>
      </c>
    </row>
    <row r="594" spans="1:10" x14ac:dyDescent="0.25">
      <c r="A594" t="s">
        <v>682</v>
      </c>
      <c r="B594">
        <v>30</v>
      </c>
      <c r="J594">
        <v>16</v>
      </c>
    </row>
    <row r="595" spans="1:10" x14ac:dyDescent="0.25">
      <c r="A595" t="s">
        <v>683</v>
      </c>
      <c r="B595">
        <v>30</v>
      </c>
      <c r="J595">
        <v>200</v>
      </c>
    </row>
    <row r="596" spans="1:10" x14ac:dyDescent="0.25">
      <c r="A596" t="s">
        <v>684</v>
      </c>
      <c r="B596">
        <v>30</v>
      </c>
      <c r="J596">
        <v>1320</v>
      </c>
    </row>
    <row r="597" spans="1:10" x14ac:dyDescent="0.25">
      <c r="A597" t="s">
        <v>685</v>
      </c>
      <c r="B597">
        <v>30</v>
      </c>
      <c r="J597">
        <v>880</v>
      </c>
    </row>
    <row r="598" spans="1:10" x14ac:dyDescent="0.25">
      <c r="A598" t="s">
        <v>686</v>
      </c>
      <c r="B598">
        <v>30</v>
      </c>
      <c r="J598">
        <v>1760</v>
      </c>
    </row>
    <row r="599" spans="1:10" x14ac:dyDescent="0.25">
      <c r="A599" t="s">
        <v>687</v>
      </c>
      <c r="B599">
        <v>30</v>
      </c>
    </row>
    <row r="600" spans="1:10" x14ac:dyDescent="0.25">
      <c r="A600" t="s">
        <v>688</v>
      </c>
      <c r="B600">
        <v>30</v>
      </c>
    </row>
    <row r="601" spans="1:10" x14ac:dyDescent="0.25">
      <c r="A601" t="s">
        <v>689</v>
      </c>
      <c r="B601">
        <v>30</v>
      </c>
    </row>
    <row r="602" spans="1:10" x14ac:dyDescent="0.25">
      <c r="A602" t="s">
        <v>690</v>
      </c>
      <c r="B602">
        <v>30</v>
      </c>
      <c r="J602" t="b">
        <v>0</v>
      </c>
    </row>
    <row r="603" spans="1:10" x14ac:dyDescent="0.25">
      <c r="A603" t="s">
        <v>691</v>
      </c>
      <c r="B603">
        <v>30</v>
      </c>
      <c r="J603" t="b">
        <v>0</v>
      </c>
    </row>
    <row r="604" spans="1:10" x14ac:dyDescent="0.25">
      <c r="A604" t="s">
        <v>677</v>
      </c>
      <c r="B604">
        <v>31</v>
      </c>
      <c r="G604">
        <v>32</v>
      </c>
      <c r="H604">
        <v>27</v>
      </c>
      <c r="I604">
        <v>33</v>
      </c>
    </row>
    <row r="605" spans="1:10" x14ac:dyDescent="0.25">
      <c r="A605" t="s">
        <v>36</v>
      </c>
      <c r="B605">
        <v>31</v>
      </c>
      <c r="G605">
        <v>3</v>
      </c>
      <c r="H605">
        <v>5</v>
      </c>
      <c r="I605">
        <v>4</v>
      </c>
    </row>
    <row r="606" spans="1:10" x14ac:dyDescent="0.25">
      <c r="A606" t="s">
        <v>503</v>
      </c>
      <c r="B606">
        <v>31</v>
      </c>
      <c r="G606" t="s">
        <v>756</v>
      </c>
      <c r="H606" t="s">
        <v>741</v>
      </c>
      <c r="I606" t="s">
        <v>741</v>
      </c>
    </row>
    <row r="607" spans="1:10" x14ac:dyDescent="0.25">
      <c r="A607" t="s">
        <v>678</v>
      </c>
      <c r="B607">
        <v>31</v>
      </c>
      <c r="G607">
        <v>456</v>
      </c>
      <c r="H607">
        <v>2453</v>
      </c>
      <c r="I607">
        <v>2608</v>
      </c>
    </row>
    <row r="608" spans="1:10" x14ac:dyDescent="0.25">
      <c r="A608" t="s">
        <v>42</v>
      </c>
      <c r="B608">
        <v>31</v>
      </c>
      <c r="G608">
        <v>25</v>
      </c>
      <c r="H608">
        <v>45</v>
      </c>
      <c r="I608">
        <v>45</v>
      </c>
    </row>
    <row r="609" spans="1:10" x14ac:dyDescent="0.25">
      <c r="A609" t="s">
        <v>679</v>
      </c>
      <c r="B609">
        <v>31</v>
      </c>
      <c r="G609">
        <v>12.4</v>
      </c>
      <c r="H609">
        <v>37.200000000000003</v>
      </c>
      <c r="I609">
        <v>39.5</v>
      </c>
    </row>
    <row r="610" spans="1:10" x14ac:dyDescent="0.25">
      <c r="A610" t="s">
        <v>41</v>
      </c>
      <c r="B610">
        <v>31</v>
      </c>
      <c r="G610">
        <v>0</v>
      </c>
      <c r="H610">
        <v>0</v>
      </c>
      <c r="I610">
        <v>0</v>
      </c>
    </row>
    <row r="611" spans="1:10" x14ac:dyDescent="0.25">
      <c r="A611" t="s">
        <v>680</v>
      </c>
      <c r="B611">
        <v>31</v>
      </c>
      <c r="G611">
        <v>24</v>
      </c>
      <c r="H611">
        <v>24</v>
      </c>
      <c r="I611">
        <v>24</v>
      </c>
    </row>
    <row r="612" spans="1:10" x14ac:dyDescent="0.25">
      <c r="A612" t="s">
        <v>563</v>
      </c>
      <c r="B612">
        <v>31</v>
      </c>
      <c r="G612">
        <v>0</v>
      </c>
      <c r="H612">
        <v>0</v>
      </c>
      <c r="I612">
        <v>0</v>
      </c>
    </row>
    <row r="613" spans="1:10" x14ac:dyDescent="0.25">
      <c r="A613" t="s">
        <v>681</v>
      </c>
      <c r="B613">
        <v>31</v>
      </c>
      <c r="G613">
        <v>0</v>
      </c>
      <c r="H613">
        <v>0</v>
      </c>
      <c r="I613">
        <v>0</v>
      </c>
    </row>
    <row r="614" spans="1:10" x14ac:dyDescent="0.25">
      <c r="A614" t="s">
        <v>682</v>
      </c>
      <c r="B614">
        <v>31</v>
      </c>
      <c r="G614">
        <v>16</v>
      </c>
      <c r="H614">
        <v>16</v>
      </c>
      <c r="I614">
        <v>16</v>
      </c>
    </row>
    <row r="615" spans="1:10" x14ac:dyDescent="0.25">
      <c r="A615" t="s">
        <v>683</v>
      </c>
      <c r="B615">
        <v>31</v>
      </c>
      <c r="G615">
        <v>583</v>
      </c>
      <c r="H615">
        <v>583</v>
      </c>
      <c r="I615">
        <v>583</v>
      </c>
    </row>
    <row r="616" spans="1:10" x14ac:dyDescent="0.25">
      <c r="A616" t="s">
        <v>684</v>
      </c>
      <c r="B616">
        <v>31</v>
      </c>
      <c r="G616">
        <v>1101</v>
      </c>
      <c r="H616">
        <v>1980</v>
      </c>
      <c r="I616">
        <v>1980</v>
      </c>
    </row>
    <row r="617" spans="1:10" x14ac:dyDescent="0.25">
      <c r="A617" t="s">
        <v>685</v>
      </c>
      <c r="B617">
        <v>31</v>
      </c>
      <c r="G617">
        <v>734</v>
      </c>
      <c r="H617">
        <v>1320</v>
      </c>
      <c r="I617">
        <v>1320</v>
      </c>
    </row>
    <row r="618" spans="1:10" x14ac:dyDescent="0.25">
      <c r="A618" t="s">
        <v>686</v>
      </c>
      <c r="B618">
        <v>31</v>
      </c>
      <c r="G618">
        <v>1468</v>
      </c>
      <c r="H618">
        <v>2640</v>
      </c>
      <c r="I618">
        <v>2640</v>
      </c>
    </row>
    <row r="619" spans="1:10" x14ac:dyDescent="0.25">
      <c r="A619" t="s">
        <v>687</v>
      </c>
      <c r="B619">
        <v>31</v>
      </c>
    </row>
    <row r="620" spans="1:10" x14ac:dyDescent="0.25">
      <c r="A620" t="s">
        <v>688</v>
      </c>
      <c r="B620">
        <v>31</v>
      </c>
    </row>
    <row r="621" spans="1:10" x14ac:dyDescent="0.25">
      <c r="A621" t="s">
        <v>689</v>
      </c>
      <c r="B621">
        <v>31</v>
      </c>
    </row>
    <row r="622" spans="1:10" x14ac:dyDescent="0.25">
      <c r="A622" t="s">
        <v>690</v>
      </c>
      <c r="B622">
        <v>31</v>
      </c>
      <c r="G622" t="b">
        <v>0</v>
      </c>
      <c r="H622" t="b">
        <v>0</v>
      </c>
      <c r="I622" t="b">
        <v>0</v>
      </c>
    </row>
    <row r="623" spans="1:10" x14ac:dyDescent="0.25">
      <c r="A623" t="s">
        <v>691</v>
      </c>
      <c r="B623">
        <v>31</v>
      </c>
      <c r="G623" t="b">
        <v>0</v>
      </c>
      <c r="H623" t="b">
        <v>0</v>
      </c>
      <c r="I623" t="b">
        <v>0</v>
      </c>
    </row>
    <row r="624" spans="1:10" x14ac:dyDescent="0.25">
      <c r="A624" t="s">
        <v>677</v>
      </c>
      <c r="B624">
        <v>32</v>
      </c>
      <c r="J624">
        <v>31</v>
      </c>
    </row>
    <row r="625" spans="1:10" x14ac:dyDescent="0.25">
      <c r="A625" t="s">
        <v>36</v>
      </c>
      <c r="B625">
        <v>32</v>
      </c>
      <c r="J625">
        <v>2</v>
      </c>
    </row>
    <row r="626" spans="1:10" x14ac:dyDescent="0.25">
      <c r="A626" t="s">
        <v>503</v>
      </c>
      <c r="B626">
        <v>32</v>
      </c>
      <c r="J626" t="s">
        <v>756</v>
      </c>
    </row>
    <row r="627" spans="1:10" x14ac:dyDescent="0.25">
      <c r="A627" t="s">
        <v>678</v>
      </c>
      <c r="B627">
        <v>32</v>
      </c>
      <c r="J627">
        <v>456</v>
      </c>
    </row>
    <row r="628" spans="1:10" x14ac:dyDescent="0.25">
      <c r="A628" t="s">
        <v>42</v>
      </c>
      <c r="B628">
        <v>32</v>
      </c>
      <c r="J628">
        <v>30</v>
      </c>
    </row>
    <row r="629" spans="1:10" x14ac:dyDescent="0.25">
      <c r="A629" t="s">
        <v>679</v>
      </c>
      <c r="B629">
        <v>32</v>
      </c>
      <c r="J629">
        <v>10.4</v>
      </c>
    </row>
    <row r="630" spans="1:10" x14ac:dyDescent="0.25">
      <c r="A630" t="s">
        <v>41</v>
      </c>
      <c r="B630">
        <v>32</v>
      </c>
      <c r="J630">
        <v>0</v>
      </c>
    </row>
    <row r="631" spans="1:10" x14ac:dyDescent="0.25">
      <c r="A631" t="s">
        <v>680</v>
      </c>
      <c r="B631">
        <v>32</v>
      </c>
      <c r="J631">
        <v>12</v>
      </c>
    </row>
    <row r="632" spans="1:10" x14ac:dyDescent="0.25">
      <c r="A632" t="s">
        <v>563</v>
      </c>
      <c r="B632">
        <v>32</v>
      </c>
      <c r="J632">
        <v>0</v>
      </c>
    </row>
    <row r="633" spans="1:10" x14ac:dyDescent="0.25">
      <c r="A633" t="s">
        <v>681</v>
      </c>
      <c r="B633">
        <v>32</v>
      </c>
      <c r="J633">
        <v>0</v>
      </c>
    </row>
    <row r="634" spans="1:10" x14ac:dyDescent="0.25">
      <c r="A634" t="s">
        <v>682</v>
      </c>
      <c r="B634">
        <v>32</v>
      </c>
      <c r="J634">
        <v>16</v>
      </c>
    </row>
    <row r="635" spans="1:10" x14ac:dyDescent="0.25">
      <c r="A635" t="s">
        <v>683</v>
      </c>
      <c r="B635">
        <v>32</v>
      </c>
      <c r="J635">
        <v>200</v>
      </c>
    </row>
    <row r="636" spans="1:10" x14ac:dyDescent="0.25">
      <c r="A636" t="s">
        <v>684</v>
      </c>
      <c r="B636">
        <v>32</v>
      </c>
      <c r="J636">
        <v>1320</v>
      </c>
    </row>
    <row r="637" spans="1:10" x14ac:dyDescent="0.25">
      <c r="A637" t="s">
        <v>685</v>
      </c>
      <c r="B637">
        <v>32</v>
      </c>
      <c r="J637">
        <v>880</v>
      </c>
    </row>
    <row r="638" spans="1:10" x14ac:dyDescent="0.25">
      <c r="A638" t="s">
        <v>686</v>
      </c>
      <c r="B638">
        <v>32</v>
      </c>
      <c r="J638">
        <v>1760</v>
      </c>
    </row>
    <row r="639" spans="1:10" x14ac:dyDescent="0.25">
      <c r="A639" t="s">
        <v>687</v>
      </c>
      <c r="B639">
        <v>32</v>
      </c>
    </row>
    <row r="640" spans="1:10" x14ac:dyDescent="0.25">
      <c r="A640" t="s">
        <v>688</v>
      </c>
      <c r="B640">
        <v>32</v>
      </c>
    </row>
    <row r="641" spans="1:10" x14ac:dyDescent="0.25">
      <c r="A641" t="s">
        <v>689</v>
      </c>
      <c r="B641">
        <v>32</v>
      </c>
    </row>
    <row r="642" spans="1:10" x14ac:dyDescent="0.25">
      <c r="A642" t="s">
        <v>690</v>
      </c>
      <c r="B642">
        <v>32</v>
      </c>
      <c r="J642" t="b">
        <v>0</v>
      </c>
    </row>
    <row r="643" spans="1:10" x14ac:dyDescent="0.25">
      <c r="A643" t="s">
        <v>691</v>
      </c>
      <c r="B643">
        <v>32</v>
      </c>
      <c r="J643" t="b">
        <v>0</v>
      </c>
    </row>
    <row r="644" spans="1:10" x14ac:dyDescent="0.25">
      <c r="A644" t="s">
        <v>677</v>
      </c>
      <c r="B644">
        <v>33</v>
      </c>
      <c r="G644">
        <v>35</v>
      </c>
      <c r="H644">
        <v>31</v>
      </c>
      <c r="I644">
        <v>34</v>
      </c>
    </row>
    <row r="645" spans="1:10" x14ac:dyDescent="0.25">
      <c r="A645" t="s">
        <v>36</v>
      </c>
      <c r="B645">
        <v>33</v>
      </c>
      <c r="G645">
        <v>2</v>
      </c>
      <c r="H645">
        <v>4</v>
      </c>
      <c r="I645">
        <v>4</v>
      </c>
    </row>
    <row r="646" spans="1:10" x14ac:dyDescent="0.25">
      <c r="A646" t="s">
        <v>503</v>
      </c>
      <c r="B646">
        <v>33</v>
      </c>
      <c r="G646" t="s">
        <v>757</v>
      </c>
      <c r="H646" t="s">
        <v>741</v>
      </c>
      <c r="I646" t="s">
        <v>741</v>
      </c>
    </row>
    <row r="647" spans="1:10" x14ac:dyDescent="0.25">
      <c r="A647" t="s">
        <v>678</v>
      </c>
      <c r="B647">
        <v>33</v>
      </c>
      <c r="G647">
        <v>375</v>
      </c>
      <c r="H647">
        <v>2608</v>
      </c>
      <c r="I647">
        <v>1440</v>
      </c>
    </row>
    <row r="648" spans="1:10" x14ac:dyDescent="0.25">
      <c r="A648" t="s">
        <v>42</v>
      </c>
      <c r="B648">
        <v>33</v>
      </c>
      <c r="G648">
        <v>25</v>
      </c>
      <c r="H648">
        <v>45</v>
      </c>
      <c r="I648">
        <v>45</v>
      </c>
    </row>
    <row r="649" spans="1:10" x14ac:dyDescent="0.25">
      <c r="A649" t="s">
        <v>679</v>
      </c>
      <c r="B649">
        <v>33</v>
      </c>
      <c r="G649">
        <v>10.199999999999999</v>
      </c>
      <c r="H649">
        <v>39.5</v>
      </c>
      <c r="I649">
        <v>21.8</v>
      </c>
    </row>
    <row r="650" spans="1:10" x14ac:dyDescent="0.25">
      <c r="A650" t="s">
        <v>41</v>
      </c>
      <c r="B650">
        <v>33</v>
      </c>
      <c r="G650">
        <v>0</v>
      </c>
      <c r="H650">
        <v>0</v>
      </c>
      <c r="I650">
        <v>0</v>
      </c>
    </row>
    <row r="651" spans="1:10" x14ac:dyDescent="0.25">
      <c r="A651" t="s">
        <v>680</v>
      </c>
      <c r="B651">
        <v>33</v>
      </c>
      <c r="G651">
        <v>12</v>
      </c>
      <c r="H651">
        <v>24</v>
      </c>
      <c r="I651">
        <v>24</v>
      </c>
    </row>
    <row r="652" spans="1:10" x14ac:dyDescent="0.25">
      <c r="A652" t="s">
        <v>563</v>
      </c>
      <c r="B652">
        <v>33</v>
      </c>
      <c r="G652">
        <v>0</v>
      </c>
      <c r="H652">
        <v>0</v>
      </c>
      <c r="I652">
        <v>0</v>
      </c>
    </row>
    <row r="653" spans="1:10" x14ac:dyDescent="0.25">
      <c r="A653" t="s">
        <v>681</v>
      </c>
      <c r="B653">
        <v>33</v>
      </c>
      <c r="G653">
        <v>1</v>
      </c>
      <c r="H653">
        <v>0</v>
      </c>
      <c r="I653">
        <v>0</v>
      </c>
    </row>
    <row r="654" spans="1:10" x14ac:dyDescent="0.25">
      <c r="A654" t="s">
        <v>682</v>
      </c>
      <c r="B654">
        <v>33</v>
      </c>
      <c r="G654">
        <v>16</v>
      </c>
      <c r="H654">
        <v>16</v>
      </c>
      <c r="I654">
        <v>16</v>
      </c>
    </row>
    <row r="655" spans="1:10" x14ac:dyDescent="0.25">
      <c r="A655" t="s">
        <v>683</v>
      </c>
      <c r="B655">
        <v>33</v>
      </c>
      <c r="G655">
        <v>583</v>
      </c>
      <c r="H655">
        <v>583</v>
      </c>
      <c r="I655">
        <v>583</v>
      </c>
    </row>
    <row r="656" spans="1:10" x14ac:dyDescent="0.25">
      <c r="A656" t="s">
        <v>684</v>
      </c>
      <c r="B656">
        <v>33</v>
      </c>
      <c r="G656">
        <v>1101</v>
      </c>
      <c r="H656">
        <v>1980</v>
      </c>
      <c r="I656">
        <v>1980</v>
      </c>
    </row>
    <row r="657" spans="1:10" x14ac:dyDescent="0.25">
      <c r="A657" t="s">
        <v>685</v>
      </c>
      <c r="B657">
        <v>33</v>
      </c>
      <c r="G657">
        <v>734</v>
      </c>
      <c r="H657">
        <v>1320</v>
      </c>
      <c r="I657">
        <v>1320</v>
      </c>
    </row>
    <row r="658" spans="1:10" x14ac:dyDescent="0.25">
      <c r="A658" t="s">
        <v>686</v>
      </c>
      <c r="B658">
        <v>33</v>
      </c>
      <c r="G658">
        <v>1468</v>
      </c>
      <c r="H658">
        <v>2640</v>
      </c>
      <c r="I658">
        <v>2640</v>
      </c>
    </row>
    <row r="659" spans="1:10" x14ac:dyDescent="0.25">
      <c r="A659" t="s">
        <v>687</v>
      </c>
      <c r="B659">
        <v>33</v>
      </c>
    </row>
    <row r="660" spans="1:10" x14ac:dyDescent="0.25">
      <c r="A660" t="s">
        <v>688</v>
      </c>
      <c r="B660">
        <v>33</v>
      </c>
    </row>
    <row r="661" spans="1:10" x14ac:dyDescent="0.25">
      <c r="A661" t="s">
        <v>689</v>
      </c>
      <c r="B661">
        <v>33</v>
      </c>
    </row>
    <row r="662" spans="1:10" x14ac:dyDescent="0.25">
      <c r="A662" t="s">
        <v>690</v>
      </c>
      <c r="B662">
        <v>33</v>
      </c>
      <c r="G662" t="b">
        <v>0</v>
      </c>
      <c r="H662" t="b">
        <v>0</v>
      </c>
      <c r="I662" t="b">
        <v>0</v>
      </c>
    </row>
    <row r="663" spans="1:10" x14ac:dyDescent="0.25">
      <c r="A663" t="s">
        <v>691</v>
      </c>
      <c r="B663">
        <v>33</v>
      </c>
      <c r="G663" t="b">
        <v>0</v>
      </c>
      <c r="H663" t="b">
        <v>0</v>
      </c>
      <c r="I663" t="b">
        <v>0</v>
      </c>
    </row>
    <row r="664" spans="1:10" x14ac:dyDescent="0.25">
      <c r="A664" t="s">
        <v>677</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758</v>
      </c>
      <c r="H666" t="s">
        <v>741</v>
      </c>
      <c r="I666" t="s">
        <v>741</v>
      </c>
      <c r="J666" t="s">
        <v>759</v>
      </c>
    </row>
    <row r="667" spans="1:10" x14ac:dyDescent="0.25">
      <c r="A667" t="s">
        <v>678</v>
      </c>
      <c r="B667">
        <v>34</v>
      </c>
      <c r="G667">
        <v>363</v>
      </c>
      <c r="H667">
        <v>1440</v>
      </c>
      <c r="I667">
        <v>6910</v>
      </c>
      <c r="J667">
        <v>590</v>
      </c>
    </row>
    <row r="668" spans="1:10" x14ac:dyDescent="0.25">
      <c r="A668" t="s">
        <v>42</v>
      </c>
      <c r="B668">
        <v>34</v>
      </c>
      <c r="G668">
        <v>35</v>
      </c>
      <c r="H668">
        <v>45</v>
      </c>
      <c r="I668">
        <v>45</v>
      </c>
      <c r="J668">
        <v>35</v>
      </c>
    </row>
    <row r="669" spans="1:10" x14ac:dyDescent="0.25">
      <c r="A669" t="s">
        <v>679</v>
      </c>
      <c r="B669">
        <v>34</v>
      </c>
      <c r="G669">
        <v>7.1</v>
      </c>
      <c r="H669">
        <v>21.8</v>
      </c>
      <c r="I669">
        <v>104.7</v>
      </c>
      <c r="J669">
        <v>11.5</v>
      </c>
    </row>
    <row r="670" spans="1:10" x14ac:dyDescent="0.25">
      <c r="A670" t="s">
        <v>41</v>
      </c>
      <c r="B670">
        <v>34</v>
      </c>
      <c r="G670">
        <v>0</v>
      </c>
      <c r="H670">
        <v>0</v>
      </c>
      <c r="I670">
        <v>0</v>
      </c>
      <c r="J670">
        <v>0</v>
      </c>
    </row>
    <row r="671" spans="1:10" x14ac:dyDescent="0.25">
      <c r="A671" t="s">
        <v>680</v>
      </c>
      <c r="B671">
        <v>34</v>
      </c>
      <c r="G671">
        <v>24</v>
      </c>
      <c r="H671">
        <v>24</v>
      </c>
      <c r="I671">
        <v>24</v>
      </c>
      <c r="J671">
        <v>24</v>
      </c>
    </row>
    <row r="672" spans="1:10" x14ac:dyDescent="0.25">
      <c r="A672" t="s">
        <v>563</v>
      </c>
      <c r="B672">
        <v>34</v>
      </c>
      <c r="G672">
        <v>0</v>
      </c>
      <c r="H672">
        <v>0</v>
      </c>
      <c r="I672">
        <v>0</v>
      </c>
      <c r="J672">
        <v>0</v>
      </c>
    </row>
    <row r="673" spans="1:10" x14ac:dyDescent="0.25">
      <c r="A673" t="s">
        <v>681</v>
      </c>
      <c r="B673">
        <v>34</v>
      </c>
      <c r="G673">
        <v>0</v>
      </c>
      <c r="H673">
        <v>0</v>
      </c>
      <c r="I673">
        <v>0</v>
      </c>
      <c r="J673">
        <v>0</v>
      </c>
    </row>
    <row r="674" spans="1:10" x14ac:dyDescent="0.25">
      <c r="A674" t="s">
        <v>682</v>
      </c>
      <c r="B674">
        <v>34</v>
      </c>
      <c r="G674">
        <v>16</v>
      </c>
      <c r="H674">
        <v>16</v>
      </c>
      <c r="I674">
        <v>16</v>
      </c>
      <c r="J674">
        <v>16</v>
      </c>
    </row>
    <row r="675" spans="1:10" x14ac:dyDescent="0.25">
      <c r="A675" t="s">
        <v>683</v>
      </c>
      <c r="B675">
        <v>34</v>
      </c>
      <c r="G675">
        <v>583</v>
      </c>
      <c r="H675">
        <v>583</v>
      </c>
      <c r="I675">
        <v>583</v>
      </c>
      <c r="J675">
        <v>583</v>
      </c>
    </row>
    <row r="676" spans="1:10" x14ac:dyDescent="0.25">
      <c r="A676" t="s">
        <v>684</v>
      </c>
      <c r="B676">
        <v>34</v>
      </c>
      <c r="G676">
        <v>1539</v>
      </c>
      <c r="H676">
        <v>1980</v>
      </c>
      <c r="I676">
        <v>1980</v>
      </c>
      <c r="J676">
        <v>1539</v>
      </c>
    </row>
    <row r="677" spans="1:10" x14ac:dyDescent="0.25">
      <c r="A677" t="s">
        <v>685</v>
      </c>
      <c r="B677">
        <v>34</v>
      </c>
      <c r="G677">
        <v>1026</v>
      </c>
      <c r="H677">
        <v>1320</v>
      </c>
      <c r="I677">
        <v>1320</v>
      </c>
      <c r="J677">
        <v>1026</v>
      </c>
    </row>
    <row r="678" spans="1:10" x14ac:dyDescent="0.25">
      <c r="A678" t="s">
        <v>686</v>
      </c>
      <c r="B678">
        <v>34</v>
      </c>
      <c r="G678">
        <v>2052</v>
      </c>
      <c r="H678">
        <v>2640</v>
      </c>
      <c r="I678">
        <v>2640</v>
      </c>
      <c r="J678">
        <v>2052</v>
      </c>
    </row>
    <row r="679" spans="1:10" x14ac:dyDescent="0.25">
      <c r="A679" t="s">
        <v>687</v>
      </c>
      <c r="B679">
        <v>34</v>
      </c>
      <c r="I679">
        <v>-379224</v>
      </c>
    </row>
    <row r="680" spans="1:10" x14ac:dyDescent="0.25">
      <c r="A680" t="s">
        <v>688</v>
      </c>
      <c r="B680">
        <v>34</v>
      </c>
      <c r="I680">
        <v>33055</v>
      </c>
    </row>
    <row r="681" spans="1:10" x14ac:dyDescent="0.25">
      <c r="A681" t="s">
        <v>689</v>
      </c>
      <c r="B681">
        <v>34</v>
      </c>
      <c r="I681">
        <v>0</v>
      </c>
    </row>
    <row r="682" spans="1:10" x14ac:dyDescent="0.25">
      <c r="A682" t="s">
        <v>690</v>
      </c>
      <c r="B682">
        <v>34</v>
      </c>
      <c r="G682" t="b">
        <v>0</v>
      </c>
      <c r="H682" t="b">
        <v>0</v>
      </c>
      <c r="I682" t="b">
        <v>0</v>
      </c>
      <c r="J682" t="b">
        <v>0</v>
      </c>
    </row>
    <row r="683" spans="1:10" x14ac:dyDescent="0.25">
      <c r="A683" t="s">
        <v>691</v>
      </c>
      <c r="B683">
        <v>34</v>
      </c>
      <c r="G683" t="b">
        <v>0</v>
      </c>
      <c r="H683" t="b">
        <v>0</v>
      </c>
      <c r="I683" t="b">
        <v>0</v>
      </c>
      <c r="J683" t="b">
        <v>0</v>
      </c>
    </row>
    <row r="684" spans="1:10" x14ac:dyDescent="0.25">
      <c r="A684" t="s">
        <v>677</v>
      </c>
      <c r="B684">
        <v>35</v>
      </c>
      <c r="J684">
        <v>33</v>
      </c>
    </row>
    <row r="685" spans="1:10" x14ac:dyDescent="0.25">
      <c r="A685" t="s">
        <v>36</v>
      </c>
      <c r="B685">
        <v>35</v>
      </c>
      <c r="J685">
        <v>1</v>
      </c>
    </row>
    <row r="686" spans="1:10" x14ac:dyDescent="0.25">
      <c r="A686" t="s">
        <v>503</v>
      </c>
      <c r="B686">
        <v>35</v>
      </c>
      <c r="J686" t="s">
        <v>757</v>
      </c>
    </row>
    <row r="687" spans="1:10" x14ac:dyDescent="0.25">
      <c r="A687" t="s">
        <v>678</v>
      </c>
      <c r="B687">
        <v>35</v>
      </c>
      <c r="J687">
        <v>375</v>
      </c>
    </row>
    <row r="688" spans="1:10" x14ac:dyDescent="0.25">
      <c r="A688" t="s">
        <v>42</v>
      </c>
      <c r="B688">
        <v>35</v>
      </c>
      <c r="J688">
        <v>30</v>
      </c>
    </row>
    <row r="689" spans="1:10" x14ac:dyDescent="0.25">
      <c r="A689" t="s">
        <v>679</v>
      </c>
      <c r="B689">
        <v>35</v>
      </c>
      <c r="J689">
        <v>8.5</v>
      </c>
    </row>
    <row r="690" spans="1:10" x14ac:dyDescent="0.25">
      <c r="A690" t="s">
        <v>41</v>
      </c>
      <c r="B690">
        <v>35</v>
      </c>
      <c r="J690">
        <v>0</v>
      </c>
    </row>
    <row r="691" spans="1:10" x14ac:dyDescent="0.25">
      <c r="A691" t="s">
        <v>680</v>
      </c>
      <c r="B691">
        <v>35</v>
      </c>
      <c r="J691">
        <v>12</v>
      </c>
    </row>
    <row r="692" spans="1:10" x14ac:dyDescent="0.25">
      <c r="A692" t="s">
        <v>563</v>
      </c>
      <c r="B692">
        <v>35</v>
      </c>
      <c r="J692">
        <v>0</v>
      </c>
    </row>
    <row r="693" spans="1:10" x14ac:dyDescent="0.25">
      <c r="A693" t="s">
        <v>681</v>
      </c>
      <c r="B693">
        <v>35</v>
      </c>
      <c r="J693">
        <v>1</v>
      </c>
    </row>
    <row r="694" spans="1:10" x14ac:dyDescent="0.25">
      <c r="A694" t="s">
        <v>682</v>
      </c>
      <c r="B694">
        <v>35</v>
      </c>
      <c r="J694">
        <v>16</v>
      </c>
    </row>
    <row r="695" spans="1:10" x14ac:dyDescent="0.25">
      <c r="A695" t="s">
        <v>683</v>
      </c>
      <c r="B695">
        <v>35</v>
      </c>
      <c r="J695">
        <v>200</v>
      </c>
    </row>
    <row r="696" spans="1:10" x14ac:dyDescent="0.25">
      <c r="A696" t="s">
        <v>684</v>
      </c>
      <c r="B696">
        <v>35</v>
      </c>
      <c r="J696">
        <v>1320</v>
      </c>
    </row>
    <row r="697" spans="1:10" x14ac:dyDescent="0.25">
      <c r="A697" t="s">
        <v>685</v>
      </c>
      <c r="B697">
        <v>35</v>
      </c>
      <c r="J697">
        <v>880</v>
      </c>
    </row>
    <row r="698" spans="1:10" x14ac:dyDescent="0.25">
      <c r="A698" t="s">
        <v>686</v>
      </c>
      <c r="B698">
        <v>35</v>
      </c>
      <c r="J698">
        <v>1760</v>
      </c>
    </row>
    <row r="699" spans="1:10" x14ac:dyDescent="0.25">
      <c r="A699" t="s">
        <v>687</v>
      </c>
      <c r="B699">
        <v>35</v>
      </c>
    </row>
    <row r="700" spans="1:10" x14ac:dyDescent="0.25">
      <c r="A700" t="s">
        <v>688</v>
      </c>
      <c r="B700">
        <v>35</v>
      </c>
    </row>
    <row r="701" spans="1:10" x14ac:dyDescent="0.25">
      <c r="A701" t="s">
        <v>689</v>
      </c>
      <c r="B701">
        <v>35</v>
      </c>
    </row>
    <row r="702" spans="1:10" x14ac:dyDescent="0.25">
      <c r="A702" t="s">
        <v>690</v>
      </c>
      <c r="B702">
        <v>35</v>
      </c>
      <c r="J702" t="b">
        <v>0</v>
      </c>
    </row>
    <row r="703" spans="1:10" x14ac:dyDescent="0.25">
      <c r="A703" t="s">
        <v>691</v>
      </c>
      <c r="B703">
        <v>35</v>
      </c>
      <c r="J703" t="b">
        <v>0</v>
      </c>
    </row>
    <row r="704" spans="1:10" x14ac:dyDescent="0.25">
      <c r="A704" t="s">
        <v>677</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760</v>
      </c>
      <c r="H706" t="s">
        <v>741</v>
      </c>
      <c r="I706" t="s">
        <v>741</v>
      </c>
      <c r="J706" t="s">
        <v>761</v>
      </c>
    </row>
    <row r="707" spans="1:10" x14ac:dyDescent="0.25">
      <c r="A707" t="s">
        <v>678</v>
      </c>
      <c r="B707">
        <v>36</v>
      </c>
      <c r="G707">
        <v>640</v>
      </c>
      <c r="H707">
        <v>6910</v>
      </c>
      <c r="I707">
        <v>5039</v>
      </c>
      <c r="J707">
        <v>378</v>
      </c>
    </row>
    <row r="708" spans="1:10" x14ac:dyDescent="0.25">
      <c r="A708" t="s">
        <v>42</v>
      </c>
      <c r="B708">
        <v>36</v>
      </c>
      <c r="G708">
        <v>35</v>
      </c>
      <c r="H708">
        <v>45</v>
      </c>
      <c r="I708">
        <v>55</v>
      </c>
      <c r="J708">
        <v>35</v>
      </c>
    </row>
    <row r="709" spans="1:10" x14ac:dyDescent="0.25">
      <c r="A709" t="s">
        <v>679</v>
      </c>
      <c r="B709">
        <v>36</v>
      </c>
      <c r="G709">
        <v>12.5</v>
      </c>
      <c r="H709">
        <v>104.7</v>
      </c>
      <c r="I709">
        <v>62.5</v>
      </c>
      <c r="J709">
        <v>7.4</v>
      </c>
    </row>
    <row r="710" spans="1:10" x14ac:dyDescent="0.25">
      <c r="A710" t="s">
        <v>41</v>
      </c>
      <c r="B710">
        <v>36</v>
      </c>
      <c r="G710">
        <v>0</v>
      </c>
      <c r="H710">
        <v>0</v>
      </c>
      <c r="I710">
        <v>0</v>
      </c>
      <c r="J710">
        <v>0</v>
      </c>
    </row>
    <row r="711" spans="1:10" x14ac:dyDescent="0.25">
      <c r="A711" t="s">
        <v>680</v>
      </c>
      <c r="B711">
        <v>36</v>
      </c>
      <c r="G711">
        <v>12</v>
      </c>
      <c r="H711">
        <v>24</v>
      </c>
      <c r="I711">
        <v>24</v>
      </c>
      <c r="J711">
        <v>12</v>
      </c>
    </row>
    <row r="712" spans="1:10" x14ac:dyDescent="0.25">
      <c r="A712" t="s">
        <v>563</v>
      </c>
      <c r="B712">
        <v>36</v>
      </c>
      <c r="G712">
        <v>0</v>
      </c>
      <c r="H712">
        <v>0</v>
      </c>
      <c r="I712">
        <v>0</v>
      </c>
      <c r="J712">
        <v>0</v>
      </c>
    </row>
    <row r="713" spans="1:10" x14ac:dyDescent="0.25">
      <c r="A713" t="s">
        <v>681</v>
      </c>
      <c r="B713">
        <v>36</v>
      </c>
      <c r="G713">
        <v>0</v>
      </c>
      <c r="H713">
        <v>0</v>
      </c>
      <c r="I713">
        <v>0</v>
      </c>
      <c r="J713">
        <v>0</v>
      </c>
    </row>
    <row r="714" spans="1:10" x14ac:dyDescent="0.25">
      <c r="A714" t="s">
        <v>682</v>
      </c>
      <c r="B714">
        <v>36</v>
      </c>
      <c r="G714">
        <v>16</v>
      </c>
      <c r="H714">
        <v>16</v>
      </c>
      <c r="I714">
        <v>16</v>
      </c>
      <c r="J714">
        <v>16</v>
      </c>
    </row>
    <row r="715" spans="1:10" x14ac:dyDescent="0.25">
      <c r="A715" t="s">
        <v>683</v>
      </c>
      <c r="B715">
        <v>36</v>
      </c>
      <c r="G715">
        <v>583</v>
      </c>
      <c r="H715">
        <v>583</v>
      </c>
      <c r="I715">
        <v>583</v>
      </c>
      <c r="J715">
        <v>583</v>
      </c>
    </row>
    <row r="716" spans="1:10" x14ac:dyDescent="0.25">
      <c r="A716" t="s">
        <v>684</v>
      </c>
      <c r="B716">
        <v>36</v>
      </c>
      <c r="G716">
        <v>1539</v>
      </c>
      <c r="H716">
        <v>1980</v>
      </c>
      <c r="I716">
        <v>2421</v>
      </c>
      <c r="J716">
        <v>1539</v>
      </c>
    </row>
    <row r="717" spans="1:10" x14ac:dyDescent="0.25">
      <c r="A717" t="s">
        <v>685</v>
      </c>
      <c r="B717">
        <v>36</v>
      </c>
      <c r="G717">
        <v>1026</v>
      </c>
      <c r="H717">
        <v>1320</v>
      </c>
      <c r="I717">
        <v>1614</v>
      </c>
      <c r="J717">
        <v>1026</v>
      </c>
    </row>
    <row r="718" spans="1:10" x14ac:dyDescent="0.25">
      <c r="A718" t="s">
        <v>686</v>
      </c>
      <c r="B718">
        <v>36</v>
      </c>
      <c r="G718">
        <v>2052</v>
      </c>
      <c r="H718">
        <v>2640</v>
      </c>
      <c r="I718">
        <v>3228</v>
      </c>
      <c r="J718">
        <v>2052</v>
      </c>
    </row>
    <row r="719" spans="1:10" x14ac:dyDescent="0.25">
      <c r="A719" t="s">
        <v>687</v>
      </c>
      <c r="B719">
        <v>36</v>
      </c>
      <c r="H719">
        <v>-380938</v>
      </c>
    </row>
    <row r="720" spans="1:10" x14ac:dyDescent="0.25">
      <c r="A720" t="s">
        <v>688</v>
      </c>
      <c r="B720">
        <v>36</v>
      </c>
      <c r="H720">
        <v>34593</v>
      </c>
    </row>
    <row r="721" spans="1:10" x14ac:dyDescent="0.25">
      <c r="A721" t="s">
        <v>689</v>
      </c>
      <c r="B721">
        <v>36</v>
      </c>
      <c r="H721">
        <v>0</v>
      </c>
    </row>
    <row r="722" spans="1:10" x14ac:dyDescent="0.25">
      <c r="A722" t="s">
        <v>690</v>
      </c>
      <c r="B722">
        <v>36</v>
      </c>
      <c r="G722" t="b">
        <v>0</v>
      </c>
      <c r="H722" t="b">
        <v>0</v>
      </c>
      <c r="I722" t="b">
        <v>0</v>
      </c>
      <c r="J722" t="b">
        <v>0</v>
      </c>
    </row>
    <row r="723" spans="1:10" x14ac:dyDescent="0.25">
      <c r="A723" t="s">
        <v>691</v>
      </c>
      <c r="B723">
        <v>36</v>
      </c>
      <c r="G723" t="b">
        <v>0</v>
      </c>
      <c r="H723" t="b">
        <v>0</v>
      </c>
      <c r="I723" t="b">
        <v>0</v>
      </c>
      <c r="J723" t="b">
        <v>0</v>
      </c>
    </row>
    <row r="724" spans="1:10" x14ac:dyDescent="0.25">
      <c r="A724" t="s">
        <v>677</v>
      </c>
      <c r="B724">
        <v>37</v>
      </c>
      <c r="J724">
        <v>34</v>
      </c>
    </row>
    <row r="725" spans="1:10" x14ac:dyDescent="0.25">
      <c r="A725" t="s">
        <v>36</v>
      </c>
      <c r="B725">
        <v>37</v>
      </c>
      <c r="J725" t="s">
        <v>693</v>
      </c>
    </row>
    <row r="726" spans="1:10" x14ac:dyDescent="0.25">
      <c r="A726" t="s">
        <v>503</v>
      </c>
      <c r="B726">
        <v>37</v>
      </c>
      <c r="J726" t="s">
        <v>758</v>
      </c>
    </row>
    <row r="727" spans="1:10" x14ac:dyDescent="0.25">
      <c r="A727" t="s">
        <v>678</v>
      </c>
      <c r="B727">
        <v>37</v>
      </c>
      <c r="J727">
        <v>363</v>
      </c>
    </row>
    <row r="728" spans="1:10" x14ac:dyDescent="0.25">
      <c r="A728" t="s">
        <v>42</v>
      </c>
      <c r="B728">
        <v>37</v>
      </c>
      <c r="J728">
        <v>35</v>
      </c>
    </row>
    <row r="729" spans="1:10" x14ac:dyDescent="0.25">
      <c r="A729" t="s">
        <v>679</v>
      </c>
      <c r="B729">
        <v>37</v>
      </c>
      <c r="J729">
        <v>7.1</v>
      </c>
    </row>
    <row r="730" spans="1:10" x14ac:dyDescent="0.25">
      <c r="A730" t="s">
        <v>41</v>
      </c>
      <c r="B730">
        <v>37</v>
      </c>
      <c r="J730">
        <v>0</v>
      </c>
    </row>
    <row r="731" spans="1:10" x14ac:dyDescent="0.25">
      <c r="A731" t="s">
        <v>680</v>
      </c>
      <c r="B731">
        <v>37</v>
      </c>
      <c r="J731">
        <v>12</v>
      </c>
    </row>
    <row r="732" spans="1:10" x14ac:dyDescent="0.25">
      <c r="A732" t="s">
        <v>563</v>
      </c>
      <c r="B732">
        <v>37</v>
      </c>
      <c r="J732">
        <v>0</v>
      </c>
    </row>
    <row r="733" spans="1:10" x14ac:dyDescent="0.25">
      <c r="A733" t="s">
        <v>681</v>
      </c>
      <c r="B733">
        <v>37</v>
      </c>
      <c r="J733">
        <v>0</v>
      </c>
    </row>
    <row r="734" spans="1:10" x14ac:dyDescent="0.25">
      <c r="A734" t="s">
        <v>682</v>
      </c>
      <c r="B734">
        <v>37</v>
      </c>
      <c r="J734">
        <v>16</v>
      </c>
    </row>
    <row r="735" spans="1:10" x14ac:dyDescent="0.25">
      <c r="A735" t="s">
        <v>683</v>
      </c>
      <c r="B735">
        <v>37</v>
      </c>
      <c r="J735">
        <v>200</v>
      </c>
    </row>
    <row r="736" spans="1:10" x14ac:dyDescent="0.25">
      <c r="A736" t="s">
        <v>684</v>
      </c>
      <c r="B736">
        <v>37</v>
      </c>
      <c r="J736">
        <v>1539</v>
      </c>
    </row>
    <row r="737" spans="1:10" x14ac:dyDescent="0.25">
      <c r="A737" t="s">
        <v>685</v>
      </c>
      <c r="B737">
        <v>37</v>
      </c>
      <c r="J737">
        <v>1026</v>
      </c>
    </row>
    <row r="738" spans="1:10" x14ac:dyDescent="0.25">
      <c r="A738" t="s">
        <v>686</v>
      </c>
      <c r="B738">
        <v>37</v>
      </c>
      <c r="J738">
        <v>2052</v>
      </c>
    </row>
    <row r="739" spans="1:10" x14ac:dyDescent="0.25">
      <c r="A739" t="s">
        <v>687</v>
      </c>
      <c r="B739">
        <v>37</v>
      </c>
    </row>
    <row r="740" spans="1:10" x14ac:dyDescent="0.25">
      <c r="A740" t="s">
        <v>688</v>
      </c>
      <c r="B740">
        <v>37</v>
      </c>
    </row>
    <row r="741" spans="1:10" x14ac:dyDescent="0.25">
      <c r="A741" t="s">
        <v>689</v>
      </c>
      <c r="B741">
        <v>37</v>
      </c>
    </row>
    <row r="742" spans="1:10" x14ac:dyDescent="0.25">
      <c r="A742" t="s">
        <v>690</v>
      </c>
      <c r="B742">
        <v>37</v>
      </c>
      <c r="J742" t="b">
        <v>0</v>
      </c>
    </row>
    <row r="743" spans="1:10" x14ac:dyDescent="0.25">
      <c r="A743" t="s">
        <v>691</v>
      </c>
      <c r="B743">
        <v>37</v>
      </c>
      <c r="J743" t="b">
        <v>0</v>
      </c>
    </row>
    <row r="744" spans="1:10" x14ac:dyDescent="0.25">
      <c r="A744" t="s">
        <v>677</v>
      </c>
      <c r="B744">
        <v>38</v>
      </c>
      <c r="G744">
        <v>34</v>
      </c>
    </row>
    <row r="745" spans="1:10" x14ac:dyDescent="0.25">
      <c r="A745" t="s">
        <v>36</v>
      </c>
      <c r="B745">
        <v>38</v>
      </c>
      <c r="G745" t="s">
        <v>693</v>
      </c>
    </row>
    <row r="746" spans="1:10" x14ac:dyDescent="0.25">
      <c r="A746" t="s">
        <v>503</v>
      </c>
      <c r="B746">
        <v>38</v>
      </c>
      <c r="G746" t="s">
        <v>759</v>
      </c>
    </row>
    <row r="747" spans="1:10" x14ac:dyDescent="0.25">
      <c r="A747" t="s">
        <v>678</v>
      </c>
      <c r="B747">
        <v>38</v>
      </c>
      <c r="G747">
        <v>590</v>
      </c>
    </row>
    <row r="748" spans="1:10" x14ac:dyDescent="0.25">
      <c r="A748" t="s">
        <v>42</v>
      </c>
      <c r="B748">
        <v>38</v>
      </c>
      <c r="G748">
        <v>30</v>
      </c>
    </row>
    <row r="749" spans="1:10" x14ac:dyDescent="0.25">
      <c r="A749" t="s">
        <v>679</v>
      </c>
      <c r="B749">
        <v>38</v>
      </c>
      <c r="G749">
        <v>13.4</v>
      </c>
    </row>
    <row r="750" spans="1:10" x14ac:dyDescent="0.25">
      <c r="A750" t="s">
        <v>41</v>
      </c>
      <c r="B750">
        <v>38</v>
      </c>
      <c r="G750">
        <v>0</v>
      </c>
    </row>
    <row r="751" spans="1:10" x14ac:dyDescent="0.25">
      <c r="A751" t="s">
        <v>680</v>
      </c>
      <c r="B751">
        <v>38</v>
      </c>
      <c r="G751">
        <v>12</v>
      </c>
    </row>
    <row r="752" spans="1:10" x14ac:dyDescent="0.25">
      <c r="A752" t="s">
        <v>563</v>
      </c>
      <c r="B752">
        <v>38</v>
      </c>
      <c r="G752">
        <v>0</v>
      </c>
    </row>
    <row r="753" spans="1:9" x14ac:dyDescent="0.25">
      <c r="A753" t="s">
        <v>681</v>
      </c>
      <c r="B753">
        <v>38</v>
      </c>
      <c r="G753">
        <v>0</v>
      </c>
    </row>
    <row r="754" spans="1:9" x14ac:dyDescent="0.25">
      <c r="A754" t="s">
        <v>682</v>
      </c>
      <c r="B754">
        <v>38</v>
      </c>
      <c r="G754">
        <v>16</v>
      </c>
    </row>
    <row r="755" spans="1:9" x14ac:dyDescent="0.25">
      <c r="A755" t="s">
        <v>683</v>
      </c>
      <c r="B755">
        <v>38</v>
      </c>
      <c r="G755">
        <v>200</v>
      </c>
    </row>
    <row r="756" spans="1:9" x14ac:dyDescent="0.25">
      <c r="A756" t="s">
        <v>684</v>
      </c>
      <c r="B756">
        <v>38</v>
      </c>
      <c r="G756">
        <v>1320</v>
      </c>
    </row>
    <row r="757" spans="1:9" x14ac:dyDescent="0.25">
      <c r="A757" t="s">
        <v>685</v>
      </c>
      <c r="B757">
        <v>38</v>
      </c>
      <c r="G757">
        <v>880</v>
      </c>
    </row>
    <row r="758" spans="1:9" x14ac:dyDescent="0.25">
      <c r="A758" t="s">
        <v>686</v>
      </c>
      <c r="B758">
        <v>38</v>
      </c>
      <c r="G758">
        <v>1760</v>
      </c>
    </row>
    <row r="759" spans="1:9" x14ac:dyDescent="0.25">
      <c r="A759" t="s">
        <v>687</v>
      </c>
      <c r="B759">
        <v>38</v>
      </c>
    </row>
    <row r="760" spans="1:9" x14ac:dyDescent="0.25">
      <c r="A760" t="s">
        <v>688</v>
      </c>
      <c r="B760">
        <v>38</v>
      </c>
    </row>
    <row r="761" spans="1:9" x14ac:dyDescent="0.25">
      <c r="A761" t="s">
        <v>689</v>
      </c>
      <c r="B761">
        <v>38</v>
      </c>
    </row>
    <row r="762" spans="1:9" x14ac:dyDescent="0.25">
      <c r="A762" t="s">
        <v>690</v>
      </c>
      <c r="B762">
        <v>38</v>
      </c>
      <c r="G762" t="b">
        <v>0</v>
      </c>
    </row>
    <row r="763" spans="1:9" x14ac:dyDescent="0.25">
      <c r="A763" t="s">
        <v>691</v>
      </c>
      <c r="B763">
        <v>38</v>
      </c>
      <c r="G763" t="b">
        <v>0</v>
      </c>
    </row>
    <row r="764" spans="1:9" x14ac:dyDescent="0.25">
      <c r="A764" t="s">
        <v>677</v>
      </c>
      <c r="B764">
        <v>39</v>
      </c>
      <c r="G764">
        <v>42</v>
      </c>
      <c r="H764">
        <v>36</v>
      </c>
      <c r="I764">
        <v>43</v>
      </c>
    </row>
    <row r="765" spans="1:9" x14ac:dyDescent="0.25">
      <c r="A765" t="s">
        <v>36</v>
      </c>
      <c r="B765">
        <v>39</v>
      </c>
      <c r="G765">
        <v>3</v>
      </c>
      <c r="H765">
        <v>5</v>
      </c>
      <c r="I765">
        <v>4</v>
      </c>
    </row>
    <row r="766" spans="1:9" x14ac:dyDescent="0.25">
      <c r="A766" t="s">
        <v>503</v>
      </c>
      <c r="B766">
        <v>39</v>
      </c>
      <c r="G766" t="s">
        <v>762</v>
      </c>
      <c r="H766" t="s">
        <v>741</v>
      </c>
      <c r="I766" t="s">
        <v>741</v>
      </c>
    </row>
    <row r="767" spans="1:9" x14ac:dyDescent="0.25">
      <c r="A767" t="s">
        <v>678</v>
      </c>
      <c r="B767">
        <v>39</v>
      </c>
      <c r="G767">
        <v>610</v>
      </c>
      <c r="H767">
        <v>5039</v>
      </c>
      <c r="I767">
        <v>1361</v>
      </c>
    </row>
    <row r="768" spans="1:9" x14ac:dyDescent="0.25">
      <c r="A768" t="s">
        <v>42</v>
      </c>
      <c r="B768">
        <v>39</v>
      </c>
      <c r="G768">
        <v>45</v>
      </c>
      <c r="H768">
        <v>55</v>
      </c>
      <c r="I768">
        <v>55</v>
      </c>
    </row>
    <row r="769" spans="1:10" x14ac:dyDescent="0.25">
      <c r="A769" t="s">
        <v>679</v>
      </c>
      <c r="B769">
        <v>39</v>
      </c>
      <c r="G769">
        <v>9.1999999999999993</v>
      </c>
      <c r="H769">
        <v>62.5</v>
      </c>
      <c r="I769">
        <v>16.899999999999999</v>
      </c>
    </row>
    <row r="770" spans="1:10" x14ac:dyDescent="0.25">
      <c r="A770" t="s">
        <v>41</v>
      </c>
      <c r="B770">
        <v>39</v>
      </c>
      <c r="G770">
        <v>0</v>
      </c>
      <c r="H770">
        <v>0</v>
      </c>
      <c r="I770">
        <v>0</v>
      </c>
    </row>
    <row r="771" spans="1:10" x14ac:dyDescent="0.25">
      <c r="A771" t="s">
        <v>680</v>
      </c>
      <c r="B771">
        <v>39</v>
      </c>
      <c r="G771">
        <v>24</v>
      </c>
      <c r="H771">
        <v>24</v>
      </c>
      <c r="I771">
        <v>24</v>
      </c>
    </row>
    <row r="772" spans="1:10" x14ac:dyDescent="0.25">
      <c r="A772" t="s">
        <v>563</v>
      </c>
      <c r="B772">
        <v>39</v>
      </c>
      <c r="G772">
        <v>0</v>
      </c>
      <c r="H772">
        <v>0</v>
      </c>
      <c r="I772">
        <v>0</v>
      </c>
    </row>
    <row r="773" spans="1:10" x14ac:dyDescent="0.25">
      <c r="A773" t="s">
        <v>681</v>
      </c>
      <c r="B773">
        <v>39</v>
      </c>
      <c r="G773">
        <v>0</v>
      </c>
      <c r="H773">
        <v>0</v>
      </c>
      <c r="I773">
        <v>0</v>
      </c>
    </row>
    <row r="774" spans="1:10" x14ac:dyDescent="0.25">
      <c r="A774" t="s">
        <v>682</v>
      </c>
      <c r="B774">
        <v>39</v>
      </c>
      <c r="G774">
        <v>16</v>
      </c>
      <c r="H774">
        <v>16</v>
      </c>
      <c r="I774">
        <v>16</v>
      </c>
    </row>
    <row r="775" spans="1:10" x14ac:dyDescent="0.25">
      <c r="A775" t="s">
        <v>683</v>
      </c>
      <c r="B775">
        <v>39</v>
      </c>
      <c r="G775">
        <v>583</v>
      </c>
      <c r="H775">
        <v>583</v>
      </c>
      <c r="I775">
        <v>583</v>
      </c>
    </row>
    <row r="776" spans="1:10" x14ac:dyDescent="0.25">
      <c r="A776" t="s">
        <v>684</v>
      </c>
      <c r="B776">
        <v>39</v>
      </c>
      <c r="G776">
        <v>1980</v>
      </c>
      <c r="H776">
        <v>2421</v>
      </c>
      <c r="I776">
        <v>2421</v>
      </c>
    </row>
    <row r="777" spans="1:10" x14ac:dyDescent="0.25">
      <c r="A777" t="s">
        <v>685</v>
      </c>
      <c r="B777">
        <v>39</v>
      </c>
      <c r="G777">
        <v>1320</v>
      </c>
      <c r="H777">
        <v>1614</v>
      </c>
      <c r="I777">
        <v>1614</v>
      </c>
    </row>
    <row r="778" spans="1:10" x14ac:dyDescent="0.25">
      <c r="A778" t="s">
        <v>686</v>
      </c>
      <c r="B778">
        <v>39</v>
      </c>
      <c r="G778">
        <v>2640</v>
      </c>
      <c r="H778">
        <v>3228</v>
      </c>
      <c r="I778">
        <v>3228</v>
      </c>
    </row>
    <row r="779" spans="1:10" x14ac:dyDescent="0.25">
      <c r="A779" t="s">
        <v>687</v>
      </c>
      <c r="B779">
        <v>39</v>
      </c>
    </row>
    <row r="780" spans="1:10" x14ac:dyDescent="0.25">
      <c r="A780" t="s">
        <v>688</v>
      </c>
      <c r="B780">
        <v>39</v>
      </c>
    </row>
    <row r="781" spans="1:10" x14ac:dyDescent="0.25">
      <c r="A781" t="s">
        <v>689</v>
      </c>
      <c r="B781">
        <v>39</v>
      </c>
    </row>
    <row r="782" spans="1:10" x14ac:dyDescent="0.25">
      <c r="A782" t="s">
        <v>690</v>
      </c>
      <c r="B782">
        <v>39</v>
      </c>
      <c r="G782" t="b">
        <v>0</v>
      </c>
      <c r="H782" t="b">
        <v>0</v>
      </c>
      <c r="I782" t="b">
        <v>0</v>
      </c>
    </row>
    <row r="783" spans="1:10" x14ac:dyDescent="0.25">
      <c r="A783" t="s">
        <v>691</v>
      </c>
      <c r="B783">
        <v>39</v>
      </c>
      <c r="G783" t="b">
        <v>0</v>
      </c>
      <c r="H783" t="b">
        <v>0</v>
      </c>
      <c r="I783" t="b">
        <v>0</v>
      </c>
    </row>
    <row r="784" spans="1:10" x14ac:dyDescent="0.25">
      <c r="A784" t="s">
        <v>677</v>
      </c>
      <c r="B784">
        <v>40</v>
      </c>
      <c r="J784">
        <v>36</v>
      </c>
    </row>
    <row r="785" spans="1:10" x14ac:dyDescent="0.25">
      <c r="A785" t="s">
        <v>36</v>
      </c>
      <c r="B785">
        <v>40</v>
      </c>
      <c r="J785">
        <v>2</v>
      </c>
    </row>
    <row r="786" spans="1:10" x14ac:dyDescent="0.25">
      <c r="A786" t="s">
        <v>503</v>
      </c>
      <c r="B786">
        <v>40</v>
      </c>
      <c r="J786" t="s">
        <v>760</v>
      </c>
    </row>
    <row r="787" spans="1:10" x14ac:dyDescent="0.25">
      <c r="A787" t="s">
        <v>678</v>
      </c>
      <c r="B787">
        <v>40</v>
      </c>
      <c r="J787">
        <v>640</v>
      </c>
    </row>
    <row r="788" spans="1:10" x14ac:dyDescent="0.25">
      <c r="A788" t="s">
        <v>42</v>
      </c>
      <c r="B788">
        <v>40</v>
      </c>
      <c r="J788">
        <v>30</v>
      </c>
    </row>
    <row r="789" spans="1:10" x14ac:dyDescent="0.25">
      <c r="A789" t="s">
        <v>679</v>
      </c>
      <c r="B789">
        <v>40</v>
      </c>
      <c r="J789">
        <v>14.5</v>
      </c>
    </row>
    <row r="790" spans="1:10" x14ac:dyDescent="0.25">
      <c r="A790" t="s">
        <v>41</v>
      </c>
      <c r="B790">
        <v>40</v>
      </c>
      <c r="J790">
        <v>0</v>
      </c>
    </row>
    <row r="791" spans="1:10" x14ac:dyDescent="0.25">
      <c r="A791" t="s">
        <v>680</v>
      </c>
      <c r="B791">
        <v>40</v>
      </c>
      <c r="J791">
        <v>12</v>
      </c>
    </row>
    <row r="792" spans="1:10" x14ac:dyDescent="0.25">
      <c r="A792" t="s">
        <v>563</v>
      </c>
      <c r="B792">
        <v>40</v>
      </c>
      <c r="J792">
        <v>0</v>
      </c>
    </row>
    <row r="793" spans="1:10" x14ac:dyDescent="0.25">
      <c r="A793" t="s">
        <v>681</v>
      </c>
      <c r="B793">
        <v>40</v>
      </c>
      <c r="J793">
        <v>0</v>
      </c>
    </row>
    <row r="794" spans="1:10" x14ac:dyDescent="0.25">
      <c r="A794" t="s">
        <v>682</v>
      </c>
      <c r="B794">
        <v>40</v>
      </c>
      <c r="J794">
        <v>16</v>
      </c>
    </row>
    <row r="795" spans="1:10" x14ac:dyDescent="0.25">
      <c r="A795" t="s">
        <v>683</v>
      </c>
      <c r="B795">
        <v>40</v>
      </c>
      <c r="J795">
        <v>200</v>
      </c>
    </row>
    <row r="796" spans="1:10" x14ac:dyDescent="0.25">
      <c r="A796" t="s">
        <v>684</v>
      </c>
      <c r="B796">
        <v>40</v>
      </c>
      <c r="J796">
        <v>1320</v>
      </c>
    </row>
    <row r="797" spans="1:10" x14ac:dyDescent="0.25">
      <c r="A797" t="s">
        <v>685</v>
      </c>
      <c r="B797">
        <v>40</v>
      </c>
      <c r="J797">
        <v>880</v>
      </c>
    </row>
    <row r="798" spans="1:10" x14ac:dyDescent="0.25">
      <c r="A798" t="s">
        <v>686</v>
      </c>
      <c r="B798">
        <v>40</v>
      </c>
      <c r="J798">
        <v>1760</v>
      </c>
    </row>
    <row r="799" spans="1:10" x14ac:dyDescent="0.25">
      <c r="A799" t="s">
        <v>687</v>
      </c>
      <c r="B799">
        <v>40</v>
      </c>
    </row>
    <row r="800" spans="1:10" x14ac:dyDescent="0.25">
      <c r="A800" t="s">
        <v>688</v>
      </c>
      <c r="B800">
        <v>40</v>
      </c>
    </row>
    <row r="801" spans="1:10" x14ac:dyDescent="0.25">
      <c r="A801" t="s">
        <v>689</v>
      </c>
      <c r="B801">
        <v>40</v>
      </c>
    </row>
    <row r="802" spans="1:10" x14ac:dyDescent="0.25">
      <c r="A802" t="s">
        <v>690</v>
      </c>
      <c r="B802">
        <v>40</v>
      </c>
      <c r="J802" t="b">
        <v>0</v>
      </c>
    </row>
    <row r="803" spans="1:10" x14ac:dyDescent="0.25">
      <c r="A803" t="s">
        <v>691</v>
      </c>
      <c r="B803">
        <v>40</v>
      </c>
      <c r="J803" t="b">
        <v>0</v>
      </c>
    </row>
    <row r="804" spans="1:10" x14ac:dyDescent="0.25">
      <c r="A804" t="s">
        <v>677</v>
      </c>
      <c r="B804">
        <v>41</v>
      </c>
      <c r="G804">
        <v>36</v>
      </c>
    </row>
    <row r="805" spans="1:10" x14ac:dyDescent="0.25">
      <c r="A805" t="s">
        <v>36</v>
      </c>
      <c r="B805">
        <v>41</v>
      </c>
      <c r="G805">
        <v>2</v>
      </c>
    </row>
    <row r="806" spans="1:10" x14ac:dyDescent="0.25">
      <c r="A806" t="s">
        <v>503</v>
      </c>
      <c r="B806">
        <v>41</v>
      </c>
      <c r="G806" t="s">
        <v>761</v>
      </c>
    </row>
    <row r="807" spans="1:10" x14ac:dyDescent="0.25">
      <c r="A807" t="s">
        <v>678</v>
      </c>
      <c r="B807">
        <v>41</v>
      </c>
      <c r="G807">
        <v>378</v>
      </c>
    </row>
    <row r="808" spans="1:10" x14ac:dyDescent="0.25">
      <c r="A808" t="s">
        <v>42</v>
      </c>
      <c r="B808">
        <v>41</v>
      </c>
      <c r="G808">
        <v>35</v>
      </c>
    </row>
    <row r="809" spans="1:10" x14ac:dyDescent="0.25">
      <c r="A809" t="s">
        <v>679</v>
      </c>
      <c r="B809">
        <v>41</v>
      </c>
      <c r="G809">
        <v>7.4</v>
      </c>
    </row>
    <row r="810" spans="1:10" x14ac:dyDescent="0.25">
      <c r="A810" t="s">
        <v>41</v>
      </c>
      <c r="B810">
        <v>41</v>
      </c>
      <c r="G810">
        <v>0</v>
      </c>
    </row>
    <row r="811" spans="1:10" x14ac:dyDescent="0.25">
      <c r="A811" t="s">
        <v>680</v>
      </c>
      <c r="B811">
        <v>41</v>
      </c>
      <c r="G811">
        <v>12</v>
      </c>
    </row>
    <row r="812" spans="1:10" x14ac:dyDescent="0.25">
      <c r="A812" t="s">
        <v>563</v>
      </c>
      <c r="B812">
        <v>41</v>
      </c>
      <c r="G812">
        <v>0</v>
      </c>
    </row>
    <row r="813" spans="1:10" x14ac:dyDescent="0.25">
      <c r="A813" t="s">
        <v>681</v>
      </c>
      <c r="B813">
        <v>41</v>
      </c>
      <c r="G813">
        <v>0</v>
      </c>
    </row>
    <row r="814" spans="1:10" x14ac:dyDescent="0.25">
      <c r="A814" t="s">
        <v>682</v>
      </c>
      <c r="B814">
        <v>41</v>
      </c>
      <c r="G814">
        <v>16</v>
      </c>
    </row>
    <row r="815" spans="1:10" x14ac:dyDescent="0.25">
      <c r="A815" t="s">
        <v>683</v>
      </c>
      <c r="B815">
        <v>41</v>
      </c>
      <c r="G815">
        <v>200</v>
      </c>
    </row>
    <row r="816" spans="1:10" x14ac:dyDescent="0.25">
      <c r="A816" t="s">
        <v>684</v>
      </c>
      <c r="B816">
        <v>41</v>
      </c>
      <c r="G816">
        <v>1539</v>
      </c>
    </row>
    <row r="817" spans="1:10" x14ac:dyDescent="0.25">
      <c r="A817" t="s">
        <v>685</v>
      </c>
      <c r="B817">
        <v>41</v>
      </c>
      <c r="G817">
        <v>1026</v>
      </c>
    </row>
    <row r="818" spans="1:10" x14ac:dyDescent="0.25">
      <c r="A818" t="s">
        <v>686</v>
      </c>
      <c r="B818">
        <v>41</v>
      </c>
      <c r="G818">
        <v>2052</v>
      </c>
    </row>
    <row r="819" spans="1:10" x14ac:dyDescent="0.25">
      <c r="A819" t="s">
        <v>687</v>
      </c>
      <c r="B819">
        <v>41</v>
      </c>
    </row>
    <row r="820" spans="1:10" x14ac:dyDescent="0.25">
      <c r="A820" t="s">
        <v>688</v>
      </c>
      <c r="B820">
        <v>41</v>
      </c>
    </row>
    <row r="821" spans="1:10" x14ac:dyDescent="0.25">
      <c r="A821" t="s">
        <v>689</v>
      </c>
      <c r="B821">
        <v>41</v>
      </c>
    </row>
    <row r="822" spans="1:10" x14ac:dyDescent="0.25">
      <c r="A822" t="s">
        <v>690</v>
      </c>
      <c r="B822">
        <v>41</v>
      </c>
      <c r="G822" t="b">
        <v>0</v>
      </c>
    </row>
    <row r="823" spans="1:10" x14ac:dyDescent="0.25">
      <c r="A823" t="s">
        <v>691</v>
      </c>
      <c r="B823">
        <v>41</v>
      </c>
      <c r="G823" t="b">
        <v>0</v>
      </c>
    </row>
    <row r="824" spans="1:10" x14ac:dyDescent="0.25">
      <c r="A824" t="s">
        <v>677</v>
      </c>
      <c r="B824">
        <v>42</v>
      </c>
      <c r="J824">
        <v>39</v>
      </c>
    </row>
    <row r="825" spans="1:10" x14ac:dyDescent="0.25">
      <c r="A825" t="s">
        <v>36</v>
      </c>
      <c r="B825">
        <v>42</v>
      </c>
      <c r="J825">
        <v>2</v>
      </c>
    </row>
    <row r="826" spans="1:10" x14ac:dyDescent="0.25">
      <c r="A826" t="s">
        <v>503</v>
      </c>
      <c r="B826">
        <v>42</v>
      </c>
      <c r="J826" t="s">
        <v>762</v>
      </c>
    </row>
    <row r="827" spans="1:10" x14ac:dyDescent="0.25">
      <c r="A827" t="s">
        <v>678</v>
      </c>
      <c r="B827">
        <v>42</v>
      </c>
      <c r="J827">
        <v>610</v>
      </c>
    </row>
    <row r="828" spans="1:10" x14ac:dyDescent="0.25">
      <c r="A828" t="s">
        <v>42</v>
      </c>
      <c r="B828">
        <v>42</v>
      </c>
      <c r="J828">
        <v>30</v>
      </c>
    </row>
    <row r="829" spans="1:10" x14ac:dyDescent="0.25">
      <c r="A829" t="s">
        <v>679</v>
      </c>
      <c r="B829">
        <v>42</v>
      </c>
      <c r="J829">
        <v>13.9</v>
      </c>
    </row>
    <row r="830" spans="1:10" x14ac:dyDescent="0.25">
      <c r="A830" t="s">
        <v>41</v>
      </c>
      <c r="B830">
        <v>42</v>
      </c>
      <c r="J830">
        <v>0</v>
      </c>
    </row>
    <row r="831" spans="1:10" x14ac:dyDescent="0.25">
      <c r="A831" t="s">
        <v>680</v>
      </c>
      <c r="B831">
        <v>42</v>
      </c>
      <c r="J831">
        <v>0</v>
      </c>
    </row>
    <row r="832" spans="1:10" x14ac:dyDescent="0.25">
      <c r="A832" t="s">
        <v>563</v>
      </c>
      <c r="B832">
        <v>42</v>
      </c>
      <c r="J832">
        <v>0</v>
      </c>
    </row>
    <row r="833" spans="1:10" x14ac:dyDescent="0.25">
      <c r="A833" t="s">
        <v>681</v>
      </c>
      <c r="B833">
        <v>42</v>
      </c>
      <c r="J833">
        <v>0</v>
      </c>
    </row>
    <row r="834" spans="1:10" x14ac:dyDescent="0.25">
      <c r="A834" t="s">
        <v>682</v>
      </c>
      <c r="B834">
        <v>42</v>
      </c>
      <c r="J834">
        <v>16</v>
      </c>
    </row>
    <row r="835" spans="1:10" x14ac:dyDescent="0.25">
      <c r="A835" t="s">
        <v>683</v>
      </c>
      <c r="B835">
        <v>42</v>
      </c>
      <c r="J835">
        <v>200</v>
      </c>
    </row>
    <row r="836" spans="1:10" x14ac:dyDescent="0.25">
      <c r="A836" t="s">
        <v>684</v>
      </c>
      <c r="B836">
        <v>42</v>
      </c>
      <c r="J836">
        <v>1320</v>
      </c>
    </row>
    <row r="837" spans="1:10" x14ac:dyDescent="0.25">
      <c r="A837" t="s">
        <v>685</v>
      </c>
      <c r="B837">
        <v>42</v>
      </c>
      <c r="J837">
        <v>880</v>
      </c>
    </row>
    <row r="838" spans="1:10" x14ac:dyDescent="0.25">
      <c r="A838" t="s">
        <v>686</v>
      </c>
      <c r="B838">
        <v>42</v>
      </c>
      <c r="J838">
        <v>1760</v>
      </c>
    </row>
    <row r="839" spans="1:10" x14ac:dyDescent="0.25">
      <c r="A839" t="s">
        <v>687</v>
      </c>
      <c r="B839">
        <v>42</v>
      </c>
    </row>
    <row r="840" spans="1:10" x14ac:dyDescent="0.25">
      <c r="A840" t="s">
        <v>688</v>
      </c>
      <c r="B840">
        <v>42</v>
      </c>
    </row>
    <row r="841" spans="1:10" x14ac:dyDescent="0.25">
      <c r="A841" t="s">
        <v>689</v>
      </c>
      <c r="B841">
        <v>42</v>
      </c>
    </row>
    <row r="842" spans="1:10" x14ac:dyDescent="0.25">
      <c r="A842" t="s">
        <v>690</v>
      </c>
      <c r="B842">
        <v>42</v>
      </c>
      <c r="J842" t="b">
        <v>0</v>
      </c>
    </row>
    <row r="843" spans="1:10" x14ac:dyDescent="0.25">
      <c r="A843" t="s">
        <v>691</v>
      </c>
      <c r="B843">
        <v>42</v>
      </c>
      <c r="J843" t="b">
        <v>0</v>
      </c>
    </row>
    <row r="844" spans="1:10" x14ac:dyDescent="0.25">
      <c r="A844" t="s">
        <v>677</v>
      </c>
      <c r="B844">
        <v>43</v>
      </c>
      <c r="G844">
        <v>45</v>
      </c>
      <c r="H844">
        <v>39</v>
      </c>
      <c r="I844">
        <v>44</v>
      </c>
    </row>
    <row r="845" spans="1:10" x14ac:dyDescent="0.25">
      <c r="A845" t="s">
        <v>36</v>
      </c>
      <c r="B845">
        <v>43</v>
      </c>
      <c r="G845">
        <v>3</v>
      </c>
      <c r="H845">
        <v>5</v>
      </c>
      <c r="I845">
        <v>4</v>
      </c>
    </row>
    <row r="846" spans="1:10" x14ac:dyDescent="0.25">
      <c r="A846" t="s">
        <v>503</v>
      </c>
      <c r="B846">
        <v>43</v>
      </c>
      <c r="G846" t="s">
        <v>763</v>
      </c>
      <c r="H846" t="s">
        <v>741</v>
      </c>
      <c r="I846" t="s">
        <v>741</v>
      </c>
    </row>
    <row r="847" spans="1:10" x14ac:dyDescent="0.25">
      <c r="A847" t="s">
        <v>678</v>
      </c>
      <c r="B847">
        <v>43</v>
      </c>
      <c r="G847">
        <v>666</v>
      </c>
      <c r="H847">
        <v>1361</v>
      </c>
      <c r="I847">
        <v>2677</v>
      </c>
    </row>
    <row r="848" spans="1:10" x14ac:dyDescent="0.25">
      <c r="A848" t="s">
        <v>42</v>
      </c>
      <c r="B848">
        <v>43</v>
      </c>
      <c r="G848">
        <v>45</v>
      </c>
      <c r="H848">
        <v>55</v>
      </c>
      <c r="I848">
        <v>55</v>
      </c>
    </row>
    <row r="849" spans="1:10" x14ac:dyDescent="0.25">
      <c r="A849" t="s">
        <v>679</v>
      </c>
      <c r="B849">
        <v>43</v>
      </c>
      <c r="G849">
        <v>10.1</v>
      </c>
      <c r="H849">
        <v>16.899999999999999</v>
      </c>
      <c r="I849">
        <v>33.200000000000003</v>
      </c>
    </row>
    <row r="850" spans="1:10" x14ac:dyDescent="0.25">
      <c r="A850" t="s">
        <v>41</v>
      </c>
      <c r="B850">
        <v>43</v>
      </c>
      <c r="G850">
        <v>0</v>
      </c>
      <c r="H850">
        <v>0</v>
      </c>
      <c r="I850">
        <v>0</v>
      </c>
    </row>
    <row r="851" spans="1:10" x14ac:dyDescent="0.25">
      <c r="A851" t="s">
        <v>680</v>
      </c>
      <c r="B851">
        <v>43</v>
      </c>
      <c r="G851">
        <v>24</v>
      </c>
      <c r="H851">
        <v>24</v>
      </c>
      <c r="I851">
        <v>24</v>
      </c>
    </row>
    <row r="852" spans="1:10" x14ac:dyDescent="0.25">
      <c r="A852" t="s">
        <v>563</v>
      </c>
      <c r="B852">
        <v>43</v>
      </c>
      <c r="G852">
        <v>0</v>
      </c>
      <c r="H852">
        <v>0</v>
      </c>
      <c r="I852">
        <v>0</v>
      </c>
    </row>
    <row r="853" spans="1:10" x14ac:dyDescent="0.25">
      <c r="A853" t="s">
        <v>681</v>
      </c>
      <c r="B853">
        <v>43</v>
      </c>
      <c r="G853">
        <v>0</v>
      </c>
      <c r="H853">
        <v>0</v>
      </c>
      <c r="I853">
        <v>0</v>
      </c>
    </row>
    <row r="854" spans="1:10" x14ac:dyDescent="0.25">
      <c r="A854" t="s">
        <v>682</v>
      </c>
      <c r="B854">
        <v>43</v>
      </c>
      <c r="G854">
        <v>16</v>
      </c>
      <c r="H854">
        <v>16</v>
      </c>
      <c r="I854">
        <v>16</v>
      </c>
    </row>
    <row r="855" spans="1:10" x14ac:dyDescent="0.25">
      <c r="A855" t="s">
        <v>683</v>
      </c>
      <c r="B855">
        <v>43</v>
      </c>
      <c r="G855">
        <v>583</v>
      </c>
      <c r="H855">
        <v>583</v>
      </c>
      <c r="I855">
        <v>583</v>
      </c>
    </row>
    <row r="856" spans="1:10" x14ac:dyDescent="0.25">
      <c r="A856" t="s">
        <v>684</v>
      </c>
      <c r="B856">
        <v>43</v>
      </c>
      <c r="G856">
        <v>1980</v>
      </c>
      <c r="H856">
        <v>2421</v>
      </c>
      <c r="I856">
        <v>2421</v>
      </c>
    </row>
    <row r="857" spans="1:10" x14ac:dyDescent="0.25">
      <c r="A857" t="s">
        <v>685</v>
      </c>
      <c r="B857">
        <v>43</v>
      </c>
      <c r="G857">
        <v>1320</v>
      </c>
      <c r="H857">
        <v>1614</v>
      </c>
      <c r="I857">
        <v>1614</v>
      </c>
    </row>
    <row r="858" spans="1:10" x14ac:dyDescent="0.25">
      <c r="A858" t="s">
        <v>686</v>
      </c>
      <c r="B858">
        <v>43</v>
      </c>
      <c r="G858">
        <v>2640</v>
      </c>
      <c r="H858">
        <v>3228</v>
      </c>
      <c r="I858">
        <v>3228</v>
      </c>
    </row>
    <row r="859" spans="1:10" x14ac:dyDescent="0.25">
      <c r="A859" t="s">
        <v>687</v>
      </c>
      <c r="B859">
        <v>43</v>
      </c>
    </row>
    <row r="860" spans="1:10" x14ac:dyDescent="0.25">
      <c r="A860" t="s">
        <v>688</v>
      </c>
      <c r="B860">
        <v>43</v>
      </c>
    </row>
    <row r="861" spans="1:10" x14ac:dyDescent="0.25">
      <c r="A861" t="s">
        <v>689</v>
      </c>
      <c r="B861">
        <v>43</v>
      </c>
    </row>
    <row r="862" spans="1:10" x14ac:dyDescent="0.25">
      <c r="A862" t="s">
        <v>690</v>
      </c>
      <c r="B862">
        <v>43</v>
      </c>
      <c r="G862" t="b">
        <v>0</v>
      </c>
      <c r="H862" t="b">
        <v>0</v>
      </c>
      <c r="I862" t="b">
        <v>0</v>
      </c>
    </row>
    <row r="863" spans="1:10" x14ac:dyDescent="0.25">
      <c r="A863" t="s">
        <v>691</v>
      </c>
      <c r="B863">
        <v>43</v>
      </c>
      <c r="G863" t="b">
        <v>0</v>
      </c>
      <c r="H863" t="b">
        <v>0</v>
      </c>
      <c r="I863" t="b">
        <v>0</v>
      </c>
    </row>
    <row r="864" spans="1:10" x14ac:dyDescent="0.25">
      <c r="A864" t="s">
        <v>677</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764</v>
      </c>
      <c r="H866" t="s">
        <v>741</v>
      </c>
      <c r="I866" t="s">
        <v>741</v>
      </c>
      <c r="J866" t="s">
        <v>764</v>
      </c>
    </row>
    <row r="867" spans="1:10" x14ac:dyDescent="0.25">
      <c r="A867" t="s">
        <v>678</v>
      </c>
      <c r="B867">
        <v>44</v>
      </c>
      <c r="G867">
        <v>385</v>
      </c>
      <c r="H867">
        <v>2677</v>
      </c>
      <c r="I867">
        <v>809</v>
      </c>
      <c r="J867">
        <v>601</v>
      </c>
    </row>
    <row r="868" spans="1:10" x14ac:dyDescent="0.25">
      <c r="A868" t="s">
        <v>42</v>
      </c>
      <c r="B868">
        <v>44</v>
      </c>
      <c r="G868">
        <v>30</v>
      </c>
      <c r="H868">
        <v>55</v>
      </c>
      <c r="I868">
        <v>55</v>
      </c>
      <c r="J868">
        <v>45</v>
      </c>
    </row>
    <row r="869" spans="1:10" x14ac:dyDescent="0.25">
      <c r="A869" t="s">
        <v>679</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680</v>
      </c>
      <c r="B871">
        <v>44</v>
      </c>
      <c r="G871">
        <v>24</v>
      </c>
      <c r="H871">
        <v>12</v>
      </c>
      <c r="I871">
        <v>12</v>
      </c>
      <c r="J871">
        <v>24</v>
      </c>
    </row>
    <row r="872" spans="1:10" x14ac:dyDescent="0.25">
      <c r="A872" t="s">
        <v>563</v>
      </c>
      <c r="B872">
        <v>44</v>
      </c>
      <c r="G872">
        <v>0</v>
      </c>
      <c r="H872">
        <v>0</v>
      </c>
      <c r="I872">
        <v>0</v>
      </c>
      <c r="J872">
        <v>0</v>
      </c>
    </row>
    <row r="873" spans="1:10" x14ac:dyDescent="0.25">
      <c r="A873" t="s">
        <v>681</v>
      </c>
      <c r="B873">
        <v>44</v>
      </c>
      <c r="G873">
        <v>0</v>
      </c>
      <c r="H873">
        <v>0</v>
      </c>
      <c r="I873">
        <v>0</v>
      </c>
      <c r="J873">
        <v>0</v>
      </c>
    </row>
    <row r="874" spans="1:10" x14ac:dyDescent="0.25">
      <c r="A874" t="s">
        <v>682</v>
      </c>
      <c r="B874">
        <v>44</v>
      </c>
      <c r="G874">
        <v>16</v>
      </c>
      <c r="H874">
        <v>16</v>
      </c>
      <c r="I874">
        <v>16</v>
      </c>
      <c r="J874">
        <v>16</v>
      </c>
    </row>
    <row r="875" spans="1:10" x14ac:dyDescent="0.25">
      <c r="A875" t="s">
        <v>683</v>
      </c>
      <c r="B875">
        <v>44</v>
      </c>
      <c r="G875">
        <v>708</v>
      </c>
      <c r="H875">
        <v>708</v>
      </c>
      <c r="I875">
        <v>708</v>
      </c>
      <c r="J875">
        <v>708</v>
      </c>
    </row>
    <row r="876" spans="1:10" x14ac:dyDescent="0.25">
      <c r="A876" t="s">
        <v>684</v>
      </c>
      <c r="B876">
        <v>44</v>
      </c>
      <c r="G876">
        <v>1320</v>
      </c>
      <c r="H876">
        <v>2421</v>
      </c>
      <c r="I876">
        <v>2421</v>
      </c>
      <c r="J876">
        <v>1980</v>
      </c>
    </row>
    <row r="877" spans="1:10" x14ac:dyDescent="0.25">
      <c r="A877" t="s">
        <v>685</v>
      </c>
      <c r="B877">
        <v>44</v>
      </c>
      <c r="G877">
        <v>880</v>
      </c>
      <c r="H877">
        <v>1614</v>
      </c>
      <c r="I877">
        <v>1614</v>
      </c>
      <c r="J877">
        <v>1320</v>
      </c>
    </row>
    <row r="878" spans="1:10" x14ac:dyDescent="0.25">
      <c r="A878" t="s">
        <v>686</v>
      </c>
      <c r="B878">
        <v>44</v>
      </c>
      <c r="G878">
        <v>1760</v>
      </c>
      <c r="H878">
        <v>3228</v>
      </c>
      <c r="I878">
        <v>3228</v>
      </c>
      <c r="J878">
        <v>2640</v>
      </c>
    </row>
    <row r="879" spans="1:10" x14ac:dyDescent="0.25">
      <c r="A879" t="s">
        <v>687</v>
      </c>
      <c r="B879">
        <v>44</v>
      </c>
    </row>
    <row r="880" spans="1:10" x14ac:dyDescent="0.25">
      <c r="A880" t="s">
        <v>688</v>
      </c>
      <c r="B880">
        <v>44</v>
      </c>
    </row>
    <row r="881" spans="1:10" x14ac:dyDescent="0.25">
      <c r="A881" t="s">
        <v>689</v>
      </c>
      <c r="B881">
        <v>44</v>
      </c>
    </row>
    <row r="882" spans="1:10" x14ac:dyDescent="0.25">
      <c r="A882" t="s">
        <v>690</v>
      </c>
      <c r="B882">
        <v>44</v>
      </c>
      <c r="G882" t="b">
        <v>0</v>
      </c>
      <c r="H882" t="b">
        <v>0</v>
      </c>
      <c r="I882" t="b">
        <v>0</v>
      </c>
      <c r="J882" t="b">
        <v>0</v>
      </c>
    </row>
    <row r="883" spans="1:10" x14ac:dyDescent="0.25">
      <c r="A883" t="s">
        <v>691</v>
      </c>
      <c r="B883">
        <v>44</v>
      </c>
      <c r="G883" t="b">
        <v>0</v>
      </c>
      <c r="H883" t="b">
        <v>0</v>
      </c>
      <c r="I883" t="b">
        <v>0</v>
      </c>
      <c r="J883" t="b">
        <v>0</v>
      </c>
    </row>
    <row r="884" spans="1:10" x14ac:dyDescent="0.25">
      <c r="A884" t="s">
        <v>677</v>
      </c>
      <c r="B884">
        <v>45</v>
      </c>
      <c r="J884">
        <v>43</v>
      </c>
    </row>
    <row r="885" spans="1:10" x14ac:dyDescent="0.25">
      <c r="A885" t="s">
        <v>36</v>
      </c>
      <c r="B885">
        <v>45</v>
      </c>
      <c r="J885">
        <v>2</v>
      </c>
    </row>
    <row r="886" spans="1:10" x14ac:dyDescent="0.25">
      <c r="A886" t="s">
        <v>503</v>
      </c>
      <c r="B886">
        <v>45</v>
      </c>
      <c r="J886" t="s">
        <v>763</v>
      </c>
    </row>
    <row r="887" spans="1:10" x14ac:dyDescent="0.25">
      <c r="A887" t="s">
        <v>678</v>
      </c>
      <c r="B887">
        <v>45</v>
      </c>
      <c r="J887">
        <v>666</v>
      </c>
    </row>
    <row r="888" spans="1:10" x14ac:dyDescent="0.25">
      <c r="A888" t="s">
        <v>42</v>
      </c>
      <c r="B888">
        <v>45</v>
      </c>
      <c r="J888">
        <v>30</v>
      </c>
    </row>
    <row r="889" spans="1:10" x14ac:dyDescent="0.25">
      <c r="A889" t="s">
        <v>679</v>
      </c>
      <c r="B889">
        <v>45</v>
      </c>
      <c r="J889">
        <v>15.1</v>
      </c>
    </row>
    <row r="890" spans="1:10" x14ac:dyDescent="0.25">
      <c r="A890" t="s">
        <v>41</v>
      </c>
      <c r="B890">
        <v>45</v>
      </c>
      <c r="J890">
        <v>0</v>
      </c>
    </row>
    <row r="891" spans="1:10" x14ac:dyDescent="0.25">
      <c r="A891" t="s">
        <v>680</v>
      </c>
      <c r="B891">
        <v>45</v>
      </c>
      <c r="J891">
        <v>0</v>
      </c>
    </row>
    <row r="892" spans="1:10" x14ac:dyDescent="0.25">
      <c r="A892" t="s">
        <v>563</v>
      </c>
      <c r="B892">
        <v>45</v>
      </c>
      <c r="J892">
        <v>0</v>
      </c>
    </row>
    <row r="893" spans="1:10" x14ac:dyDescent="0.25">
      <c r="A893" t="s">
        <v>681</v>
      </c>
      <c r="B893">
        <v>45</v>
      </c>
      <c r="J893">
        <v>0</v>
      </c>
    </row>
    <row r="894" spans="1:10" x14ac:dyDescent="0.25">
      <c r="A894" t="s">
        <v>682</v>
      </c>
      <c r="B894">
        <v>45</v>
      </c>
      <c r="J894">
        <v>16</v>
      </c>
    </row>
    <row r="895" spans="1:10" x14ac:dyDescent="0.25">
      <c r="A895" t="s">
        <v>683</v>
      </c>
      <c r="B895">
        <v>45</v>
      </c>
      <c r="J895">
        <v>200</v>
      </c>
    </row>
    <row r="896" spans="1:10" x14ac:dyDescent="0.25">
      <c r="A896" t="s">
        <v>684</v>
      </c>
      <c r="B896">
        <v>45</v>
      </c>
      <c r="J896">
        <v>1320</v>
      </c>
    </row>
    <row r="897" spans="1:10" x14ac:dyDescent="0.25">
      <c r="A897" t="s">
        <v>685</v>
      </c>
      <c r="B897">
        <v>45</v>
      </c>
      <c r="J897">
        <v>880</v>
      </c>
    </row>
    <row r="898" spans="1:10" x14ac:dyDescent="0.25">
      <c r="A898" t="s">
        <v>686</v>
      </c>
      <c r="B898">
        <v>45</v>
      </c>
      <c r="J898">
        <v>1760</v>
      </c>
    </row>
    <row r="899" spans="1:10" x14ac:dyDescent="0.25">
      <c r="A899" t="s">
        <v>687</v>
      </c>
      <c r="B899">
        <v>45</v>
      </c>
    </row>
    <row r="900" spans="1:10" x14ac:dyDescent="0.25">
      <c r="A900" t="s">
        <v>688</v>
      </c>
      <c r="B900">
        <v>45</v>
      </c>
    </row>
    <row r="901" spans="1:10" x14ac:dyDescent="0.25">
      <c r="A901" t="s">
        <v>689</v>
      </c>
      <c r="B901">
        <v>45</v>
      </c>
    </row>
    <row r="902" spans="1:10" x14ac:dyDescent="0.25">
      <c r="A902" t="s">
        <v>690</v>
      </c>
      <c r="B902">
        <v>45</v>
      </c>
      <c r="J902" t="b">
        <v>0</v>
      </c>
    </row>
    <row r="903" spans="1:10" x14ac:dyDescent="0.25">
      <c r="A903" t="s">
        <v>691</v>
      </c>
      <c r="B903">
        <v>45</v>
      </c>
      <c r="J903" t="b">
        <v>0</v>
      </c>
    </row>
    <row r="904" spans="1:10" x14ac:dyDescent="0.25">
      <c r="A904" t="s">
        <v>677</v>
      </c>
      <c r="B904">
        <v>46</v>
      </c>
      <c r="G904">
        <v>47</v>
      </c>
      <c r="H904">
        <v>21</v>
      </c>
      <c r="I904">
        <v>28</v>
      </c>
    </row>
    <row r="905" spans="1:10" x14ac:dyDescent="0.25">
      <c r="A905" t="s">
        <v>36</v>
      </c>
      <c r="B905">
        <v>46</v>
      </c>
      <c r="G905">
        <v>3</v>
      </c>
      <c r="H905">
        <v>4</v>
      </c>
      <c r="I905">
        <v>4</v>
      </c>
    </row>
    <row r="906" spans="1:10" x14ac:dyDescent="0.25">
      <c r="A906" t="s">
        <v>503</v>
      </c>
      <c r="B906">
        <v>46</v>
      </c>
      <c r="G906" t="s">
        <v>765</v>
      </c>
      <c r="H906" t="s">
        <v>741</v>
      </c>
      <c r="I906" t="s">
        <v>741</v>
      </c>
    </row>
    <row r="907" spans="1:10" x14ac:dyDescent="0.25">
      <c r="A907" t="s">
        <v>678</v>
      </c>
      <c r="B907">
        <v>46</v>
      </c>
      <c r="G907">
        <v>276</v>
      </c>
      <c r="H907">
        <v>906</v>
      </c>
      <c r="I907">
        <v>1161</v>
      </c>
    </row>
    <row r="908" spans="1:10" x14ac:dyDescent="0.25">
      <c r="A908" t="s">
        <v>42</v>
      </c>
      <c r="B908">
        <v>46</v>
      </c>
      <c r="G908">
        <v>25</v>
      </c>
      <c r="H908">
        <v>45</v>
      </c>
      <c r="I908">
        <v>45</v>
      </c>
    </row>
    <row r="909" spans="1:10" x14ac:dyDescent="0.25">
      <c r="A909" t="s">
        <v>679</v>
      </c>
      <c r="B909">
        <v>46</v>
      </c>
      <c r="G909">
        <v>7.5</v>
      </c>
      <c r="H909">
        <v>13.7</v>
      </c>
      <c r="I909">
        <v>17.600000000000001</v>
      </c>
    </row>
    <row r="910" spans="1:10" x14ac:dyDescent="0.25">
      <c r="A910" t="s">
        <v>41</v>
      </c>
      <c r="B910">
        <v>46</v>
      </c>
      <c r="G910">
        <v>0</v>
      </c>
      <c r="H910">
        <v>0</v>
      </c>
      <c r="I910">
        <v>0</v>
      </c>
    </row>
    <row r="911" spans="1:10" x14ac:dyDescent="0.25">
      <c r="A911" t="s">
        <v>680</v>
      </c>
      <c r="B911">
        <v>46</v>
      </c>
      <c r="G911">
        <v>24</v>
      </c>
      <c r="H911">
        <v>24</v>
      </c>
      <c r="I911">
        <v>24</v>
      </c>
    </row>
    <row r="912" spans="1:10" x14ac:dyDescent="0.25">
      <c r="A912" t="s">
        <v>563</v>
      </c>
      <c r="B912">
        <v>46</v>
      </c>
      <c r="G912">
        <v>0</v>
      </c>
      <c r="H912">
        <v>0</v>
      </c>
      <c r="I912">
        <v>0</v>
      </c>
    </row>
    <row r="913" spans="1:10" x14ac:dyDescent="0.25">
      <c r="A913" t="s">
        <v>681</v>
      </c>
      <c r="B913">
        <v>46</v>
      </c>
      <c r="G913">
        <v>0</v>
      </c>
      <c r="H913">
        <v>0</v>
      </c>
      <c r="I913">
        <v>0</v>
      </c>
    </row>
    <row r="914" spans="1:10" x14ac:dyDescent="0.25">
      <c r="A914" t="s">
        <v>682</v>
      </c>
      <c r="B914">
        <v>46</v>
      </c>
      <c r="G914">
        <v>16</v>
      </c>
      <c r="H914">
        <v>16</v>
      </c>
      <c r="I914">
        <v>16</v>
      </c>
    </row>
    <row r="915" spans="1:10" x14ac:dyDescent="0.25">
      <c r="A915" t="s">
        <v>683</v>
      </c>
      <c r="B915">
        <v>46</v>
      </c>
      <c r="G915">
        <v>583</v>
      </c>
      <c r="H915">
        <v>583</v>
      </c>
      <c r="I915">
        <v>583</v>
      </c>
    </row>
    <row r="916" spans="1:10" x14ac:dyDescent="0.25">
      <c r="A916" t="s">
        <v>684</v>
      </c>
      <c r="B916">
        <v>46</v>
      </c>
      <c r="G916">
        <v>1101</v>
      </c>
      <c r="H916">
        <v>1980</v>
      </c>
      <c r="I916">
        <v>1980</v>
      </c>
    </row>
    <row r="917" spans="1:10" x14ac:dyDescent="0.25">
      <c r="A917" t="s">
        <v>685</v>
      </c>
      <c r="B917">
        <v>46</v>
      </c>
      <c r="G917">
        <v>734</v>
      </c>
      <c r="H917">
        <v>1320</v>
      </c>
      <c r="I917">
        <v>1320</v>
      </c>
    </row>
    <row r="918" spans="1:10" x14ac:dyDescent="0.25">
      <c r="A918" t="s">
        <v>686</v>
      </c>
      <c r="B918">
        <v>46</v>
      </c>
      <c r="G918">
        <v>1468</v>
      </c>
      <c r="H918">
        <v>2640</v>
      </c>
      <c r="I918">
        <v>2640</v>
      </c>
    </row>
    <row r="919" spans="1:10" x14ac:dyDescent="0.25">
      <c r="A919" t="s">
        <v>687</v>
      </c>
      <c r="B919">
        <v>46</v>
      </c>
    </row>
    <row r="920" spans="1:10" x14ac:dyDescent="0.25">
      <c r="A920" t="s">
        <v>688</v>
      </c>
      <c r="B920">
        <v>46</v>
      </c>
    </row>
    <row r="921" spans="1:10" x14ac:dyDescent="0.25">
      <c r="A921" t="s">
        <v>689</v>
      </c>
      <c r="B921">
        <v>46</v>
      </c>
    </row>
    <row r="922" spans="1:10" x14ac:dyDescent="0.25">
      <c r="A922" t="s">
        <v>690</v>
      </c>
      <c r="B922">
        <v>46</v>
      </c>
      <c r="G922" t="b">
        <v>0</v>
      </c>
      <c r="H922" t="b">
        <v>0</v>
      </c>
      <c r="I922" t="b">
        <v>0</v>
      </c>
    </row>
    <row r="923" spans="1:10" x14ac:dyDescent="0.25">
      <c r="A923" t="s">
        <v>691</v>
      </c>
      <c r="B923">
        <v>46</v>
      </c>
      <c r="G923" t="b">
        <v>0</v>
      </c>
      <c r="H923" t="b">
        <v>0</v>
      </c>
      <c r="I923" t="b">
        <v>0</v>
      </c>
    </row>
    <row r="924" spans="1:10" x14ac:dyDescent="0.25">
      <c r="A924" t="s">
        <v>677</v>
      </c>
      <c r="B924">
        <v>47</v>
      </c>
      <c r="J924">
        <v>46</v>
      </c>
    </row>
    <row r="925" spans="1:10" x14ac:dyDescent="0.25">
      <c r="A925" t="s">
        <v>36</v>
      </c>
      <c r="B925">
        <v>47</v>
      </c>
      <c r="J925" t="s">
        <v>692</v>
      </c>
    </row>
    <row r="926" spans="1:10" x14ac:dyDescent="0.25">
      <c r="A926" t="s">
        <v>503</v>
      </c>
      <c r="B926">
        <v>47</v>
      </c>
      <c r="J926" t="s">
        <v>765</v>
      </c>
    </row>
    <row r="927" spans="1:10" x14ac:dyDescent="0.25">
      <c r="A927" t="s">
        <v>678</v>
      </c>
      <c r="B927">
        <v>47</v>
      </c>
      <c r="J927">
        <v>276</v>
      </c>
    </row>
    <row r="928" spans="1:10" x14ac:dyDescent="0.25">
      <c r="A928" t="s">
        <v>42</v>
      </c>
      <c r="B928">
        <v>47</v>
      </c>
      <c r="J928">
        <v>30</v>
      </c>
    </row>
    <row r="929" spans="1:10" x14ac:dyDescent="0.25">
      <c r="A929" t="s">
        <v>679</v>
      </c>
      <c r="B929">
        <v>47</v>
      </c>
      <c r="J929">
        <v>6.3</v>
      </c>
    </row>
    <row r="930" spans="1:10" x14ac:dyDescent="0.25">
      <c r="A930" t="s">
        <v>41</v>
      </c>
      <c r="B930">
        <v>47</v>
      </c>
      <c r="J930">
        <v>0</v>
      </c>
    </row>
    <row r="931" spans="1:10" x14ac:dyDescent="0.25">
      <c r="A931" t="s">
        <v>680</v>
      </c>
      <c r="B931">
        <v>47</v>
      </c>
      <c r="J931">
        <v>0</v>
      </c>
    </row>
    <row r="932" spans="1:10" x14ac:dyDescent="0.25">
      <c r="A932" t="s">
        <v>563</v>
      </c>
      <c r="B932">
        <v>47</v>
      </c>
      <c r="J932">
        <v>0</v>
      </c>
    </row>
    <row r="933" spans="1:10" x14ac:dyDescent="0.25">
      <c r="A933" t="s">
        <v>681</v>
      </c>
      <c r="B933">
        <v>47</v>
      </c>
      <c r="J933">
        <v>0</v>
      </c>
    </row>
    <row r="934" spans="1:10" x14ac:dyDescent="0.25">
      <c r="A934" t="s">
        <v>682</v>
      </c>
      <c r="B934">
        <v>47</v>
      </c>
      <c r="J934">
        <v>16</v>
      </c>
    </row>
    <row r="935" spans="1:10" x14ac:dyDescent="0.25">
      <c r="A935" t="s">
        <v>683</v>
      </c>
      <c r="B935">
        <v>47</v>
      </c>
      <c r="J935">
        <v>200</v>
      </c>
    </row>
    <row r="936" spans="1:10" x14ac:dyDescent="0.25">
      <c r="A936" t="s">
        <v>684</v>
      </c>
      <c r="B936">
        <v>47</v>
      </c>
      <c r="J936">
        <v>1320</v>
      </c>
    </row>
    <row r="937" spans="1:10" x14ac:dyDescent="0.25">
      <c r="A937" t="s">
        <v>685</v>
      </c>
      <c r="B937">
        <v>47</v>
      </c>
      <c r="J937">
        <v>880</v>
      </c>
    </row>
    <row r="938" spans="1:10" x14ac:dyDescent="0.25">
      <c r="A938" t="s">
        <v>686</v>
      </c>
      <c r="B938">
        <v>47</v>
      </c>
      <c r="J938">
        <v>1760</v>
      </c>
    </row>
    <row r="939" spans="1:10" x14ac:dyDescent="0.25">
      <c r="A939" t="s">
        <v>687</v>
      </c>
      <c r="B939">
        <v>47</v>
      </c>
    </row>
    <row r="940" spans="1:10" x14ac:dyDescent="0.25">
      <c r="A940" t="s">
        <v>688</v>
      </c>
      <c r="B940">
        <v>47</v>
      </c>
    </row>
    <row r="941" spans="1:10" x14ac:dyDescent="0.25">
      <c r="A941" t="s">
        <v>689</v>
      </c>
      <c r="B941">
        <v>47</v>
      </c>
    </row>
    <row r="942" spans="1:10" x14ac:dyDescent="0.25">
      <c r="A942" t="s">
        <v>690</v>
      </c>
      <c r="B942">
        <v>47</v>
      </c>
      <c r="J942" t="b">
        <v>0</v>
      </c>
    </row>
    <row r="943" spans="1:10" x14ac:dyDescent="0.25">
      <c r="A943" t="s">
        <v>691</v>
      </c>
      <c r="B943">
        <v>47</v>
      </c>
      <c r="J943" t="b">
        <v>0</v>
      </c>
    </row>
    <row r="944" spans="1:10" x14ac:dyDescent="0.25">
      <c r="A944" t="s">
        <v>677</v>
      </c>
      <c r="B944">
        <v>48</v>
      </c>
      <c r="D944">
        <v>25</v>
      </c>
    </row>
    <row r="945" spans="1:4" x14ac:dyDescent="0.25">
      <c r="A945" t="s">
        <v>36</v>
      </c>
      <c r="B945">
        <v>48</v>
      </c>
      <c r="D945">
        <v>1</v>
      </c>
    </row>
    <row r="946" spans="1:4" x14ac:dyDescent="0.25">
      <c r="A946" t="s">
        <v>503</v>
      </c>
      <c r="B946">
        <v>48</v>
      </c>
      <c r="D946" t="s">
        <v>753</v>
      </c>
    </row>
    <row r="947" spans="1:4" x14ac:dyDescent="0.25">
      <c r="A947" t="s">
        <v>678</v>
      </c>
      <c r="B947">
        <v>48</v>
      </c>
      <c r="D947">
        <v>656</v>
      </c>
    </row>
    <row r="948" spans="1:4" x14ac:dyDescent="0.25">
      <c r="A948" t="s">
        <v>42</v>
      </c>
      <c r="B948">
        <v>48</v>
      </c>
      <c r="D948">
        <v>30</v>
      </c>
    </row>
    <row r="949" spans="1:4" x14ac:dyDescent="0.25">
      <c r="A949" t="s">
        <v>679</v>
      </c>
      <c r="B949">
        <v>48</v>
      </c>
      <c r="D949">
        <v>14.9</v>
      </c>
    </row>
    <row r="950" spans="1:4" x14ac:dyDescent="0.25">
      <c r="A950" t="s">
        <v>41</v>
      </c>
      <c r="B950">
        <v>48</v>
      </c>
      <c r="D950">
        <v>0</v>
      </c>
    </row>
    <row r="951" spans="1:4" x14ac:dyDescent="0.25">
      <c r="A951" t="s">
        <v>680</v>
      </c>
      <c r="B951">
        <v>48</v>
      </c>
      <c r="D951">
        <v>0</v>
      </c>
    </row>
    <row r="952" spans="1:4" x14ac:dyDescent="0.25">
      <c r="A952" t="s">
        <v>563</v>
      </c>
      <c r="B952">
        <v>48</v>
      </c>
      <c r="D952">
        <v>0</v>
      </c>
    </row>
    <row r="953" spans="1:4" x14ac:dyDescent="0.25">
      <c r="A953" t="s">
        <v>681</v>
      </c>
      <c r="B953">
        <v>48</v>
      </c>
      <c r="D953">
        <v>0</v>
      </c>
    </row>
    <row r="954" spans="1:4" x14ac:dyDescent="0.25">
      <c r="A954" t="s">
        <v>682</v>
      </c>
      <c r="B954">
        <v>48</v>
      </c>
      <c r="D954">
        <v>16</v>
      </c>
    </row>
    <row r="955" spans="1:4" x14ac:dyDescent="0.25">
      <c r="A955" t="s">
        <v>683</v>
      </c>
      <c r="B955">
        <v>48</v>
      </c>
      <c r="D955">
        <v>200</v>
      </c>
    </row>
    <row r="956" spans="1:4" x14ac:dyDescent="0.25">
      <c r="A956" t="s">
        <v>684</v>
      </c>
      <c r="B956">
        <v>48</v>
      </c>
      <c r="D956">
        <v>1320</v>
      </c>
    </row>
    <row r="957" spans="1:4" x14ac:dyDescent="0.25">
      <c r="A957" t="s">
        <v>685</v>
      </c>
      <c r="B957">
        <v>48</v>
      </c>
      <c r="D957">
        <v>880</v>
      </c>
    </row>
    <row r="958" spans="1:4" x14ac:dyDescent="0.25">
      <c r="A958" t="s">
        <v>686</v>
      </c>
      <c r="B958">
        <v>48</v>
      </c>
      <c r="D958">
        <v>1760</v>
      </c>
    </row>
    <row r="959" spans="1:4" x14ac:dyDescent="0.25">
      <c r="A959" t="s">
        <v>687</v>
      </c>
      <c r="B959">
        <v>48</v>
      </c>
    </row>
    <row r="960" spans="1:4" x14ac:dyDescent="0.25">
      <c r="A960" t="s">
        <v>688</v>
      </c>
      <c r="B960">
        <v>48</v>
      </c>
    </row>
    <row r="961" spans="1:9" x14ac:dyDescent="0.25">
      <c r="A961" t="s">
        <v>689</v>
      </c>
      <c r="B961">
        <v>48</v>
      </c>
    </row>
    <row r="962" spans="1:9" x14ac:dyDescent="0.25">
      <c r="A962" t="s">
        <v>690</v>
      </c>
      <c r="B962">
        <v>48</v>
      </c>
      <c r="D962" t="b">
        <v>0</v>
      </c>
    </row>
    <row r="963" spans="1:9" x14ac:dyDescent="0.25">
      <c r="A963" t="s">
        <v>691</v>
      </c>
      <c r="B963">
        <v>48</v>
      </c>
      <c r="D963" t="b">
        <v>0</v>
      </c>
    </row>
    <row r="964" spans="1:9" x14ac:dyDescent="0.25">
      <c r="A964" t="s">
        <v>677</v>
      </c>
      <c r="B964">
        <v>49</v>
      </c>
      <c r="G964">
        <v>50</v>
      </c>
      <c r="H964">
        <v>13</v>
      </c>
      <c r="I964">
        <v>17</v>
      </c>
    </row>
    <row r="965" spans="1:9" x14ac:dyDescent="0.25">
      <c r="A965" t="s">
        <v>36</v>
      </c>
      <c r="B965">
        <v>49</v>
      </c>
      <c r="G965">
        <v>2</v>
      </c>
      <c r="H965">
        <v>4</v>
      </c>
      <c r="I965">
        <v>3</v>
      </c>
    </row>
    <row r="966" spans="1:9" x14ac:dyDescent="0.25">
      <c r="A966" t="s">
        <v>503</v>
      </c>
      <c r="B966">
        <v>49</v>
      </c>
      <c r="G966" t="s">
        <v>766</v>
      </c>
      <c r="H966" t="s">
        <v>741</v>
      </c>
      <c r="I966" t="s">
        <v>741</v>
      </c>
    </row>
    <row r="967" spans="1:9" x14ac:dyDescent="0.25">
      <c r="A967" t="s">
        <v>678</v>
      </c>
      <c r="B967">
        <v>49</v>
      </c>
      <c r="G967">
        <v>299</v>
      </c>
      <c r="H967">
        <v>2934</v>
      </c>
      <c r="I967">
        <v>4063</v>
      </c>
    </row>
    <row r="968" spans="1:9" x14ac:dyDescent="0.25">
      <c r="A968" t="s">
        <v>42</v>
      </c>
      <c r="B968">
        <v>49</v>
      </c>
      <c r="G968">
        <v>30</v>
      </c>
      <c r="H968">
        <v>45</v>
      </c>
      <c r="I968">
        <v>45</v>
      </c>
    </row>
    <row r="969" spans="1:9" x14ac:dyDescent="0.25">
      <c r="A969" t="s">
        <v>679</v>
      </c>
      <c r="B969">
        <v>49</v>
      </c>
      <c r="G969">
        <v>6.8</v>
      </c>
      <c r="H969">
        <v>44.5</v>
      </c>
      <c r="I969">
        <v>61.6</v>
      </c>
    </row>
    <row r="970" spans="1:9" x14ac:dyDescent="0.25">
      <c r="A970" t="s">
        <v>41</v>
      </c>
      <c r="B970">
        <v>49</v>
      </c>
      <c r="G970">
        <v>0</v>
      </c>
      <c r="H970">
        <v>0</v>
      </c>
      <c r="I970">
        <v>0</v>
      </c>
    </row>
    <row r="971" spans="1:9" x14ac:dyDescent="0.25">
      <c r="A971" t="s">
        <v>680</v>
      </c>
      <c r="B971">
        <v>49</v>
      </c>
      <c r="G971">
        <v>12</v>
      </c>
      <c r="H971">
        <v>24</v>
      </c>
      <c r="I971">
        <v>24</v>
      </c>
    </row>
    <row r="972" spans="1:9" x14ac:dyDescent="0.25">
      <c r="A972" t="s">
        <v>563</v>
      </c>
      <c r="B972">
        <v>49</v>
      </c>
      <c r="G972">
        <v>0</v>
      </c>
      <c r="H972">
        <v>0</v>
      </c>
      <c r="I972">
        <v>0</v>
      </c>
    </row>
    <row r="973" spans="1:9" x14ac:dyDescent="0.25">
      <c r="A973" t="s">
        <v>681</v>
      </c>
      <c r="B973">
        <v>49</v>
      </c>
      <c r="G973">
        <v>0</v>
      </c>
      <c r="H973">
        <v>0</v>
      </c>
      <c r="I973">
        <v>0</v>
      </c>
    </row>
    <row r="974" spans="1:9" x14ac:dyDescent="0.25">
      <c r="A974" t="s">
        <v>682</v>
      </c>
      <c r="B974">
        <v>49</v>
      </c>
      <c r="G974">
        <v>16</v>
      </c>
      <c r="H974">
        <v>16</v>
      </c>
      <c r="I974">
        <v>16</v>
      </c>
    </row>
    <row r="975" spans="1:9" x14ac:dyDescent="0.25">
      <c r="A975" t="s">
        <v>683</v>
      </c>
      <c r="B975">
        <v>49</v>
      </c>
      <c r="G975">
        <v>583</v>
      </c>
      <c r="H975">
        <v>583</v>
      </c>
      <c r="I975">
        <v>583</v>
      </c>
    </row>
    <row r="976" spans="1:9" x14ac:dyDescent="0.25">
      <c r="A976" t="s">
        <v>684</v>
      </c>
      <c r="B976">
        <v>49</v>
      </c>
      <c r="G976">
        <v>1320</v>
      </c>
      <c r="H976">
        <v>1980</v>
      </c>
      <c r="I976">
        <v>1980</v>
      </c>
    </row>
    <row r="977" spans="1:10" x14ac:dyDescent="0.25">
      <c r="A977" t="s">
        <v>685</v>
      </c>
      <c r="B977">
        <v>49</v>
      </c>
      <c r="G977">
        <v>880</v>
      </c>
      <c r="H977">
        <v>1320</v>
      </c>
      <c r="I977">
        <v>1320</v>
      </c>
    </row>
    <row r="978" spans="1:10" x14ac:dyDescent="0.25">
      <c r="A978" t="s">
        <v>686</v>
      </c>
      <c r="B978">
        <v>49</v>
      </c>
      <c r="G978">
        <v>1760</v>
      </c>
      <c r="H978">
        <v>2640</v>
      </c>
      <c r="I978">
        <v>2640</v>
      </c>
    </row>
    <row r="979" spans="1:10" x14ac:dyDescent="0.25">
      <c r="A979" t="s">
        <v>687</v>
      </c>
      <c r="B979">
        <v>49</v>
      </c>
      <c r="G979">
        <v>-361676</v>
      </c>
    </row>
    <row r="980" spans="1:10" x14ac:dyDescent="0.25">
      <c r="A980" t="s">
        <v>688</v>
      </c>
      <c r="B980">
        <v>49</v>
      </c>
      <c r="G980">
        <v>16455</v>
      </c>
    </row>
    <row r="981" spans="1:10" x14ac:dyDescent="0.25">
      <c r="A981" t="s">
        <v>689</v>
      </c>
      <c r="B981">
        <v>49</v>
      </c>
      <c r="G981">
        <v>0</v>
      </c>
    </row>
    <row r="982" spans="1:10" x14ac:dyDescent="0.25">
      <c r="A982" t="s">
        <v>690</v>
      </c>
      <c r="B982">
        <v>49</v>
      </c>
      <c r="G982" t="b">
        <v>0</v>
      </c>
      <c r="H982" t="b">
        <v>0</v>
      </c>
      <c r="I982" t="b">
        <v>0</v>
      </c>
    </row>
    <row r="983" spans="1:10" x14ac:dyDescent="0.25">
      <c r="A983" t="s">
        <v>691</v>
      </c>
      <c r="B983">
        <v>49</v>
      </c>
      <c r="G983" t="b">
        <v>0</v>
      </c>
      <c r="H983" t="b">
        <v>0</v>
      </c>
      <c r="I983" t="b">
        <v>0</v>
      </c>
    </row>
    <row r="984" spans="1:10" x14ac:dyDescent="0.25">
      <c r="A984" t="s">
        <v>677</v>
      </c>
      <c r="B984">
        <v>50</v>
      </c>
      <c r="J984">
        <v>49</v>
      </c>
    </row>
    <row r="985" spans="1:10" x14ac:dyDescent="0.25">
      <c r="A985" t="s">
        <v>36</v>
      </c>
      <c r="B985">
        <v>50</v>
      </c>
      <c r="J985">
        <v>1</v>
      </c>
    </row>
    <row r="986" spans="1:10" x14ac:dyDescent="0.25">
      <c r="A986" t="s">
        <v>503</v>
      </c>
      <c r="B986">
        <v>50</v>
      </c>
      <c r="J986" t="s">
        <v>766</v>
      </c>
    </row>
    <row r="987" spans="1:10" x14ac:dyDescent="0.25">
      <c r="A987" t="s">
        <v>678</v>
      </c>
      <c r="B987">
        <v>50</v>
      </c>
      <c r="J987">
        <v>299</v>
      </c>
    </row>
    <row r="988" spans="1:10" x14ac:dyDescent="0.25">
      <c r="A988" t="s">
        <v>42</v>
      </c>
      <c r="B988">
        <v>50</v>
      </c>
      <c r="J988">
        <v>30</v>
      </c>
    </row>
    <row r="989" spans="1:10" x14ac:dyDescent="0.25">
      <c r="A989" t="s">
        <v>679</v>
      </c>
      <c r="B989">
        <v>50</v>
      </c>
      <c r="J989">
        <v>6.8</v>
      </c>
    </row>
    <row r="990" spans="1:10" x14ac:dyDescent="0.25">
      <c r="A990" t="s">
        <v>41</v>
      </c>
      <c r="B990">
        <v>50</v>
      </c>
      <c r="J990">
        <v>0</v>
      </c>
    </row>
    <row r="991" spans="1:10" x14ac:dyDescent="0.25">
      <c r="A991" t="s">
        <v>680</v>
      </c>
      <c r="B991">
        <v>50</v>
      </c>
      <c r="J991">
        <v>12</v>
      </c>
    </row>
    <row r="992" spans="1:10" x14ac:dyDescent="0.25">
      <c r="A992" t="s">
        <v>563</v>
      </c>
      <c r="B992">
        <v>50</v>
      </c>
      <c r="J992">
        <v>0</v>
      </c>
    </row>
    <row r="993" spans="1:10" x14ac:dyDescent="0.25">
      <c r="A993" t="s">
        <v>681</v>
      </c>
      <c r="B993">
        <v>50</v>
      </c>
      <c r="J993">
        <v>0</v>
      </c>
    </row>
    <row r="994" spans="1:10" x14ac:dyDescent="0.25">
      <c r="A994" t="s">
        <v>682</v>
      </c>
      <c r="B994">
        <v>50</v>
      </c>
      <c r="J994">
        <v>16</v>
      </c>
    </row>
    <row r="995" spans="1:10" x14ac:dyDescent="0.25">
      <c r="A995" t="s">
        <v>683</v>
      </c>
      <c r="B995">
        <v>50</v>
      </c>
      <c r="J995">
        <v>200</v>
      </c>
    </row>
    <row r="996" spans="1:10" x14ac:dyDescent="0.25">
      <c r="A996" t="s">
        <v>684</v>
      </c>
      <c r="B996">
        <v>50</v>
      </c>
      <c r="J996">
        <v>1320</v>
      </c>
    </row>
    <row r="997" spans="1:10" x14ac:dyDescent="0.25">
      <c r="A997" t="s">
        <v>685</v>
      </c>
      <c r="B997">
        <v>50</v>
      </c>
      <c r="J997">
        <v>880</v>
      </c>
    </row>
    <row r="998" spans="1:10" x14ac:dyDescent="0.25">
      <c r="A998" t="s">
        <v>686</v>
      </c>
      <c r="B998">
        <v>50</v>
      </c>
      <c r="J998">
        <v>1760</v>
      </c>
    </row>
    <row r="999" spans="1:10" x14ac:dyDescent="0.25">
      <c r="A999" t="s">
        <v>687</v>
      </c>
      <c r="B999">
        <v>50</v>
      </c>
      <c r="J999">
        <v>-361742</v>
      </c>
    </row>
    <row r="1000" spans="1:10" x14ac:dyDescent="0.25">
      <c r="A1000" t="s">
        <v>688</v>
      </c>
      <c r="B1000">
        <v>50</v>
      </c>
      <c r="J1000">
        <v>16380</v>
      </c>
    </row>
    <row r="1001" spans="1:10" x14ac:dyDescent="0.25">
      <c r="A1001" t="s">
        <v>689</v>
      </c>
      <c r="B1001">
        <v>50</v>
      </c>
      <c r="J1001">
        <v>0</v>
      </c>
    </row>
    <row r="1002" spans="1:10" x14ac:dyDescent="0.25">
      <c r="A1002" t="s">
        <v>690</v>
      </c>
      <c r="B1002">
        <v>50</v>
      </c>
      <c r="J1002" t="b">
        <v>0</v>
      </c>
    </row>
    <row r="1003" spans="1:10" x14ac:dyDescent="0.25">
      <c r="A1003" t="s">
        <v>691</v>
      </c>
      <c r="B1003">
        <v>50</v>
      </c>
      <c r="J1003" t="b">
        <v>0</v>
      </c>
    </row>
    <row r="1004" spans="1:10" x14ac:dyDescent="0.25">
      <c r="A1004" t="s">
        <v>677</v>
      </c>
      <c r="B1004">
        <v>51</v>
      </c>
      <c r="J1004">
        <v>44</v>
      </c>
    </row>
    <row r="1005" spans="1:10" x14ac:dyDescent="0.25">
      <c r="A1005" t="s">
        <v>36</v>
      </c>
      <c r="B1005">
        <v>51</v>
      </c>
      <c r="J1005">
        <v>1</v>
      </c>
    </row>
    <row r="1006" spans="1:10" x14ac:dyDescent="0.25">
      <c r="A1006" t="s">
        <v>503</v>
      </c>
      <c r="B1006">
        <v>51</v>
      </c>
      <c r="J1006" t="s">
        <v>764</v>
      </c>
    </row>
    <row r="1007" spans="1:10" x14ac:dyDescent="0.25">
      <c r="A1007" t="s">
        <v>678</v>
      </c>
      <c r="B1007">
        <v>51</v>
      </c>
      <c r="J1007">
        <v>385</v>
      </c>
    </row>
    <row r="1008" spans="1:10" x14ac:dyDescent="0.25">
      <c r="A1008" t="s">
        <v>42</v>
      </c>
      <c r="B1008">
        <v>51</v>
      </c>
      <c r="J1008">
        <v>30</v>
      </c>
    </row>
    <row r="1009" spans="1:10" x14ac:dyDescent="0.25">
      <c r="A1009" t="s">
        <v>679</v>
      </c>
      <c r="B1009">
        <v>51</v>
      </c>
      <c r="J1009">
        <v>8.8000000000000007</v>
      </c>
    </row>
    <row r="1010" spans="1:10" x14ac:dyDescent="0.25">
      <c r="A1010" t="s">
        <v>41</v>
      </c>
      <c r="B1010">
        <v>51</v>
      </c>
      <c r="J1010">
        <v>0</v>
      </c>
    </row>
    <row r="1011" spans="1:10" x14ac:dyDescent="0.25">
      <c r="A1011" t="s">
        <v>680</v>
      </c>
      <c r="B1011">
        <v>51</v>
      </c>
      <c r="J1011">
        <v>12</v>
      </c>
    </row>
    <row r="1012" spans="1:10" x14ac:dyDescent="0.25">
      <c r="A1012" t="s">
        <v>563</v>
      </c>
      <c r="B1012">
        <v>51</v>
      </c>
      <c r="J1012">
        <v>0</v>
      </c>
    </row>
    <row r="1013" spans="1:10" x14ac:dyDescent="0.25">
      <c r="A1013" t="s">
        <v>681</v>
      </c>
      <c r="B1013">
        <v>51</v>
      </c>
      <c r="J1013">
        <v>0</v>
      </c>
    </row>
    <row r="1014" spans="1:10" x14ac:dyDescent="0.25">
      <c r="A1014" t="s">
        <v>682</v>
      </c>
      <c r="B1014">
        <v>51</v>
      </c>
      <c r="J1014">
        <v>16</v>
      </c>
    </row>
    <row r="1015" spans="1:10" x14ac:dyDescent="0.25">
      <c r="A1015" t="s">
        <v>683</v>
      </c>
      <c r="B1015">
        <v>51</v>
      </c>
      <c r="J1015">
        <v>200</v>
      </c>
    </row>
    <row r="1016" spans="1:10" x14ac:dyDescent="0.25">
      <c r="A1016" t="s">
        <v>684</v>
      </c>
      <c r="B1016">
        <v>51</v>
      </c>
      <c r="J1016">
        <v>1320</v>
      </c>
    </row>
    <row r="1017" spans="1:10" x14ac:dyDescent="0.25">
      <c r="A1017" t="s">
        <v>685</v>
      </c>
      <c r="B1017">
        <v>51</v>
      </c>
      <c r="J1017">
        <v>880</v>
      </c>
    </row>
    <row r="1018" spans="1:10" x14ac:dyDescent="0.25">
      <c r="A1018" t="s">
        <v>686</v>
      </c>
      <c r="B1018">
        <v>51</v>
      </c>
      <c r="J1018">
        <v>1760</v>
      </c>
    </row>
    <row r="1019" spans="1:10" x14ac:dyDescent="0.25">
      <c r="A1019" t="s">
        <v>687</v>
      </c>
      <c r="B1019">
        <v>51</v>
      </c>
    </row>
    <row r="1020" spans="1:10" x14ac:dyDescent="0.25">
      <c r="A1020" t="s">
        <v>688</v>
      </c>
      <c r="B1020">
        <v>51</v>
      </c>
    </row>
    <row r="1021" spans="1:10" x14ac:dyDescent="0.25">
      <c r="A1021" t="s">
        <v>689</v>
      </c>
      <c r="B1021">
        <v>51</v>
      </c>
    </row>
    <row r="1022" spans="1:10" x14ac:dyDescent="0.25">
      <c r="A1022" t="s">
        <v>690</v>
      </c>
      <c r="B1022">
        <v>51</v>
      </c>
      <c r="J1022" t="b">
        <v>0</v>
      </c>
    </row>
    <row r="1023" spans="1:10" x14ac:dyDescent="0.25">
      <c r="A1023" t="s">
        <v>691</v>
      </c>
      <c r="B1023">
        <v>51</v>
      </c>
      <c r="J1023" t="b">
        <v>0</v>
      </c>
    </row>
    <row r="1024" spans="1:10" x14ac:dyDescent="0.25">
      <c r="A1024" t="s">
        <v>677</v>
      </c>
      <c r="B1024">
        <v>52</v>
      </c>
      <c r="H1024">
        <v>44</v>
      </c>
    </row>
    <row r="1025" spans="1:8" x14ac:dyDescent="0.25">
      <c r="A1025" t="s">
        <v>36</v>
      </c>
      <c r="B1025">
        <v>52</v>
      </c>
      <c r="H1025">
        <v>2</v>
      </c>
    </row>
    <row r="1026" spans="1:8" x14ac:dyDescent="0.25">
      <c r="A1026" t="s">
        <v>503</v>
      </c>
      <c r="B1026">
        <v>52</v>
      </c>
      <c r="H1026" t="s">
        <v>741</v>
      </c>
    </row>
    <row r="1027" spans="1:8" x14ac:dyDescent="0.25">
      <c r="A1027" t="s">
        <v>678</v>
      </c>
      <c r="B1027">
        <v>52</v>
      </c>
      <c r="H1027">
        <v>809</v>
      </c>
    </row>
    <row r="1028" spans="1:8" x14ac:dyDescent="0.25">
      <c r="A1028" t="s">
        <v>42</v>
      </c>
      <c r="B1028">
        <v>52</v>
      </c>
      <c r="H1028">
        <v>30</v>
      </c>
    </row>
    <row r="1029" spans="1:8" x14ac:dyDescent="0.25">
      <c r="A1029" t="s">
        <v>679</v>
      </c>
      <c r="B1029">
        <v>52</v>
      </c>
      <c r="H1029">
        <v>18.399999999999999</v>
      </c>
    </row>
    <row r="1030" spans="1:8" x14ac:dyDescent="0.25">
      <c r="A1030" t="s">
        <v>41</v>
      </c>
      <c r="B1030">
        <v>52</v>
      </c>
      <c r="H1030">
        <v>0</v>
      </c>
    </row>
    <row r="1031" spans="1:8" x14ac:dyDescent="0.25">
      <c r="A1031" t="s">
        <v>680</v>
      </c>
      <c r="B1031">
        <v>52</v>
      </c>
      <c r="H1031">
        <v>12</v>
      </c>
    </row>
    <row r="1032" spans="1:8" x14ac:dyDescent="0.25">
      <c r="A1032" t="s">
        <v>563</v>
      </c>
      <c r="B1032">
        <v>52</v>
      </c>
      <c r="H1032">
        <v>0</v>
      </c>
    </row>
    <row r="1033" spans="1:8" x14ac:dyDescent="0.25">
      <c r="A1033" t="s">
        <v>681</v>
      </c>
      <c r="B1033">
        <v>52</v>
      </c>
      <c r="H1033">
        <v>0</v>
      </c>
    </row>
    <row r="1034" spans="1:8" x14ac:dyDescent="0.25">
      <c r="A1034" t="s">
        <v>682</v>
      </c>
      <c r="B1034">
        <v>52</v>
      </c>
      <c r="H1034">
        <v>16</v>
      </c>
    </row>
    <row r="1035" spans="1:8" x14ac:dyDescent="0.25">
      <c r="A1035" t="s">
        <v>683</v>
      </c>
      <c r="B1035">
        <v>52</v>
      </c>
      <c r="H1035">
        <v>200</v>
      </c>
    </row>
    <row r="1036" spans="1:8" x14ac:dyDescent="0.25">
      <c r="A1036" t="s">
        <v>684</v>
      </c>
      <c r="B1036">
        <v>52</v>
      </c>
      <c r="H1036">
        <v>1320</v>
      </c>
    </row>
    <row r="1037" spans="1:8" x14ac:dyDescent="0.25">
      <c r="A1037" t="s">
        <v>685</v>
      </c>
      <c r="B1037">
        <v>52</v>
      </c>
      <c r="H1037">
        <v>880</v>
      </c>
    </row>
    <row r="1038" spans="1:8" x14ac:dyDescent="0.25">
      <c r="A1038" t="s">
        <v>686</v>
      </c>
      <c r="B1038">
        <v>52</v>
      </c>
      <c r="H1038">
        <v>1760</v>
      </c>
    </row>
    <row r="1039" spans="1:8" x14ac:dyDescent="0.25">
      <c r="A1039" t="s">
        <v>687</v>
      </c>
      <c r="B1039">
        <v>52</v>
      </c>
    </row>
    <row r="1040" spans="1:8" x14ac:dyDescent="0.25">
      <c r="A1040" t="s">
        <v>688</v>
      </c>
      <c r="B1040">
        <v>52</v>
      </c>
    </row>
    <row r="1041" spans="1:8" x14ac:dyDescent="0.25">
      <c r="A1041" t="s">
        <v>689</v>
      </c>
      <c r="B1041">
        <v>52</v>
      </c>
    </row>
    <row r="1042" spans="1:8" x14ac:dyDescent="0.25">
      <c r="A1042" t="s">
        <v>690</v>
      </c>
      <c r="B1042">
        <v>52</v>
      </c>
      <c r="H1042" t="b">
        <v>0</v>
      </c>
    </row>
    <row r="1043" spans="1:8" x14ac:dyDescent="0.25">
      <c r="A1043" t="s">
        <v>691</v>
      </c>
      <c r="B1043">
        <v>52</v>
      </c>
      <c r="H1043" t="b">
        <v>0</v>
      </c>
    </row>
    <row r="1044" spans="1:8" x14ac:dyDescent="0.25">
      <c r="A1044" t="s">
        <v>677</v>
      </c>
      <c r="B1044">
        <v>53</v>
      </c>
      <c r="G1044">
        <v>44</v>
      </c>
    </row>
    <row r="1045" spans="1:8" x14ac:dyDescent="0.25">
      <c r="A1045" t="s">
        <v>36</v>
      </c>
      <c r="B1045">
        <v>53</v>
      </c>
      <c r="G1045" t="s">
        <v>692</v>
      </c>
    </row>
    <row r="1046" spans="1:8" x14ac:dyDescent="0.25">
      <c r="A1046" t="s">
        <v>503</v>
      </c>
      <c r="B1046">
        <v>53</v>
      </c>
      <c r="G1046" t="s">
        <v>764</v>
      </c>
    </row>
    <row r="1047" spans="1:8" x14ac:dyDescent="0.25">
      <c r="A1047" t="s">
        <v>678</v>
      </c>
      <c r="B1047">
        <v>53</v>
      </c>
      <c r="G1047">
        <v>601</v>
      </c>
    </row>
    <row r="1048" spans="1:8" x14ac:dyDescent="0.25">
      <c r="A1048" t="s">
        <v>42</v>
      </c>
      <c r="B1048">
        <v>53</v>
      </c>
      <c r="G1048">
        <v>30</v>
      </c>
    </row>
    <row r="1049" spans="1:8" x14ac:dyDescent="0.25">
      <c r="A1049" t="s">
        <v>679</v>
      </c>
      <c r="B1049">
        <v>53</v>
      </c>
      <c r="G1049">
        <v>13.7</v>
      </c>
    </row>
    <row r="1050" spans="1:8" x14ac:dyDescent="0.25">
      <c r="A1050" t="s">
        <v>41</v>
      </c>
      <c r="B1050">
        <v>53</v>
      </c>
      <c r="G1050">
        <v>0</v>
      </c>
    </row>
    <row r="1051" spans="1:8" x14ac:dyDescent="0.25">
      <c r="A1051" t="s">
        <v>680</v>
      </c>
      <c r="B1051">
        <v>53</v>
      </c>
      <c r="G1051">
        <v>12</v>
      </c>
    </row>
    <row r="1052" spans="1:8" x14ac:dyDescent="0.25">
      <c r="A1052" t="s">
        <v>563</v>
      </c>
      <c r="B1052">
        <v>53</v>
      </c>
      <c r="G1052">
        <v>0</v>
      </c>
    </row>
    <row r="1053" spans="1:8" x14ac:dyDescent="0.25">
      <c r="A1053" t="s">
        <v>681</v>
      </c>
      <c r="B1053">
        <v>53</v>
      </c>
      <c r="G1053">
        <v>0</v>
      </c>
    </row>
    <row r="1054" spans="1:8" x14ac:dyDescent="0.25">
      <c r="A1054" t="s">
        <v>682</v>
      </c>
      <c r="B1054">
        <v>53</v>
      </c>
      <c r="G1054">
        <v>16</v>
      </c>
    </row>
    <row r="1055" spans="1:8" x14ac:dyDescent="0.25">
      <c r="A1055" t="s">
        <v>683</v>
      </c>
      <c r="B1055">
        <v>53</v>
      </c>
      <c r="G1055">
        <v>200</v>
      </c>
    </row>
    <row r="1056" spans="1:8" x14ac:dyDescent="0.25">
      <c r="A1056" t="s">
        <v>684</v>
      </c>
      <c r="B1056">
        <v>53</v>
      </c>
      <c r="G1056">
        <v>1320</v>
      </c>
    </row>
    <row r="1057" spans="1:7" x14ac:dyDescent="0.25">
      <c r="A1057" t="s">
        <v>685</v>
      </c>
      <c r="B1057">
        <v>53</v>
      </c>
      <c r="G1057">
        <v>880</v>
      </c>
    </row>
    <row r="1058" spans="1:7" x14ac:dyDescent="0.25">
      <c r="A1058" t="s">
        <v>686</v>
      </c>
      <c r="B1058">
        <v>53</v>
      </c>
      <c r="G1058">
        <v>1760</v>
      </c>
    </row>
    <row r="1059" spans="1:7" x14ac:dyDescent="0.25">
      <c r="A1059" t="s">
        <v>687</v>
      </c>
      <c r="B1059">
        <v>53</v>
      </c>
    </row>
    <row r="1060" spans="1:7" x14ac:dyDescent="0.25">
      <c r="A1060" t="s">
        <v>688</v>
      </c>
      <c r="B1060">
        <v>53</v>
      </c>
    </row>
    <row r="1061" spans="1:7" x14ac:dyDescent="0.25">
      <c r="A1061" t="s">
        <v>689</v>
      </c>
      <c r="B1061">
        <v>53</v>
      </c>
    </row>
    <row r="1062" spans="1:7" x14ac:dyDescent="0.25">
      <c r="A1062" t="s">
        <v>690</v>
      </c>
      <c r="B1062">
        <v>53</v>
      </c>
      <c r="G1062" t="b">
        <v>0</v>
      </c>
    </row>
    <row r="1063" spans="1:7" x14ac:dyDescent="0.25">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workbookViewId="0"/>
  </sheetViews>
  <sheetFormatPr defaultRowHeight="15" x14ac:dyDescent="0.25"/>
  <sheetData>
    <row r="1" spans="1:30" x14ac:dyDescent="0.25">
      <c r="A1" t="s">
        <v>564</v>
      </c>
    </row>
    <row r="2" spans="1:30" x14ac:dyDescent="0.25">
      <c r="A2" t="s">
        <v>694</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695</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696</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697</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698</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699</v>
      </c>
      <c r="B30">
        <v>1</v>
      </c>
      <c r="D30">
        <v>0</v>
      </c>
      <c r="G30">
        <v>0</v>
      </c>
      <c r="K30">
        <v>0</v>
      </c>
      <c r="N30">
        <v>0</v>
      </c>
    </row>
    <row r="31" spans="1:15" x14ac:dyDescent="0.25">
      <c r="A31" t="s">
        <v>678</v>
      </c>
      <c r="B31">
        <v>1</v>
      </c>
      <c r="D31">
        <v>526</v>
      </c>
      <c r="G31">
        <v>579</v>
      </c>
      <c r="K31">
        <v>2966</v>
      </c>
      <c r="N31">
        <v>739</v>
      </c>
    </row>
    <row r="32" spans="1:15" x14ac:dyDescent="0.25">
      <c r="A32" t="s">
        <v>78</v>
      </c>
      <c r="B32">
        <v>1</v>
      </c>
      <c r="D32">
        <v>9</v>
      </c>
      <c r="G32">
        <v>9.9</v>
      </c>
      <c r="K32">
        <v>44.9</v>
      </c>
      <c r="N32">
        <v>11.2</v>
      </c>
    </row>
    <row r="33" spans="1:15" x14ac:dyDescent="0.25">
      <c r="A33" t="s">
        <v>700</v>
      </c>
      <c r="B33">
        <v>1</v>
      </c>
      <c r="E33">
        <v>0</v>
      </c>
      <c r="H33">
        <v>0</v>
      </c>
      <c r="L33">
        <v>0</v>
      </c>
      <c r="O33">
        <v>0</v>
      </c>
    </row>
    <row r="34" spans="1:15" x14ac:dyDescent="0.25">
      <c r="A34" t="s">
        <v>701</v>
      </c>
      <c r="B34">
        <v>1</v>
      </c>
      <c r="C34">
        <v>0</v>
      </c>
      <c r="D34">
        <v>0</v>
      </c>
      <c r="E34">
        <v>1</v>
      </c>
      <c r="F34">
        <v>0</v>
      </c>
      <c r="G34">
        <v>0</v>
      </c>
      <c r="H34">
        <v>1</v>
      </c>
      <c r="J34">
        <v>0</v>
      </c>
      <c r="K34">
        <v>0</v>
      </c>
      <c r="L34">
        <v>1</v>
      </c>
      <c r="M34">
        <v>0</v>
      </c>
      <c r="N34">
        <v>0</v>
      </c>
      <c r="O34">
        <v>1</v>
      </c>
    </row>
    <row r="35" spans="1:15" x14ac:dyDescent="0.25">
      <c r="A35" t="s">
        <v>702</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703</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704</v>
      </c>
      <c r="B41">
        <v>1</v>
      </c>
      <c r="C41">
        <v>0</v>
      </c>
      <c r="D41">
        <v>0</v>
      </c>
      <c r="E41">
        <v>0</v>
      </c>
      <c r="F41">
        <v>0</v>
      </c>
      <c r="G41">
        <v>0</v>
      </c>
      <c r="H41">
        <v>0</v>
      </c>
      <c r="J41">
        <v>0</v>
      </c>
      <c r="K41">
        <v>0</v>
      </c>
      <c r="M41">
        <v>0</v>
      </c>
      <c r="N41">
        <v>0</v>
      </c>
    </row>
    <row r="42" spans="1:15" x14ac:dyDescent="0.25">
      <c r="A42" t="s">
        <v>705</v>
      </c>
      <c r="B42">
        <v>1</v>
      </c>
      <c r="C42">
        <v>0</v>
      </c>
      <c r="D42">
        <v>0</v>
      </c>
      <c r="E42">
        <v>0</v>
      </c>
      <c r="F42">
        <v>0</v>
      </c>
      <c r="G42">
        <v>0</v>
      </c>
      <c r="H42">
        <v>0</v>
      </c>
      <c r="J42">
        <v>0</v>
      </c>
      <c r="K42">
        <v>0</v>
      </c>
      <c r="M42">
        <v>0</v>
      </c>
      <c r="N42">
        <v>0</v>
      </c>
    </row>
    <row r="43" spans="1:15" x14ac:dyDescent="0.25">
      <c r="A43" t="s">
        <v>706</v>
      </c>
      <c r="B43">
        <v>1</v>
      </c>
      <c r="C43">
        <v>0</v>
      </c>
      <c r="D43">
        <v>0</v>
      </c>
      <c r="E43">
        <v>0</v>
      </c>
      <c r="F43">
        <v>0</v>
      </c>
      <c r="G43">
        <v>0</v>
      </c>
      <c r="H43">
        <v>0</v>
      </c>
      <c r="J43">
        <v>0</v>
      </c>
      <c r="K43">
        <v>0</v>
      </c>
      <c r="M43">
        <v>0</v>
      </c>
      <c r="N43">
        <v>0</v>
      </c>
    </row>
    <row r="44" spans="1:15" x14ac:dyDescent="0.25">
      <c r="A44" t="s">
        <v>707</v>
      </c>
      <c r="B44">
        <v>1</v>
      </c>
      <c r="C44">
        <v>0</v>
      </c>
      <c r="D44">
        <v>0</v>
      </c>
      <c r="E44">
        <v>0</v>
      </c>
      <c r="F44">
        <v>0</v>
      </c>
      <c r="G44">
        <v>0</v>
      </c>
      <c r="H44">
        <v>0</v>
      </c>
      <c r="J44">
        <v>0</v>
      </c>
      <c r="K44">
        <v>0</v>
      </c>
      <c r="M44">
        <v>0</v>
      </c>
      <c r="N44">
        <v>0</v>
      </c>
    </row>
    <row r="45" spans="1:15" x14ac:dyDescent="0.25">
      <c r="A45" t="s">
        <v>708</v>
      </c>
      <c r="B45">
        <v>1</v>
      </c>
      <c r="C45">
        <v>1</v>
      </c>
      <c r="D45">
        <v>2</v>
      </c>
      <c r="E45">
        <v>1</v>
      </c>
      <c r="F45">
        <v>1</v>
      </c>
      <c r="G45">
        <v>2</v>
      </c>
      <c r="H45">
        <v>1</v>
      </c>
      <c r="J45">
        <v>1</v>
      </c>
      <c r="K45">
        <v>2</v>
      </c>
      <c r="M45">
        <v>1</v>
      </c>
      <c r="N45">
        <v>2</v>
      </c>
    </row>
    <row r="46" spans="1:15" x14ac:dyDescent="0.25">
      <c r="A46" t="s">
        <v>709</v>
      </c>
      <c r="B46">
        <v>1</v>
      </c>
      <c r="C46">
        <v>0</v>
      </c>
      <c r="D46">
        <v>0</v>
      </c>
      <c r="E46">
        <v>0</v>
      </c>
      <c r="F46">
        <v>0</v>
      </c>
      <c r="G46">
        <v>0</v>
      </c>
      <c r="H46">
        <v>0</v>
      </c>
      <c r="J46">
        <v>0</v>
      </c>
      <c r="K46">
        <v>0</v>
      </c>
      <c r="M46">
        <v>0</v>
      </c>
      <c r="N46">
        <v>0</v>
      </c>
    </row>
    <row r="47" spans="1:15" x14ac:dyDescent="0.25">
      <c r="A47" t="s">
        <v>710</v>
      </c>
      <c r="B47">
        <v>1</v>
      </c>
      <c r="C47">
        <v>20</v>
      </c>
      <c r="D47">
        <v>6</v>
      </c>
      <c r="E47">
        <v>20</v>
      </c>
      <c r="F47">
        <v>20</v>
      </c>
      <c r="G47">
        <v>6</v>
      </c>
      <c r="H47">
        <v>20</v>
      </c>
      <c r="J47">
        <v>20</v>
      </c>
      <c r="K47">
        <v>6</v>
      </c>
      <c r="M47">
        <v>20</v>
      </c>
      <c r="N47">
        <v>6</v>
      </c>
    </row>
    <row r="48" spans="1:15" x14ac:dyDescent="0.25">
      <c r="A48" t="s">
        <v>711</v>
      </c>
      <c r="B48">
        <v>1</v>
      </c>
      <c r="C48">
        <v>3</v>
      </c>
      <c r="D48">
        <v>3</v>
      </c>
      <c r="E48">
        <v>3</v>
      </c>
      <c r="F48">
        <v>3</v>
      </c>
      <c r="G48">
        <v>3</v>
      </c>
      <c r="H48">
        <v>3</v>
      </c>
      <c r="J48">
        <v>3</v>
      </c>
      <c r="K48">
        <v>3</v>
      </c>
      <c r="M48">
        <v>3</v>
      </c>
      <c r="N48">
        <v>3</v>
      </c>
    </row>
    <row r="49" spans="1:15" x14ac:dyDescent="0.25">
      <c r="A49" t="s">
        <v>712</v>
      </c>
      <c r="B49">
        <v>1</v>
      </c>
      <c r="C49">
        <v>0</v>
      </c>
      <c r="D49">
        <v>0</v>
      </c>
      <c r="E49">
        <v>0</v>
      </c>
      <c r="F49">
        <v>0</v>
      </c>
      <c r="G49">
        <v>0</v>
      </c>
      <c r="H49">
        <v>0</v>
      </c>
      <c r="J49">
        <v>0</v>
      </c>
      <c r="K49">
        <v>0</v>
      </c>
      <c r="M49">
        <v>0</v>
      </c>
      <c r="N49">
        <v>0</v>
      </c>
    </row>
    <row r="50" spans="1:15" x14ac:dyDescent="0.25">
      <c r="A50" t="s">
        <v>713</v>
      </c>
      <c r="B50">
        <v>1</v>
      </c>
      <c r="C50">
        <v>0</v>
      </c>
      <c r="D50">
        <v>0</v>
      </c>
      <c r="E50">
        <v>0</v>
      </c>
      <c r="F50">
        <v>0</v>
      </c>
      <c r="G50">
        <v>0</v>
      </c>
      <c r="H50">
        <v>0</v>
      </c>
      <c r="J50">
        <v>0</v>
      </c>
      <c r="K50">
        <v>0</v>
      </c>
      <c r="M50">
        <v>0</v>
      </c>
      <c r="N50">
        <v>0</v>
      </c>
    </row>
    <row r="51" spans="1:15" x14ac:dyDescent="0.25">
      <c r="A51" t="s">
        <v>714</v>
      </c>
      <c r="B51">
        <v>1</v>
      </c>
      <c r="C51">
        <v>0</v>
      </c>
      <c r="D51">
        <v>0</v>
      </c>
      <c r="E51">
        <v>0</v>
      </c>
      <c r="F51">
        <v>0</v>
      </c>
      <c r="G51">
        <v>0</v>
      </c>
      <c r="H51">
        <v>0</v>
      </c>
      <c r="J51">
        <v>0</v>
      </c>
      <c r="K51">
        <v>0</v>
      </c>
      <c r="M51">
        <v>0</v>
      </c>
      <c r="N51">
        <v>0</v>
      </c>
    </row>
    <row r="52" spans="1:15" x14ac:dyDescent="0.25">
      <c r="A52" t="s">
        <v>715</v>
      </c>
      <c r="B52">
        <v>1</v>
      </c>
      <c r="D52">
        <v>94</v>
      </c>
      <c r="G52">
        <v>94</v>
      </c>
      <c r="K52">
        <v>94</v>
      </c>
      <c r="N52">
        <v>94</v>
      </c>
    </row>
    <row r="53" spans="1:15" x14ac:dyDescent="0.25">
      <c r="A53" t="s">
        <v>716</v>
      </c>
      <c r="B53">
        <v>1</v>
      </c>
      <c r="D53">
        <v>6</v>
      </c>
      <c r="G53">
        <v>6</v>
      </c>
      <c r="K53">
        <v>6</v>
      </c>
      <c r="N53">
        <v>6</v>
      </c>
    </row>
    <row r="54" spans="1:15" x14ac:dyDescent="0.25">
      <c r="A54" t="s">
        <v>717</v>
      </c>
      <c r="B54">
        <v>1</v>
      </c>
      <c r="D54">
        <v>3</v>
      </c>
      <c r="G54">
        <v>3</v>
      </c>
      <c r="K54">
        <v>3</v>
      </c>
      <c r="N54">
        <v>3</v>
      </c>
    </row>
    <row r="55" spans="1:15" x14ac:dyDescent="0.25">
      <c r="A55" t="s">
        <v>718</v>
      </c>
      <c r="B55">
        <v>1</v>
      </c>
      <c r="D55">
        <v>0</v>
      </c>
      <c r="G55">
        <v>0</v>
      </c>
      <c r="K55">
        <v>0</v>
      </c>
      <c r="N55">
        <v>0</v>
      </c>
    </row>
    <row r="56" spans="1:15" x14ac:dyDescent="0.25">
      <c r="A56" t="s">
        <v>719</v>
      </c>
      <c r="B56">
        <v>1</v>
      </c>
      <c r="D56">
        <v>0</v>
      </c>
      <c r="G56">
        <v>0</v>
      </c>
      <c r="K56">
        <v>0</v>
      </c>
      <c r="N56">
        <v>0</v>
      </c>
    </row>
    <row r="57" spans="1:15" x14ac:dyDescent="0.25">
      <c r="A57" t="s">
        <v>405</v>
      </c>
      <c r="B57">
        <v>1</v>
      </c>
      <c r="D57">
        <v>0</v>
      </c>
    </row>
    <row r="58" spans="1:15" x14ac:dyDescent="0.25">
      <c r="A58" t="s">
        <v>720</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695</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696</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697</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698</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699</v>
      </c>
      <c r="B85">
        <v>7</v>
      </c>
      <c r="D85">
        <v>0</v>
      </c>
      <c r="G85">
        <v>0</v>
      </c>
      <c r="K85">
        <v>0</v>
      </c>
      <c r="N85">
        <v>0</v>
      </c>
    </row>
    <row r="86" spans="1:15" x14ac:dyDescent="0.25">
      <c r="A86" t="s">
        <v>678</v>
      </c>
      <c r="B86">
        <v>7</v>
      </c>
      <c r="D86">
        <v>512</v>
      </c>
      <c r="G86">
        <v>667</v>
      </c>
      <c r="K86">
        <v>2820</v>
      </c>
      <c r="N86">
        <v>2784</v>
      </c>
    </row>
    <row r="87" spans="1:15" x14ac:dyDescent="0.25">
      <c r="A87" t="s">
        <v>78</v>
      </c>
      <c r="B87">
        <v>7</v>
      </c>
      <c r="D87">
        <v>11.6</v>
      </c>
      <c r="G87">
        <v>15.2</v>
      </c>
      <c r="K87">
        <v>42.7</v>
      </c>
      <c r="N87">
        <v>42.2</v>
      </c>
    </row>
    <row r="88" spans="1:15" x14ac:dyDescent="0.25">
      <c r="A88" t="s">
        <v>700</v>
      </c>
      <c r="B88">
        <v>7</v>
      </c>
      <c r="E88">
        <v>0</v>
      </c>
      <c r="H88">
        <v>0</v>
      </c>
      <c r="L88">
        <v>0</v>
      </c>
      <c r="O88">
        <v>0</v>
      </c>
    </row>
    <row r="89" spans="1:15" x14ac:dyDescent="0.25">
      <c r="A89" t="s">
        <v>701</v>
      </c>
      <c r="B89">
        <v>7</v>
      </c>
      <c r="C89">
        <v>0</v>
      </c>
      <c r="D89">
        <v>0</v>
      </c>
      <c r="E89">
        <v>1</v>
      </c>
      <c r="F89">
        <v>0</v>
      </c>
      <c r="G89">
        <v>0</v>
      </c>
      <c r="H89">
        <v>1</v>
      </c>
      <c r="J89">
        <v>0</v>
      </c>
      <c r="K89">
        <v>0</v>
      </c>
      <c r="L89">
        <v>1</v>
      </c>
      <c r="M89">
        <v>0</v>
      </c>
      <c r="N89">
        <v>0</v>
      </c>
      <c r="O89">
        <v>1</v>
      </c>
    </row>
    <row r="90" spans="1:15" x14ac:dyDescent="0.25">
      <c r="A90" t="s">
        <v>702</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703</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704</v>
      </c>
      <c r="B96">
        <v>7</v>
      </c>
      <c r="C96">
        <v>0</v>
      </c>
      <c r="D96">
        <v>0</v>
      </c>
      <c r="E96">
        <v>0</v>
      </c>
      <c r="F96">
        <v>0</v>
      </c>
      <c r="G96">
        <v>0</v>
      </c>
      <c r="J96">
        <v>0</v>
      </c>
      <c r="K96">
        <v>0</v>
      </c>
      <c r="M96">
        <v>0</v>
      </c>
      <c r="N96">
        <v>0</v>
      </c>
    </row>
    <row r="97" spans="1:15" x14ac:dyDescent="0.25">
      <c r="A97" t="s">
        <v>705</v>
      </c>
      <c r="B97">
        <v>7</v>
      </c>
      <c r="C97">
        <v>0</v>
      </c>
      <c r="D97">
        <v>0</v>
      </c>
      <c r="E97">
        <v>0</v>
      </c>
      <c r="F97">
        <v>0</v>
      </c>
      <c r="G97">
        <v>0</v>
      </c>
      <c r="J97">
        <v>0</v>
      </c>
      <c r="K97">
        <v>0</v>
      </c>
      <c r="M97">
        <v>0</v>
      </c>
      <c r="N97">
        <v>0</v>
      </c>
    </row>
    <row r="98" spans="1:15" x14ac:dyDescent="0.25">
      <c r="A98" t="s">
        <v>706</v>
      </c>
      <c r="B98">
        <v>7</v>
      </c>
      <c r="C98">
        <v>0</v>
      </c>
      <c r="D98">
        <v>0</v>
      </c>
      <c r="E98">
        <v>0</v>
      </c>
      <c r="F98">
        <v>0</v>
      </c>
      <c r="G98">
        <v>0</v>
      </c>
      <c r="J98">
        <v>0</v>
      </c>
      <c r="K98">
        <v>0</v>
      </c>
      <c r="M98">
        <v>0</v>
      </c>
      <c r="N98">
        <v>0</v>
      </c>
    </row>
    <row r="99" spans="1:15" x14ac:dyDescent="0.25">
      <c r="A99" t="s">
        <v>707</v>
      </c>
      <c r="B99">
        <v>7</v>
      </c>
      <c r="C99">
        <v>0</v>
      </c>
      <c r="D99">
        <v>0</v>
      </c>
      <c r="E99">
        <v>0</v>
      </c>
      <c r="F99">
        <v>0</v>
      </c>
      <c r="G99">
        <v>0</v>
      </c>
      <c r="J99">
        <v>0</v>
      </c>
      <c r="K99">
        <v>0</v>
      </c>
      <c r="M99">
        <v>0</v>
      </c>
      <c r="N99">
        <v>0</v>
      </c>
    </row>
    <row r="100" spans="1:15" x14ac:dyDescent="0.25">
      <c r="A100" t="s">
        <v>708</v>
      </c>
      <c r="B100">
        <v>7</v>
      </c>
      <c r="C100">
        <v>0</v>
      </c>
      <c r="D100">
        <v>0</v>
      </c>
      <c r="E100">
        <v>0</v>
      </c>
      <c r="F100">
        <v>0</v>
      </c>
      <c r="G100">
        <v>0</v>
      </c>
      <c r="J100">
        <v>0</v>
      </c>
      <c r="K100">
        <v>0</v>
      </c>
      <c r="M100">
        <v>0</v>
      </c>
      <c r="N100">
        <v>0</v>
      </c>
    </row>
    <row r="101" spans="1:15" x14ac:dyDescent="0.25">
      <c r="A101" t="s">
        <v>719</v>
      </c>
      <c r="B101">
        <v>7</v>
      </c>
      <c r="D101">
        <v>0</v>
      </c>
      <c r="G101">
        <v>0</v>
      </c>
      <c r="K101">
        <v>0</v>
      </c>
      <c r="N101">
        <v>0</v>
      </c>
    </row>
    <row r="102" spans="1:15" x14ac:dyDescent="0.25">
      <c r="A102" t="s">
        <v>405</v>
      </c>
      <c r="B102">
        <v>7</v>
      </c>
      <c r="D102">
        <v>0</v>
      </c>
    </row>
    <row r="103" spans="1:15" x14ac:dyDescent="0.25">
      <c r="A103" t="s">
        <v>720</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695</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696</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697</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698</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699</v>
      </c>
      <c r="B130">
        <v>9</v>
      </c>
      <c r="D130">
        <v>0</v>
      </c>
      <c r="G130">
        <v>0</v>
      </c>
      <c r="K130">
        <v>0</v>
      </c>
      <c r="N130">
        <v>0</v>
      </c>
    </row>
    <row r="131" spans="1:15" x14ac:dyDescent="0.25">
      <c r="A131" t="s">
        <v>678</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700</v>
      </c>
      <c r="B133">
        <v>9</v>
      </c>
      <c r="E133">
        <v>0</v>
      </c>
      <c r="H133">
        <v>0</v>
      </c>
      <c r="L133">
        <v>0</v>
      </c>
      <c r="O133">
        <v>0</v>
      </c>
    </row>
    <row r="134" spans="1:15" x14ac:dyDescent="0.25">
      <c r="A134" t="s">
        <v>701</v>
      </c>
      <c r="B134">
        <v>9</v>
      </c>
      <c r="C134">
        <v>0</v>
      </c>
      <c r="D134">
        <v>0</v>
      </c>
      <c r="E134">
        <v>1</v>
      </c>
      <c r="F134">
        <v>0</v>
      </c>
      <c r="G134">
        <v>0</v>
      </c>
      <c r="H134">
        <v>1</v>
      </c>
      <c r="J134">
        <v>0</v>
      </c>
      <c r="K134">
        <v>0</v>
      </c>
      <c r="L134">
        <v>1</v>
      </c>
      <c r="M134">
        <v>0</v>
      </c>
      <c r="N134">
        <v>0</v>
      </c>
      <c r="O134">
        <v>1</v>
      </c>
    </row>
    <row r="135" spans="1:15" x14ac:dyDescent="0.25">
      <c r="A135" t="s">
        <v>702</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703</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704</v>
      </c>
      <c r="B141">
        <v>9</v>
      </c>
      <c r="C141">
        <v>0</v>
      </c>
      <c r="D141">
        <v>0</v>
      </c>
      <c r="E141">
        <v>0</v>
      </c>
      <c r="F141">
        <v>0</v>
      </c>
      <c r="G141">
        <v>0</v>
      </c>
      <c r="H141">
        <v>0</v>
      </c>
      <c r="J141">
        <v>0</v>
      </c>
      <c r="K141">
        <v>0</v>
      </c>
      <c r="M141">
        <v>0</v>
      </c>
      <c r="N141">
        <v>0</v>
      </c>
    </row>
    <row r="142" spans="1:15" x14ac:dyDescent="0.25">
      <c r="A142" t="s">
        <v>705</v>
      </c>
      <c r="B142">
        <v>9</v>
      </c>
      <c r="C142">
        <v>0</v>
      </c>
      <c r="D142">
        <v>0</v>
      </c>
      <c r="E142">
        <v>0</v>
      </c>
      <c r="F142">
        <v>0</v>
      </c>
      <c r="G142">
        <v>0</v>
      </c>
      <c r="H142">
        <v>0</v>
      </c>
      <c r="J142">
        <v>0</v>
      </c>
      <c r="K142">
        <v>0</v>
      </c>
      <c r="M142">
        <v>0</v>
      </c>
      <c r="N142">
        <v>0</v>
      </c>
    </row>
    <row r="143" spans="1:15" x14ac:dyDescent="0.25">
      <c r="A143" t="s">
        <v>706</v>
      </c>
      <c r="B143">
        <v>9</v>
      </c>
      <c r="C143">
        <v>0</v>
      </c>
      <c r="D143">
        <v>0</v>
      </c>
      <c r="E143">
        <v>0</v>
      </c>
      <c r="F143">
        <v>0</v>
      </c>
      <c r="G143">
        <v>0</v>
      </c>
      <c r="H143">
        <v>0</v>
      </c>
      <c r="J143">
        <v>0</v>
      </c>
      <c r="K143">
        <v>0</v>
      </c>
      <c r="M143">
        <v>0</v>
      </c>
      <c r="N143">
        <v>0</v>
      </c>
    </row>
    <row r="144" spans="1:15" x14ac:dyDescent="0.25">
      <c r="A144" t="s">
        <v>707</v>
      </c>
      <c r="B144">
        <v>9</v>
      </c>
      <c r="C144">
        <v>0</v>
      </c>
      <c r="D144">
        <v>0</v>
      </c>
      <c r="E144">
        <v>0</v>
      </c>
      <c r="F144">
        <v>0</v>
      </c>
      <c r="G144">
        <v>0</v>
      </c>
      <c r="H144">
        <v>0</v>
      </c>
      <c r="J144">
        <v>0</v>
      </c>
      <c r="K144">
        <v>0</v>
      </c>
      <c r="M144">
        <v>0</v>
      </c>
      <c r="N144">
        <v>0</v>
      </c>
    </row>
    <row r="145" spans="1:15" x14ac:dyDescent="0.25">
      <c r="A145" t="s">
        <v>708</v>
      </c>
      <c r="B145">
        <v>9</v>
      </c>
      <c r="C145">
        <v>0</v>
      </c>
      <c r="D145">
        <v>0</v>
      </c>
      <c r="E145">
        <v>0</v>
      </c>
      <c r="F145">
        <v>0</v>
      </c>
      <c r="G145">
        <v>0</v>
      </c>
      <c r="H145">
        <v>0</v>
      </c>
      <c r="J145">
        <v>0</v>
      </c>
      <c r="K145">
        <v>0</v>
      </c>
      <c r="M145">
        <v>0</v>
      </c>
      <c r="N145">
        <v>0</v>
      </c>
    </row>
    <row r="146" spans="1:15" x14ac:dyDescent="0.25">
      <c r="A146" t="s">
        <v>719</v>
      </c>
      <c r="B146">
        <v>9</v>
      </c>
      <c r="D146">
        <v>0</v>
      </c>
      <c r="G146">
        <v>0</v>
      </c>
      <c r="K146">
        <v>0</v>
      </c>
      <c r="N146">
        <v>0</v>
      </c>
    </row>
    <row r="147" spans="1:15" x14ac:dyDescent="0.25">
      <c r="A147" t="s">
        <v>405</v>
      </c>
      <c r="B147">
        <v>9</v>
      </c>
      <c r="D147">
        <v>0</v>
      </c>
    </row>
    <row r="148" spans="1:15" x14ac:dyDescent="0.25">
      <c r="A148" t="s">
        <v>720</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695</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696</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697</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698</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699</v>
      </c>
      <c r="B174">
        <v>11</v>
      </c>
      <c r="D174">
        <v>0</v>
      </c>
      <c r="G174">
        <v>0</v>
      </c>
      <c r="K174">
        <v>0</v>
      </c>
      <c r="N174">
        <v>0</v>
      </c>
    </row>
    <row r="175" spans="1:15" x14ac:dyDescent="0.25">
      <c r="A175" t="s">
        <v>678</v>
      </c>
      <c r="B175">
        <v>11</v>
      </c>
      <c r="D175">
        <v>401</v>
      </c>
      <c r="G175">
        <v>533</v>
      </c>
      <c r="K175">
        <v>1028</v>
      </c>
      <c r="N175">
        <v>2820</v>
      </c>
    </row>
    <row r="176" spans="1:15" x14ac:dyDescent="0.25">
      <c r="A176" t="s">
        <v>78</v>
      </c>
      <c r="B176">
        <v>11</v>
      </c>
      <c r="D176">
        <v>7.8</v>
      </c>
      <c r="G176">
        <v>12.1</v>
      </c>
      <c r="K176">
        <v>15.6</v>
      </c>
      <c r="N176">
        <v>42.7</v>
      </c>
    </row>
    <row r="177" spans="1:15" x14ac:dyDescent="0.25">
      <c r="A177" t="s">
        <v>700</v>
      </c>
      <c r="B177">
        <v>11</v>
      </c>
      <c r="E177">
        <v>0</v>
      </c>
      <c r="H177">
        <v>0</v>
      </c>
      <c r="L177">
        <v>0</v>
      </c>
      <c r="O177">
        <v>0</v>
      </c>
    </row>
    <row r="178" spans="1:15" x14ac:dyDescent="0.25">
      <c r="A178" t="s">
        <v>701</v>
      </c>
      <c r="B178">
        <v>11</v>
      </c>
      <c r="C178">
        <v>0</v>
      </c>
      <c r="D178">
        <v>0</v>
      </c>
      <c r="E178">
        <v>1</v>
      </c>
      <c r="F178">
        <v>0</v>
      </c>
      <c r="G178">
        <v>0</v>
      </c>
      <c r="H178">
        <v>1</v>
      </c>
      <c r="J178">
        <v>0</v>
      </c>
      <c r="K178">
        <v>0</v>
      </c>
      <c r="L178">
        <v>1</v>
      </c>
      <c r="M178">
        <v>0</v>
      </c>
      <c r="N178">
        <v>0</v>
      </c>
      <c r="O178">
        <v>1</v>
      </c>
    </row>
    <row r="179" spans="1:15" x14ac:dyDescent="0.25">
      <c r="A179" t="s">
        <v>702</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703</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704</v>
      </c>
      <c r="B185">
        <v>11</v>
      </c>
      <c r="C185">
        <v>0</v>
      </c>
      <c r="D185">
        <v>0</v>
      </c>
      <c r="F185">
        <v>0</v>
      </c>
      <c r="G185">
        <v>0</v>
      </c>
      <c r="J185">
        <v>0</v>
      </c>
      <c r="K185">
        <v>0</v>
      </c>
      <c r="M185">
        <v>0</v>
      </c>
      <c r="N185">
        <v>0</v>
      </c>
    </row>
    <row r="186" spans="1:15" x14ac:dyDescent="0.25">
      <c r="A186" t="s">
        <v>705</v>
      </c>
      <c r="B186">
        <v>11</v>
      </c>
      <c r="C186">
        <v>0</v>
      </c>
      <c r="D186">
        <v>0</v>
      </c>
      <c r="F186">
        <v>0</v>
      </c>
      <c r="G186">
        <v>0</v>
      </c>
      <c r="J186">
        <v>0</v>
      </c>
      <c r="K186">
        <v>0</v>
      </c>
      <c r="M186">
        <v>0</v>
      </c>
      <c r="N186">
        <v>0</v>
      </c>
    </row>
    <row r="187" spans="1:15" x14ac:dyDescent="0.25">
      <c r="A187" t="s">
        <v>706</v>
      </c>
      <c r="B187">
        <v>11</v>
      </c>
      <c r="C187">
        <v>0</v>
      </c>
      <c r="D187">
        <v>0</v>
      </c>
      <c r="F187">
        <v>0</v>
      </c>
      <c r="G187">
        <v>0</v>
      </c>
      <c r="J187">
        <v>0</v>
      </c>
      <c r="K187">
        <v>0</v>
      </c>
      <c r="M187">
        <v>0</v>
      </c>
      <c r="N187">
        <v>0</v>
      </c>
    </row>
    <row r="188" spans="1:15" x14ac:dyDescent="0.25">
      <c r="A188" t="s">
        <v>707</v>
      </c>
      <c r="B188">
        <v>11</v>
      </c>
      <c r="C188">
        <v>0</v>
      </c>
      <c r="D188">
        <v>0</v>
      </c>
      <c r="F188">
        <v>0</v>
      </c>
      <c r="G188">
        <v>0</v>
      </c>
      <c r="J188">
        <v>0</v>
      </c>
      <c r="K188">
        <v>0</v>
      </c>
      <c r="M188">
        <v>0</v>
      </c>
      <c r="N188">
        <v>0</v>
      </c>
    </row>
    <row r="189" spans="1:15" x14ac:dyDescent="0.25">
      <c r="A189" t="s">
        <v>708</v>
      </c>
      <c r="B189">
        <v>11</v>
      </c>
      <c r="C189">
        <v>0</v>
      </c>
      <c r="D189">
        <v>0</v>
      </c>
      <c r="F189">
        <v>0</v>
      </c>
      <c r="G189">
        <v>0</v>
      </c>
      <c r="J189">
        <v>0</v>
      </c>
      <c r="K189">
        <v>0</v>
      </c>
      <c r="M189">
        <v>0</v>
      </c>
      <c r="N189">
        <v>0</v>
      </c>
    </row>
    <row r="190" spans="1:15" x14ac:dyDescent="0.25">
      <c r="A190" t="s">
        <v>719</v>
      </c>
      <c r="B190">
        <v>11</v>
      </c>
      <c r="D190">
        <v>0</v>
      </c>
      <c r="G190">
        <v>0</v>
      </c>
      <c r="K190">
        <v>0</v>
      </c>
      <c r="N190">
        <v>0</v>
      </c>
    </row>
    <row r="191" spans="1:15" x14ac:dyDescent="0.25">
      <c r="A191" t="s">
        <v>405</v>
      </c>
      <c r="B191">
        <v>11</v>
      </c>
      <c r="D191">
        <v>0</v>
      </c>
    </row>
    <row r="192" spans="1:15" x14ac:dyDescent="0.25">
      <c r="A192" t="s">
        <v>720</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695</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696</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697</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698</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699</v>
      </c>
      <c r="B219">
        <v>13</v>
      </c>
      <c r="Q219">
        <v>0</v>
      </c>
      <c r="T219">
        <v>0</v>
      </c>
      <c r="W219">
        <v>0</v>
      </c>
      <c r="Z219">
        <v>0</v>
      </c>
    </row>
    <row r="220" spans="1:27" x14ac:dyDescent="0.25">
      <c r="A220" t="s">
        <v>678</v>
      </c>
      <c r="B220">
        <v>13</v>
      </c>
      <c r="Q220">
        <v>538</v>
      </c>
      <c r="T220">
        <v>914</v>
      </c>
      <c r="W220">
        <v>2934</v>
      </c>
      <c r="Z220">
        <v>684</v>
      </c>
    </row>
    <row r="221" spans="1:27" x14ac:dyDescent="0.25">
      <c r="A221" t="s">
        <v>78</v>
      </c>
      <c r="B221">
        <v>13</v>
      </c>
      <c r="Q221">
        <v>12.2</v>
      </c>
      <c r="T221">
        <v>13.8</v>
      </c>
      <c r="W221">
        <v>44.5</v>
      </c>
      <c r="Z221">
        <v>13.3</v>
      </c>
    </row>
    <row r="222" spans="1:27" x14ac:dyDescent="0.25">
      <c r="A222" t="s">
        <v>700</v>
      </c>
      <c r="B222">
        <v>13</v>
      </c>
      <c r="R222">
        <v>0</v>
      </c>
      <c r="U222">
        <v>0</v>
      </c>
      <c r="X222">
        <v>0</v>
      </c>
      <c r="AA222">
        <v>0</v>
      </c>
    </row>
    <row r="223" spans="1:27" x14ac:dyDescent="0.25">
      <c r="A223" t="s">
        <v>701</v>
      </c>
      <c r="B223">
        <v>13</v>
      </c>
      <c r="P223">
        <v>0</v>
      </c>
      <c r="Q223">
        <v>0</v>
      </c>
      <c r="R223">
        <v>1</v>
      </c>
      <c r="S223">
        <v>0</v>
      </c>
      <c r="T223">
        <v>0</v>
      </c>
      <c r="U223">
        <v>1</v>
      </c>
      <c r="V223">
        <v>0</v>
      </c>
      <c r="W223">
        <v>0</v>
      </c>
      <c r="X223">
        <v>1</v>
      </c>
      <c r="Y223">
        <v>0</v>
      </c>
      <c r="Z223">
        <v>0</v>
      </c>
      <c r="AA223">
        <v>1</v>
      </c>
    </row>
    <row r="224" spans="1:27" x14ac:dyDescent="0.25">
      <c r="A224" t="s">
        <v>702</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703</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704</v>
      </c>
      <c r="B230">
        <v>13</v>
      </c>
      <c r="P230">
        <v>0</v>
      </c>
      <c r="Q230">
        <v>0</v>
      </c>
      <c r="R230">
        <v>0</v>
      </c>
      <c r="S230">
        <v>0</v>
      </c>
      <c r="T230">
        <v>0</v>
      </c>
      <c r="U230">
        <v>0</v>
      </c>
      <c r="V230">
        <v>0</v>
      </c>
      <c r="W230">
        <v>0</v>
      </c>
      <c r="X230">
        <v>0</v>
      </c>
      <c r="Y230">
        <v>0</v>
      </c>
      <c r="Z230">
        <v>0</v>
      </c>
    </row>
    <row r="231" spans="1:28" x14ac:dyDescent="0.25">
      <c r="A231" t="s">
        <v>705</v>
      </c>
      <c r="B231">
        <v>13</v>
      </c>
      <c r="P231">
        <v>0</v>
      </c>
      <c r="Q231">
        <v>0</v>
      </c>
      <c r="R231">
        <v>0</v>
      </c>
      <c r="S231">
        <v>0</v>
      </c>
      <c r="T231">
        <v>0</v>
      </c>
      <c r="U231">
        <v>0</v>
      </c>
      <c r="V231">
        <v>0</v>
      </c>
      <c r="W231">
        <v>0</v>
      </c>
      <c r="X231">
        <v>0</v>
      </c>
      <c r="Y231">
        <v>0</v>
      </c>
      <c r="Z231">
        <v>0</v>
      </c>
    </row>
    <row r="232" spans="1:28" x14ac:dyDescent="0.25">
      <c r="A232" t="s">
        <v>706</v>
      </c>
      <c r="B232">
        <v>13</v>
      </c>
      <c r="P232">
        <v>0</v>
      </c>
      <c r="Q232">
        <v>0</v>
      </c>
      <c r="R232">
        <v>0</v>
      </c>
      <c r="S232">
        <v>0</v>
      </c>
      <c r="T232">
        <v>0</v>
      </c>
      <c r="U232">
        <v>0</v>
      </c>
      <c r="V232">
        <v>0</v>
      </c>
      <c r="W232">
        <v>0</v>
      </c>
      <c r="X232">
        <v>0</v>
      </c>
      <c r="Y232">
        <v>0</v>
      </c>
      <c r="Z232">
        <v>0</v>
      </c>
    </row>
    <row r="233" spans="1:28" x14ac:dyDescent="0.25">
      <c r="A233" t="s">
        <v>707</v>
      </c>
      <c r="B233">
        <v>13</v>
      </c>
      <c r="P233">
        <v>0</v>
      </c>
      <c r="Q233">
        <v>0</v>
      </c>
      <c r="R233">
        <v>0</v>
      </c>
      <c r="S233">
        <v>0</v>
      </c>
      <c r="T233">
        <v>0</v>
      </c>
      <c r="U233">
        <v>0</v>
      </c>
      <c r="V233">
        <v>0</v>
      </c>
      <c r="W233">
        <v>0</v>
      </c>
      <c r="X233">
        <v>0</v>
      </c>
      <c r="Y233">
        <v>0</v>
      </c>
      <c r="Z233">
        <v>0</v>
      </c>
    </row>
    <row r="234" spans="1:28" x14ac:dyDescent="0.25">
      <c r="A234" t="s">
        <v>708</v>
      </c>
      <c r="B234">
        <v>13</v>
      </c>
      <c r="P234">
        <v>0</v>
      </c>
      <c r="Q234">
        <v>0</v>
      </c>
      <c r="R234">
        <v>0</v>
      </c>
      <c r="S234">
        <v>0</v>
      </c>
      <c r="T234">
        <v>0</v>
      </c>
      <c r="U234">
        <v>0</v>
      </c>
      <c r="V234">
        <v>0</v>
      </c>
      <c r="W234">
        <v>0</v>
      </c>
      <c r="X234">
        <v>0</v>
      </c>
      <c r="Y234">
        <v>0</v>
      </c>
      <c r="Z234">
        <v>0</v>
      </c>
    </row>
    <row r="235" spans="1:28" x14ac:dyDescent="0.25">
      <c r="A235" t="s">
        <v>719</v>
      </c>
      <c r="B235">
        <v>13</v>
      </c>
      <c r="Q235">
        <v>0</v>
      </c>
      <c r="T235">
        <v>0</v>
      </c>
      <c r="W235">
        <v>0</v>
      </c>
      <c r="Z235">
        <v>0</v>
      </c>
    </row>
    <row r="236" spans="1:28" x14ac:dyDescent="0.25">
      <c r="A236" t="s">
        <v>405</v>
      </c>
      <c r="B236">
        <v>13</v>
      </c>
      <c r="Q236">
        <v>0</v>
      </c>
    </row>
    <row r="237" spans="1:28" x14ac:dyDescent="0.25">
      <c r="A237" t="s">
        <v>720</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695</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696</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697</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698</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699</v>
      </c>
      <c r="B264">
        <v>17</v>
      </c>
      <c r="J264">
        <v>0</v>
      </c>
      <c r="T264">
        <v>0</v>
      </c>
      <c r="W264">
        <v>0</v>
      </c>
      <c r="Y264">
        <v>0</v>
      </c>
    </row>
    <row r="265" spans="1:28" x14ac:dyDescent="0.25">
      <c r="A265" t="s">
        <v>678</v>
      </c>
      <c r="B265">
        <v>17</v>
      </c>
      <c r="J265">
        <v>995</v>
      </c>
      <c r="T265">
        <v>4063</v>
      </c>
      <c r="W265">
        <v>4722</v>
      </c>
      <c r="Y265">
        <v>288</v>
      </c>
    </row>
    <row r="266" spans="1:28" x14ac:dyDescent="0.25">
      <c r="A266" t="s">
        <v>78</v>
      </c>
      <c r="B266">
        <v>17</v>
      </c>
      <c r="J266">
        <v>27.1</v>
      </c>
      <c r="T266">
        <v>61.6</v>
      </c>
      <c r="W266">
        <v>71.5</v>
      </c>
      <c r="Y266">
        <v>6.5</v>
      </c>
    </row>
    <row r="267" spans="1:28" x14ac:dyDescent="0.25">
      <c r="A267" t="s">
        <v>700</v>
      </c>
      <c r="B267">
        <v>17</v>
      </c>
      <c r="L267">
        <v>0</v>
      </c>
      <c r="U267">
        <v>0</v>
      </c>
      <c r="X267">
        <v>1</v>
      </c>
      <c r="AB267">
        <v>0</v>
      </c>
    </row>
    <row r="268" spans="1:28" x14ac:dyDescent="0.25">
      <c r="A268" t="s">
        <v>721</v>
      </c>
      <c r="B268">
        <v>17</v>
      </c>
      <c r="X268">
        <v>50</v>
      </c>
    </row>
    <row r="269" spans="1:28" x14ac:dyDescent="0.25">
      <c r="A269" t="s">
        <v>722</v>
      </c>
      <c r="B269">
        <v>17</v>
      </c>
      <c r="X269">
        <v>0</v>
      </c>
    </row>
    <row r="270" spans="1:28" x14ac:dyDescent="0.25">
      <c r="A270" t="s">
        <v>701</v>
      </c>
      <c r="B270">
        <v>17</v>
      </c>
      <c r="I270">
        <v>0</v>
      </c>
      <c r="J270">
        <v>0</v>
      </c>
      <c r="L270">
        <v>1</v>
      </c>
      <c r="S270">
        <v>0</v>
      </c>
      <c r="T270">
        <v>0</v>
      </c>
      <c r="U270">
        <v>1</v>
      </c>
      <c r="V270">
        <v>0</v>
      </c>
      <c r="W270">
        <v>0</v>
      </c>
      <c r="X270">
        <v>1</v>
      </c>
      <c r="Y270">
        <v>0</v>
      </c>
      <c r="AA270">
        <v>1</v>
      </c>
      <c r="AB270">
        <v>1</v>
      </c>
    </row>
    <row r="271" spans="1:28" x14ac:dyDescent="0.25">
      <c r="A271" t="s">
        <v>702</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703</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704</v>
      </c>
      <c r="B277">
        <v>17</v>
      </c>
      <c r="I277">
        <v>0</v>
      </c>
      <c r="J277">
        <v>0</v>
      </c>
      <c r="L277">
        <v>0</v>
      </c>
      <c r="S277">
        <v>0</v>
      </c>
      <c r="T277">
        <v>0</v>
      </c>
      <c r="U277">
        <v>0</v>
      </c>
      <c r="V277">
        <v>0</v>
      </c>
      <c r="W277">
        <v>0</v>
      </c>
      <c r="Y277">
        <v>0</v>
      </c>
      <c r="AA277">
        <v>0</v>
      </c>
    </row>
    <row r="278" spans="1:28" x14ac:dyDescent="0.25">
      <c r="A278" t="s">
        <v>705</v>
      </c>
      <c r="B278">
        <v>17</v>
      </c>
      <c r="I278">
        <v>0</v>
      </c>
      <c r="J278">
        <v>0</v>
      </c>
      <c r="L278">
        <v>0</v>
      </c>
      <c r="S278">
        <v>0</v>
      </c>
      <c r="T278">
        <v>0</v>
      </c>
      <c r="U278">
        <v>0</v>
      </c>
      <c r="V278">
        <v>0</v>
      </c>
      <c r="W278">
        <v>0</v>
      </c>
      <c r="Y278">
        <v>0</v>
      </c>
      <c r="AA278">
        <v>0</v>
      </c>
    </row>
    <row r="279" spans="1:28" x14ac:dyDescent="0.25">
      <c r="A279" t="s">
        <v>706</v>
      </c>
      <c r="B279">
        <v>17</v>
      </c>
      <c r="I279">
        <v>0</v>
      </c>
      <c r="J279">
        <v>0</v>
      </c>
      <c r="L279">
        <v>0</v>
      </c>
      <c r="S279">
        <v>0</v>
      </c>
      <c r="T279">
        <v>0</v>
      </c>
      <c r="U279">
        <v>0</v>
      </c>
      <c r="V279">
        <v>0</v>
      </c>
      <c r="W279">
        <v>0</v>
      </c>
      <c r="Y279">
        <v>0</v>
      </c>
      <c r="AA279">
        <v>0</v>
      </c>
    </row>
    <row r="280" spans="1:28" x14ac:dyDescent="0.25">
      <c r="A280" t="s">
        <v>707</v>
      </c>
      <c r="B280">
        <v>17</v>
      </c>
      <c r="I280">
        <v>0</v>
      </c>
      <c r="J280">
        <v>0</v>
      </c>
      <c r="L280">
        <v>0</v>
      </c>
      <c r="S280">
        <v>0</v>
      </c>
      <c r="T280">
        <v>0</v>
      </c>
      <c r="U280">
        <v>0</v>
      </c>
      <c r="V280">
        <v>0</v>
      </c>
      <c r="W280">
        <v>0</v>
      </c>
      <c r="Y280">
        <v>0</v>
      </c>
      <c r="AA280">
        <v>0</v>
      </c>
    </row>
    <row r="281" spans="1:28" x14ac:dyDescent="0.25">
      <c r="A281" t="s">
        <v>708</v>
      </c>
      <c r="B281">
        <v>17</v>
      </c>
      <c r="I281">
        <v>0</v>
      </c>
      <c r="J281">
        <v>0</v>
      </c>
      <c r="L281">
        <v>0</v>
      </c>
      <c r="S281">
        <v>0</v>
      </c>
      <c r="T281">
        <v>0</v>
      </c>
      <c r="U281">
        <v>0</v>
      </c>
      <c r="V281">
        <v>0</v>
      </c>
      <c r="W281">
        <v>0</v>
      </c>
      <c r="Y281">
        <v>0</v>
      </c>
      <c r="AA281">
        <v>0</v>
      </c>
    </row>
    <row r="282" spans="1:28" x14ac:dyDescent="0.25">
      <c r="A282" t="s">
        <v>719</v>
      </c>
      <c r="B282">
        <v>17</v>
      </c>
      <c r="J282">
        <v>0</v>
      </c>
      <c r="T282">
        <v>0</v>
      </c>
      <c r="W282">
        <v>0</v>
      </c>
      <c r="Y282">
        <v>0</v>
      </c>
    </row>
    <row r="283" spans="1:28" x14ac:dyDescent="0.25">
      <c r="A283" t="s">
        <v>405</v>
      </c>
      <c r="B283">
        <v>17</v>
      </c>
      <c r="T283">
        <v>0</v>
      </c>
    </row>
    <row r="284" spans="1:28" x14ac:dyDescent="0.25">
      <c r="A284" t="s">
        <v>720</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695</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696</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697</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698</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699</v>
      </c>
      <c r="B311">
        <v>21</v>
      </c>
      <c r="D311">
        <v>0</v>
      </c>
      <c r="G311">
        <v>0</v>
      </c>
      <c r="T311">
        <v>0</v>
      </c>
      <c r="W311">
        <v>0</v>
      </c>
    </row>
    <row r="312" spans="1:24" x14ac:dyDescent="0.25">
      <c r="A312" t="s">
        <v>678</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700</v>
      </c>
      <c r="B314">
        <v>21</v>
      </c>
      <c r="E314">
        <v>1</v>
      </c>
      <c r="H314">
        <v>1</v>
      </c>
      <c r="U314">
        <v>0</v>
      </c>
      <c r="X314">
        <v>0</v>
      </c>
    </row>
    <row r="315" spans="1:24" x14ac:dyDescent="0.25">
      <c r="A315" t="s">
        <v>721</v>
      </c>
      <c r="B315">
        <v>21</v>
      </c>
      <c r="E315">
        <v>50</v>
      </c>
      <c r="H315">
        <v>50</v>
      </c>
    </row>
    <row r="316" spans="1:24" x14ac:dyDescent="0.25">
      <c r="A316" t="s">
        <v>722</v>
      </c>
      <c r="B316">
        <v>21</v>
      </c>
      <c r="E316">
        <v>0</v>
      </c>
      <c r="H316">
        <v>0</v>
      </c>
    </row>
    <row r="317" spans="1:24" x14ac:dyDescent="0.25">
      <c r="A317" t="s">
        <v>701</v>
      </c>
      <c r="B317">
        <v>21</v>
      </c>
      <c r="C317">
        <v>0</v>
      </c>
      <c r="D317">
        <v>0</v>
      </c>
      <c r="E317">
        <v>1</v>
      </c>
      <c r="F317">
        <v>0</v>
      </c>
      <c r="G317">
        <v>0</v>
      </c>
      <c r="H317">
        <v>1</v>
      </c>
      <c r="S317">
        <v>0</v>
      </c>
      <c r="T317">
        <v>0</v>
      </c>
      <c r="U317">
        <v>1</v>
      </c>
      <c r="V317">
        <v>0</v>
      </c>
      <c r="W317">
        <v>0</v>
      </c>
      <c r="X317">
        <v>1</v>
      </c>
    </row>
    <row r="318" spans="1:24" x14ac:dyDescent="0.25">
      <c r="A318" t="s">
        <v>702</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703</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704</v>
      </c>
      <c r="B324">
        <v>21</v>
      </c>
      <c r="C324">
        <v>0</v>
      </c>
      <c r="D324">
        <v>0</v>
      </c>
      <c r="E324">
        <v>0</v>
      </c>
      <c r="F324">
        <v>0</v>
      </c>
      <c r="G324">
        <v>0</v>
      </c>
      <c r="H324">
        <v>0</v>
      </c>
      <c r="S324">
        <v>0</v>
      </c>
      <c r="T324">
        <v>0</v>
      </c>
      <c r="U324">
        <v>0</v>
      </c>
      <c r="V324">
        <v>0</v>
      </c>
      <c r="W324">
        <v>0</v>
      </c>
      <c r="X324">
        <v>0</v>
      </c>
    </row>
    <row r="325" spans="1:24" x14ac:dyDescent="0.25">
      <c r="A325" t="s">
        <v>705</v>
      </c>
      <c r="B325">
        <v>21</v>
      </c>
      <c r="C325">
        <v>0</v>
      </c>
      <c r="D325">
        <v>0</v>
      </c>
      <c r="E325">
        <v>0</v>
      </c>
      <c r="F325">
        <v>0</v>
      </c>
      <c r="G325">
        <v>0</v>
      </c>
      <c r="H325">
        <v>0</v>
      </c>
      <c r="S325">
        <v>0</v>
      </c>
      <c r="T325">
        <v>0</v>
      </c>
      <c r="U325">
        <v>0</v>
      </c>
      <c r="V325">
        <v>0</v>
      </c>
      <c r="W325">
        <v>0</v>
      </c>
      <c r="X325">
        <v>0</v>
      </c>
    </row>
    <row r="326" spans="1:24" x14ac:dyDescent="0.25">
      <c r="A326" t="s">
        <v>706</v>
      </c>
      <c r="B326">
        <v>21</v>
      </c>
      <c r="C326">
        <v>0</v>
      </c>
      <c r="D326">
        <v>0</v>
      </c>
      <c r="E326">
        <v>0</v>
      </c>
      <c r="F326">
        <v>0</v>
      </c>
      <c r="G326">
        <v>0</v>
      </c>
      <c r="H326">
        <v>0</v>
      </c>
      <c r="S326">
        <v>0</v>
      </c>
      <c r="T326">
        <v>0</v>
      </c>
      <c r="U326">
        <v>0</v>
      </c>
      <c r="V326">
        <v>0</v>
      </c>
      <c r="W326">
        <v>0</v>
      </c>
      <c r="X326">
        <v>0</v>
      </c>
    </row>
    <row r="327" spans="1:24" x14ac:dyDescent="0.25">
      <c r="A327" t="s">
        <v>707</v>
      </c>
      <c r="B327">
        <v>21</v>
      </c>
      <c r="C327">
        <v>0</v>
      </c>
      <c r="D327">
        <v>0</v>
      </c>
      <c r="E327">
        <v>0</v>
      </c>
      <c r="F327">
        <v>0</v>
      </c>
      <c r="G327">
        <v>0</v>
      </c>
      <c r="H327">
        <v>0</v>
      </c>
      <c r="S327">
        <v>0</v>
      </c>
      <c r="T327">
        <v>0</v>
      </c>
      <c r="U327">
        <v>0</v>
      </c>
      <c r="V327">
        <v>0</v>
      </c>
      <c r="W327">
        <v>0</v>
      </c>
      <c r="X327">
        <v>0</v>
      </c>
    </row>
    <row r="328" spans="1:24" x14ac:dyDescent="0.25">
      <c r="A328" t="s">
        <v>708</v>
      </c>
      <c r="B328">
        <v>21</v>
      </c>
      <c r="C328">
        <v>0</v>
      </c>
      <c r="D328">
        <v>0</v>
      </c>
      <c r="E328">
        <v>0</v>
      </c>
      <c r="F328">
        <v>0</v>
      </c>
      <c r="G328">
        <v>0</v>
      </c>
      <c r="H328">
        <v>0</v>
      </c>
      <c r="S328">
        <v>0</v>
      </c>
      <c r="T328">
        <v>0</v>
      </c>
      <c r="U328">
        <v>0</v>
      </c>
      <c r="V328">
        <v>0</v>
      </c>
      <c r="W328">
        <v>0</v>
      </c>
      <c r="X328">
        <v>0</v>
      </c>
    </row>
    <row r="329" spans="1:24" x14ac:dyDescent="0.25">
      <c r="A329" t="s">
        <v>719</v>
      </c>
      <c r="B329">
        <v>21</v>
      </c>
      <c r="D329">
        <v>0</v>
      </c>
      <c r="G329">
        <v>0</v>
      </c>
      <c r="T329">
        <v>0</v>
      </c>
      <c r="W329">
        <v>0</v>
      </c>
    </row>
    <row r="330" spans="1:24" x14ac:dyDescent="0.25">
      <c r="A330" t="s">
        <v>405</v>
      </c>
      <c r="B330">
        <v>21</v>
      </c>
      <c r="D330">
        <v>0</v>
      </c>
    </row>
    <row r="331" spans="1:24" x14ac:dyDescent="0.25">
      <c r="A331" t="s">
        <v>720</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695</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696</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697</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698</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699</v>
      </c>
      <c r="B357">
        <v>25</v>
      </c>
      <c r="C357">
        <v>0</v>
      </c>
      <c r="K357">
        <v>0</v>
      </c>
      <c r="N357">
        <v>0</v>
      </c>
    </row>
    <row r="358" spans="1:14" x14ac:dyDescent="0.25">
      <c r="A358" t="s">
        <v>678</v>
      </c>
      <c r="B358">
        <v>25</v>
      </c>
      <c r="C358">
        <v>656</v>
      </c>
      <c r="K358">
        <v>3145</v>
      </c>
      <c r="N358">
        <v>1028</v>
      </c>
    </row>
    <row r="359" spans="1:14" x14ac:dyDescent="0.25">
      <c r="A359" t="s">
        <v>78</v>
      </c>
      <c r="B359">
        <v>25</v>
      </c>
      <c r="C359">
        <v>14.9</v>
      </c>
      <c r="K359">
        <v>47.7</v>
      </c>
      <c r="N359">
        <v>15.6</v>
      </c>
    </row>
    <row r="360" spans="1:14" x14ac:dyDescent="0.25">
      <c r="A360" t="s">
        <v>700</v>
      </c>
      <c r="B360">
        <v>25</v>
      </c>
      <c r="E360">
        <v>0</v>
      </c>
      <c r="L360">
        <v>0</v>
      </c>
      <c r="N360">
        <v>0</v>
      </c>
    </row>
    <row r="361" spans="1:14" x14ac:dyDescent="0.25">
      <c r="A361" t="s">
        <v>701</v>
      </c>
      <c r="B361">
        <v>25</v>
      </c>
      <c r="C361">
        <v>0</v>
      </c>
      <c r="E361">
        <v>1</v>
      </c>
      <c r="K361">
        <v>0</v>
      </c>
      <c r="L361">
        <v>1</v>
      </c>
      <c r="M361">
        <v>0</v>
      </c>
      <c r="N361">
        <v>0</v>
      </c>
    </row>
    <row r="362" spans="1:14" x14ac:dyDescent="0.25">
      <c r="A362" t="s">
        <v>702</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703</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704</v>
      </c>
      <c r="B368">
        <v>25</v>
      </c>
      <c r="C368">
        <v>0</v>
      </c>
      <c r="K368">
        <v>0</v>
      </c>
      <c r="M368">
        <v>0</v>
      </c>
      <c r="N368">
        <v>0</v>
      </c>
    </row>
    <row r="369" spans="1:14" x14ac:dyDescent="0.25">
      <c r="A369" t="s">
        <v>705</v>
      </c>
      <c r="B369">
        <v>25</v>
      </c>
      <c r="C369">
        <v>0</v>
      </c>
      <c r="K369">
        <v>0</v>
      </c>
      <c r="M369">
        <v>0</v>
      </c>
      <c r="N369">
        <v>0</v>
      </c>
    </row>
    <row r="370" spans="1:14" x14ac:dyDescent="0.25">
      <c r="A370" t="s">
        <v>706</v>
      </c>
      <c r="B370">
        <v>25</v>
      </c>
      <c r="C370">
        <v>0</v>
      </c>
      <c r="K370">
        <v>0</v>
      </c>
      <c r="M370">
        <v>0</v>
      </c>
      <c r="N370">
        <v>0</v>
      </c>
    </row>
    <row r="371" spans="1:14" x14ac:dyDescent="0.25">
      <c r="A371" t="s">
        <v>707</v>
      </c>
      <c r="B371">
        <v>25</v>
      </c>
      <c r="C371">
        <v>0</v>
      </c>
      <c r="K371">
        <v>0</v>
      </c>
      <c r="M371">
        <v>0</v>
      </c>
      <c r="N371">
        <v>0</v>
      </c>
    </row>
    <row r="372" spans="1:14" x14ac:dyDescent="0.25">
      <c r="A372" t="s">
        <v>708</v>
      </c>
      <c r="B372">
        <v>25</v>
      </c>
      <c r="C372">
        <v>1</v>
      </c>
      <c r="K372">
        <v>2</v>
      </c>
      <c r="M372">
        <v>1</v>
      </c>
      <c r="N372">
        <v>2</v>
      </c>
    </row>
    <row r="373" spans="1:14" x14ac:dyDescent="0.25">
      <c r="A373" t="s">
        <v>709</v>
      </c>
      <c r="B373">
        <v>25</v>
      </c>
      <c r="C373">
        <v>0</v>
      </c>
      <c r="K373">
        <v>0</v>
      </c>
      <c r="M373">
        <v>0</v>
      </c>
      <c r="N373">
        <v>0</v>
      </c>
    </row>
    <row r="374" spans="1:14" x14ac:dyDescent="0.25">
      <c r="A374" t="s">
        <v>710</v>
      </c>
      <c r="B374">
        <v>25</v>
      </c>
      <c r="C374">
        <v>20</v>
      </c>
      <c r="K374">
        <v>6</v>
      </c>
      <c r="M374">
        <v>20</v>
      </c>
      <c r="N374">
        <v>6</v>
      </c>
    </row>
    <row r="375" spans="1:14" x14ac:dyDescent="0.25">
      <c r="A375" t="s">
        <v>711</v>
      </c>
      <c r="B375">
        <v>25</v>
      </c>
      <c r="C375">
        <v>3</v>
      </c>
      <c r="K375">
        <v>3</v>
      </c>
      <c r="M375">
        <v>3</v>
      </c>
      <c r="N375">
        <v>3</v>
      </c>
    </row>
    <row r="376" spans="1:14" x14ac:dyDescent="0.25">
      <c r="A376" t="s">
        <v>712</v>
      </c>
      <c r="B376">
        <v>25</v>
      </c>
      <c r="C376">
        <v>0</v>
      </c>
      <c r="K376">
        <v>0</v>
      </c>
      <c r="M376">
        <v>0</v>
      </c>
      <c r="N376">
        <v>0</v>
      </c>
    </row>
    <row r="377" spans="1:14" x14ac:dyDescent="0.25">
      <c r="A377" t="s">
        <v>713</v>
      </c>
      <c r="B377">
        <v>25</v>
      </c>
      <c r="C377">
        <v>0</v>
      </c>
      <c r="K377">
        <v>0</v>
      </c>
      <c r="M377">
        <v>0</v>
      </c>
      <c r="N377">
        <v>0</v>
      </c>
    </row>
    <row r="378" spans="1:14" x14ac:dyDescent="0.25">
      <c r="A378" t="s">
        <v>714</v>
      </c>
      <c r="B378">
        <v>25</v>
      </c>
      <c r="C378">
        <v>0</v>
      </c>
      <c r="K378">
        <v>0</v>
      </c>
      <c r="M378">
        <v>0</v>
      </c>
      <c r="N378">
        <v>0</v>
      </c>
    </row>
    <row r="379" spans="1:14" x14ac:dyDescent="0.25">
      <c r="A379" t="s">
        <v>715</v>
      </c>
      <c r="B379">
        <v>25</v>
      </c>
      <c r="K379">
        <v>94</v>
      </c>
      <c r="N379">
        <v>94</v>
      </c>
    </row>
    <row r="380" spans="1:14" x14ac:dyDescent="0.25">
      <c r="A380" t="s">
        <v>716</v>
      </c>
      <c r="B380">
        <v>25</v>
      </c>
      <c r="K380">
        <v>6</v>
      </c>
      <c r="N380">
        <v>6</v>
      </c>
    </row>
    <row r="381" spans="1:14" x14ac:dyDescent="0.25">
      <c r="A381" t="s">
        <v>717</v>
      </c>
      <c r="B381">
        <v>25</v>
      </c>
      <c r="K381">
        <v>3</v>
      </c>
      <c r="N381">
        <v>3</v>
      </c>
    </row>
    <row r="382" spans="1:14" x14ac:dyDescent="0.25">
      <c r="A382" t="s">
        <v>718</v>
      </c>
      <c r="B382">
        <v>25</v>
      </c>
      <c r="K382">
        <v>0</v>
      </c>
      <c r="N382">
        <v>0</v>
      </c>
    </row>
    <row r="383" spans="1:14" x14ac:dyDescent="0.25">
      <c r="A383" t="s">
        <v>719</v>
      </c>
      <c r="B383">
        <v>25</v>
      </c>
      <c r="C383">
        <v>0</v>
      </c>
      <c r="K383">
        <v>0</v>
      </c>
      <c r="N383">
        <v>0</v>
      </c>
    </row>
    <row r="384" spans="1:14" x14ac:dyDescent="0.25">
      <c r="A384" t="s">
        <v>405</v>
      </c>
      <c r="B384">
        <v>25</v>
      </c>
      <c r="C384">
        <v>0</v>
      </c>
    </row>
    <row r="385" spans="1:24" x14ac:dyDescent="0.25">
      <c r="A385" t="s">
        <v>720</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695</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696</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697</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698</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699</v>
      </c>
      <c r="B412">
        <v>26</v>
      </c>
      <c r="P412">
        <v>0</v>
      </c>
      <c r="T412">
        <v>0</v>
      </c>
      <c r="W412">
        <v>0</v>
      </c>
    </row>
    <row r="413" spans="1:24" x14ac:dyDescent="0.25">
      <c r="A413" t="s">
        <v>678</v>
      </c>
      <c r="B413">
        <v>26</v>
      </c>
      <c r="P413">
        <v>298</v>
      </c>
      <c r="T413">
        <v>3236</v>
      </c>
      <c r="W413">
        <v>1261</v>
      </c>
    </row>
    <row r="414" spans="1:24" x14ac:dyDescent="0.25">
      <c r="A414" t="s">
        <v>78</v>
      </c>
      <c r="B414">
        <v>26</v>
      </c>
      <c r="P414">
        <v>8.1</v>
      </c>
      <c r="T414">
        <v>49</v>
      </c>
      <c r="W414">
        <v>19.100000000000001</v>
      </c>
    </row>
    <row r="415" spans="1:24" x14ac:dyDescent="0.25">
      <c r="A415" t="s">
        <v>700</v>
      </c>
      <c r="B415">
        <v>26</v>
      </c>
      <c r="R415">
        <v>0</v>
      </c>
      <c r="T415">
        <v>0</v>
      </c>
      <c r="X415">
        <v>0</v>
      </c>
    </row>
    <row r="416" spans="1:24" x14ac:dyDescent="0.25">
      <c r="A416" t="s">
        <v>701</v>
      </c>
      <c r="B416">
        <v>26</v>
      </c>
      <c r="P416">
        <v>0</v>
      </c>
      <c r="R416">
        <v>1</v>
      </c>
      <c r="S416">
        <v>0</v>
      </c>
      <c r="T416">
        <v>0</v>
      </c>
      <c r="W416">
        <v>0</v>
      </c>
      <c r="X416">
        <v>1</v>
      </c>
    </row>
    <row r="417" spans="1:24" x14ac:dyDescent="0.25">
      <c r="A417" t="s">
        <v>702</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703</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704</v>
      </c>
      <c r="B423">
        <v>26</v>
      </c>
      <c r="P423">
        <v>0</v>
      </c>
      <c r="R423">
        <v>0</v>
      </c>
      <c r="S423">
        <v>0</v>
      </c>
      <c r="T423">
        <v>0</v>
      </c>
      <c r="W423">
        <v>0</v>
      </c>
      <c r="X423">
        <v>0</v>
      </c>
    </row>
    <row r="424" spans="1:24" x14ac:dyDescent="0.25">
      <c r="A424" t="s">
        <v>705</v>
      </c>
      <c r="B424">
        <v>26</v>
      </c>
      <c r="P424">
        <v>0</v>
      </c>
      <c r="R424">
        <v>0</v>
      </c>
      <c r="S424">
        <v>0</v>
      </c>
      <c r="T424">
        <v>0</v>
      </c>
      <c r="W424">
        <v>0</v>
      </c>
      <c r="X424">
        <v>0</v>
      </c>
    </row>
    <row r="425" spans="1:24" x14ac:dyDescent="0.25">
      <c r="A425" t="s">
        <v>706</v>
      </c>
      <c r="B425">
        <v>26</v>
      </c>
      <c r="P425">
        <v>0</v>
      </c>
      <c r="R425">
        <v>0</v>
      </c>
      <c r="S425">
        <v>0</v>
      </c>
      <c r="T425">
        <v>0</v>
      </c>
      <c r="W425">
        <v>0</v>
      </c>
      <c r="X425">
        <v>0</v>
      </c>
    </row>
    <row r="426" spans="1:24" x14ac:dyDescent="0.25">
      <c r="A426" t="s">
        <v>707</v>
      </c>
      <c r="B426">
        <v>26</v>
      </c>
      <c r="P426">
        <v>0</v>
      </c>
      <c r="R426">
        <v>0</v>
      </c>
      <c r="S426">
        <v>0</v>
      </c>
      <c r="T426">
        <v>0</v>
      </c>
      <c r="W426">
        <v>0</v>
      </c>
      <c r="X426">
        <v>0</v>
      </c>
    </row>
    <row r="427" spans="1:24" x14ac:dyDescent="0.25">
      <c r="A427" t="s">
        <v>708</v>
      </c>
      <c r="B427">
        <v>26</v>
      </c>
      <c r="P427">
        <v>0</v>
      </c>
      <c r="R427">
        <v>0</v>
      </c>
      <c r="S427">
        <v>0</v>
      </c>
      <c r="T427">
        <v>0</v>
      </c>
      <c r="W427">
        <v>0</v>
      </c>
      <c r="X427">
        <v>0</v>
      </c>
    </row>
    <row r="428" spans="1:24" x14ac:dyDescent="0.25">
      <c r="A428" t="s">
        <v>719</v>
      </c>
      <c r="B428">
        <v>26</v>
      </c>
      <c r="P428">
        <v>0</v>
      </c>
      <c r="T428">
        <v>0</v>
      </c>
      <c r="W428">
        <v>0</v>
      </c>
    </row>
    <row r="429" spans="1:24" x14ac:dyDescent="0.25">
      <c r="A429" t="s">
        <v>405</v>
      </c>
      <c r="B429">
        <v>26</v>
      </c>
      <c r="P429">
        <v>0</v>
      </c>
    </row>
    <row r="430" spans="1:24" x14ac:dyDescent="0.25">
      <c r="A430" t="s">
        <v>720</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695</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696</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697</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698</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699</v>
      </c>
      <c r="B457">
        <v>27</v>
      </c>
      <c r="P457">
        <v>0</v>
      </c>
      <c r="T457">
        <v>0</v>
      </c>
      <c r="W457">
        <v>0</v>
      </c>
    </row>
    <row r="458" spans="1:24" x14ac:dyDescent="0.25">
      <c r="A458" t="s">
        <v>678</v>
      </c>
      <c r="B458">
        <v>27</v>
      </c>
      <c r="P458">
        <v>262</v>
      </c>
      <c r="T458">
        <v>1261</v>
      </c>
      <c r="W458">
        <v>2453</v>
      </c>
    </row>
    <row r="459" spans="1:24" x14ac:dyDescent="0.25">
      <c r="A459" t="s">
        <v>78</v>
      </c>
      <c r="B459">
        <v>27</v>
      </c>
      <c r="P459">
        <v>6</v>
      </c>
      <c r="T459">
        <v>19.100000000000001</v>
      </c>
      <c r="W459">
        <v>37.200000000000003</v>
      </c>
    </row>
    <row r="460" spans="1:24" x14ac:dyDescent="0.25">
      <c r="A460" t="s">
        <v>700</v>
      </c>
      <c r="B460">
        <v>27</v>
      </c>
      <c r="R460">
        <v>0</v>
      </c>
      <c r="T460">
        <v>0</v>
      </c>
      <c r="X460">
        <v>0</v>
      </c>
    </row>
    <row r="461" spans="1:24" x14ac:dyDescent="0.25">
      <c r="A461" t="s">
        <v>701</v>
      </c>
      <c r="B461">
        <v>27</v>
      </c>
      <c r="P461">
        <v>0</v>
      </c>
      <c r="R461">
        <v>1</v>
      </c>
      <c r="S461">
        <v>0</v>
      </c>
      <c r="T461">
        <v>0</v>
      </c>
      <c r="W461">
        <v>0</v>
      </c>
      <c r="X461">
        <v>1</v>
      </c>
    </row>
    <row r="462" spans="1:24" x14ac:dyDescent="0.25">
      <c r="A462" t="s">
        <v>702</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703</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704</v>
      </c>
      <c r="B468">
        <v>27</v>
      </c>
      <c r="P468">
        <v>0</v>
      </c>
      <c r="R468">
        <v>0</v>
      </c>
      <c r="S468">
        <v>0</v>
      </c>
      <c r="T468">
        <v>0</v>
      </c>
      <c r="W468">
        <v>0</v>
      </c>
      <c r="X468">
        <v>0</v>
      </c>
    </row>
    <row r="469" spans="1:24" x14ac:dyDescent="0.25">
      <c r="A469" t="s">
        <v>705</v>
      </c>
      <c r="B469">
        <v>27</v>
      </c>
      <c r="P469">
        <v>0</v>
      </c>
      <c r="R469">
        <v>0</v>
      </c>
      <c r="S469">
        <v>0</v>
      </c>
      <c r="T469">
        <v>0</v>
      </c>
      <c r="W469">
        <v>0</v>
      </c>
      <c r="X469">
        <v>0</v>
      </c>
    </row>
    <row r="470" spans="1:24" x14ac:dyDescent="0.25">
      <c r="A470" t="s">
        <v>706</v>
      </c>
      <c r="B470">
        <v>27</v>
      </c>
      <c r="P470">
        <v>0</v>
      </c>
      <c r="R470">
        <v>0</v>
      </c>
      <c r="S470">
        <v>0</v>
      </c>
      <c r="T470">
        <v>0</v>
      </c>
      <c r="W470">
        <v>0</v>
      </c>
      <c r="X470">
        <v>0</v>
      </c>
    </row>
    <row r="471" spans="1:24" x14ac:dyDescent="0.25">
      <c r="A471" t="s">
        <v>707</v>
      </c>
      <c r="B471">
        <v>27</v>
      </c>
      <c r="P471">
        <v>0</v>
      </c>
      <c r="R471">
        <v>0</v>
      </c>
      <c r="S471">
        <v>0</v>
      </c>
      <c r="T471">
        <v>0</v>
      </c>
      <c r="W471">
        <v>0</v>
      </c>
      <c r="X471">
        <v>0</v>
      </c>
    </row>
    <row r="472" spans="1:24" x14ac:dyDescent="0.25">
      <c r="A472" t="s">
        <v>708</v>
      </c>
      <c r="B472">
        <v>27</v>
      </c>
      <c r="P472">
        <v>0</v>
      </c>
      <c r="R472">
        <v>0</v>
      </c>
      <c r="S472">
        <v>0</v>
      </c>
      <c r="T472">
        <v>0</v>
      </c>
      <c r="W472">
        <v>0</v>
      </c>
      <c r="X472">
        <v>0</v>
      </c>
    </row>
    <row r="473" spans="1:24" x14ac:dyDescent="0.25">
      <c r="A473" t="s">
        <v>719</v>
      </c>
      <c r="B473">
        <v>27</v>
      </c>
      <c r="P473">
        <v>0</v>
      </c>
      <c r="T473">
        <v>0</v>
      </c>
      <c r="W473">
        <v>0</v>
      </c>
    </row>
    <row r="474" spans="1:24" x14ac:dyDescent="0.25">
      <c r="A474" t="s">
        <v>405</v>
      </c>
      <c r="B474">
        <v>27</v>
      </c>
      <c r="P474">
        <v>0</v>
      </c>
    </row>
    <row r="475" spans="1:24" x14ac:dyDescent="0.25">
      <c r="A475" t="s">
        <v>720</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695</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696</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697</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698</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699</v>
      </c>
      <c r="B502">
        <v>28</v>
      </c>
      <c r="P502">
        <v>0</v>
      </c>
      <c r="T502">
        <v>0</v>
      </c>
      <c r="W502">
        <v>0</v>
      </c>
    </row>
    <row r="503" spans="1:24" x14ac:dyDescent="0.25">
      <c r="A503" t="s">
        <v>678</v>
      </c>
      <c r="B503">
        <v>28</v>
      </c>
      <c r="P503">
        <v>274</v>
      </c>
      <c r="T503">
        <v>1161</v>
      </c>
      <c r="W503">
        <v>3236</v>
      </c>
    </row>
    <row r="504" spans="1:24" x14ac:dyDescent="0.25">
      <c r="A504" t="s">
        <v>78</v>
      </c>
      <c r="B504">
        <v>28</v>
      </c>
      <c r="P504">
        <v>7.5</v>
      </c>
      <c r="T504">
        <v>17.600000000000001</v>
      </c>
      <c r="W504">
        <v>49</v>
      </c>
    </row>
    <row r="505" spans="1:24" x14ac:dyDescent="0.25">
      <c r="A505" t="s">
        <v>700</v>
      </c>
      <c r="B505">
        <v>28</v>
      </c>
      <c r="R505">
        <v>0</v>
      </c>
      <c r="T505">
        <v>0</v>
      </c>
      <c r="X505">
        <v>0</v>
      </c>
    </row>
    <row r="506" spans="1:24" x14ac:dyDescent="0.25">
      <c r="A506" t="s">
        <v>701</v>
      </c>
      <c r="B506">
        <v>28</v>
      </c>
      <c r="P506">
        <v>0</v>
      </c>
      <c r="R506">
        <v>1</v>
      </c>
      <c r="S506">
        <v>0</v>
      </c>
      <c r="T506">
        <v>0</v>
      </c>
      <c r="W506">
        <v>0</v>
      </c>
      <c r="X506">
        <v>1</v>
      </c>
    </row>
    <row r="507" spans="1:24" x14ac:dyDescent="0.25">
      <c r="A507" t="s">
        <v>702</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703</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704</v>
      </c>
      <c r="B513">
        <v>28</v>
      </c>
      <c r="P513">
        <v>0</v>
      </c>
      <c r="R513">
        <v>0</v>
      </c>
      <c r="S513">
        <v>0</v>
      </c>
      <c r="T513">
        <v>0</v>
      </c>
      <c r="W513">
        <v>0</v>
      </c>
      <c r="X513">
        <v>0</v>
      </c>
    </row>
    <row r="514" spans="1:24" x14ac:dyDescent="0.25">
      <c r="A514" t="s">
        <v>705</v>
      </c>
      <c r="B514">
        <v>28</v>
      </c>
      <c r="P514">
        <v>0</v>
      </c>
      <c r="R514">
        <v>0</v>
      </c>
      <c r="S514">
        <v>0</v>
      </c>
      <c r="T514">
        <v>0</v>
      </c>
      <c r="W514">
        <v>0</v>
      </c>
      <c r="X514">
        <v>0</v>
      </c>
    </row>
    <row r="515" spans="1:24" x14ac:dyDescent="0.25">
      <c r="A515" t="s">
        <v>706</v>
      </c>
      <c r="B515">
        <v>28</v>
      </c>
      <c r="P515">
        <v>0</v>
      </c>
      <c r="R515">
        <v>0</v>
      </c>
      <c r="S515">
        <v>0</v>
      </c>
      <c r="T515">
        <v>0</v>
      </c>
      <c r="W515">
        <v>0</v>
      </c>
      <c r="X515">
        <v>0</v>
      </c>
    </row>
    <row r="516" spans="1:24" x14ac:dyDescent="0.25">
      <c r="A516" t="s">
        <v>707</v>
      </c>
      <c r="B516">
        <v>28</v>
      </c>
      <c r="P516">
        <v>0</v>
      </c>
      <c r="R516">
        <v>0</v>
      </c>
      <c r="S516">
        <v>0</v>
      </c>
      <c r="T516">
        <v>0</v>
      </c>
      <c r="W516">
        <v>0</v>
      </c>
      <c r="X516">
        <v>0</v>
      </c>
    </row>
    <row r="517" spans="1:24" x14ac:dyDescent="0.25">
      <c r="A517" t="s">
        <v>708</v>
      </c>
      <c r="B517">
        <v>28</v>
      </c>
      <c r="P517">
        <v>0</v>
      </c>
      <c r="R517">
        <v>0</v>
      </c>
      <c r="S517">
        <v>0</v>
      </c>
      <c r="T517">
        <v>0</v>
      </c>
      <c r="W517">
        <v>0</v>
      </c>
      <c r="X517">
        <v>0</v>
      </c>
    </row>
    <row r="518" spans="1:24" x14ac:dyDescent="0.25">
      <c r="A518" t="s">
        <v>719</v>
      </c>
      <c r="B518">
        <v>28</v>
      </c>
      <c r="P518">
        <v>0</v>
      </c>
      <c r="T518">
        <v>0</v>
      </c>
      <c r="W518">
        <v>0</v>
      </c>
    </row>
    <row r="519" spans="1:24" x14ac:dyDescent="0.25">
      <c r="A519" t="s">
        <v>405</v>
      </c>
      <c r="B519">
        <v>28</v>
      </c>
      <c r="P519">
        <v>0</v>
      </c>
    </row>
    <row r="520" spans="1:24" x14ac:dyDescent="0.25">
      <c r="A520" t="s">
        <v>720</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695</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696</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697</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698</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699</v>
      </c>
      <c r="B547">
        <v>31</v>
      </c>
      <c r="P547">
        <v>0</v>
      </c>
      <c r="T547">
        <v>0</v>
      </c>
      <c r="W547">
        <v>0</v>
      </c>
    </row>
    <row r="548" spans="1:24" x14ac:dyDescent="0.25">
      <c r="A548" t="s">
        <v>678</v>
      </c>
      <c r="B548">
        <v>31</v>
      </c>
      <c r="P548">
        <v>456</v>
      </c>
      <c r="T548">
        <v>2453</v>
      </c>
      <c r="W548">
        <v>2608</v>
      </c>
    </row>
    <row r="549" spans="1:24" x14ac:dyDescent="0.25">
      <c r="A549" t="s">
        <v>78</v>
      </c>
      <c r="B549">
        <v>31</v>
      </c>
      <c r="P549">
        <v>12.4</v>
      </c>
      <c r="T549">
        <v>37.200000000000003</v>
      </c>
      <c r="W549">
        <v>39.5</v>
      </c>
    </row>
    <row r="550" spans="1:24" x14ac:dyDescent="0.25">
      <c r="A550" t="s">
        <v>700</v>
      </c>
      <c r="B550">
        <v>31</v>
      </c>
      <c r="R550">
        <v>0</v>
      </c>
      <c r="T550">
        <v>0</v>
      </c>
      <c r="X550">
        <v>0</v>
      </c>
    </row>
    <row r="551" spans="1:24" x14ac:dyDescent="0.25">
      <c r="A551" t="s">
        <v>701</v>
      </c>
      <c r="B551">
        <v>31</v>
      </c>
      <c r="P551">
        <v>0</v>
      </c>
      <c r="R551">
        <v>1</v>
      </c>
      <c r="S551">
        <v>0</v>
      </c>
      <c r="T551">
        <v>0</v>
      </c>
      <c r="W551">
        <v>0</v>
      </c>
      <c r="X551">
        <v>1</v>
      </c>
    </row>
    <row r="552" spans="1:24" x14ac:dyDescent="0.25">
      <c r="A552" t="s">
        <v>702</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703</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704</v>
      </c>
      <c r="B558">
        <v>31</v>
      </c>
      <c r="P558">
        <v>0</v>
      </c>
      <c r="R558">
        <v>0</v>
      </c>
      <c r="S558">
        <v>0</v>
      </c>
      <c r="T558">
        <v>0</v>
      </c>
      <c r="W558">
        <v>0</v>
      </c>
      <c r="X558">
        <v>0</v>
      </c>
    </row>
    <row r="559" spans="1:24" x14ac:dyDescent="0.25">
      <c r="A559" t="s">
        <v>705</v>
      </c>
      <c r="B559">
        <v>31</v>
      </c>
      <c r="P559">
        <v>0</v>
      </c>
      <c r="R559">
        <v>0</v>
      </c>
      <c r="S559">
        <v>0</v>
      </c>
      <c r="T559">
        <v>0</v>
      </c>
      <c r="W559">
        <v>0</v>
      </c>
      <c r="X559">
        <v>0</v>
      </c>
    </row>
    <row r="560" spans="1:24" x14ac:dyDescent="0.25">
      <c r="A560" t="s">
        <v>706</v>
      </c>
      <c r="B560">
        <v>31</v>
      </c>
      <c r="P560">
        <v>0</v>
      </c>
      <c r="R560">
        <v>0</v>
      </c>
      <c r="S560">
        <v>0</v>
      </c>
      <c r="T560">
        <v>0</v>
      </c>
      <c r="W560">
        <v>0</v>
      </c>
      <c r="X560">
        <v>0</v>
      </c>
    </row>
    <row r="561" spans="1:24" x14ac:dyDescent="0.25">
      <c r="A561" t="s">
        <v>707</v>
      </c>
      <c r="B561">
        <v>31</v>
      </c>
      <c r="P561">
        <v>0</v>
      </c>
      <c r="R561">
        <v>0</v>
      </c>
      <c r="S561">
        <v>0</v>
      </c>
      <c r="T561">
        <v>0</v>
      </c>
      <c r="W561">
        <v>0</v>
      </c>
      <c r="X561">
        <v>0</v>
      </c>
    </row>
    <row r="562" spans="1:24" x14ac:dyDescent="0.25">
      <c r="A562" t="s">
        <v>708</v>
      </c>
      <c r="B562">
        <v>31</v>
      </c>
      <c r="P562">
        <v>1</v>
      </c>
      <c r="R562">
        <v>1</v>
      </c>
      <c r="S562">
        <v>1</v>
      </c>
      <c r="T562">
        <v>2</v>
      </c>
      <c r="W562">
        <v>2</v>
      </c>
      <c r="X562">
        <v>1</v>
      </c>
    </row>
    <row r="563" spans="1:24" x14ac:dyDescent="0.25">
      <c r="A563" t="s">
        <v>709</v>
      </c>
      <c r="B563">
        <v>31</v>
      </c>
      <c r="P563">
        <v>0</v>
      </c>
      <c r="R563">
        <v>0</v>
      </c>
      <c r="S563">
        <v>0</v>
      </c>
      <c r="T563">
        <v>0</v>
      </c>
      <c r="W563">
        <v>0</v>
      </c>
      <c r="X563">
        <v>0</v>
      </c>
    </row>
    <row r="564" spans="1:24" x14ac:dyDescent="0.25">
      <c r="A564" t="s">
        <v>710</v>
      </c>
      <c r="B564">
        <v>31</v>
      </c>
      <c r="P564">
        <v>20</v>
      </c>
      <c r="R564">
        <v>20</v>
      </c>
      <c r="S564">
        <v>20</v>
      </c>
      <c r="T564">
        <v>6</v>
      </c>
      <c r="W564">
        <v>6</v>
      </c>
      <c r="X564">
        <v>20</v>
      </c>
    </row>
    <row r="565" spans="1:24" x14ac:dyDescent="0.25">
      <c r="A565" t="s">
        <v>711</v>
      </c>
      <c r="B565">
        <v>31</v>
      </c>
      <c r="P565">
        <v>3</v>
      </c>
      <c r="R565">
        <v>3</v>
      </c>
      <c r="S565">
        <v>3</v>
      </c>
      <c r="T565">
        <v>3</v>
      </c>
      <c r="W565">
        <v>3</v>
      </c>
      <c r="X565">
        <v>3</v>
      </c>
    </row>
    <row r="566" spans="1:24" x14ac:dyDescent="0.25">
      <c r="A566" t="s">
        <v>712</v>
      </c>
      <c r="B566">
        <v>31</v>
      </c>
      <c r="P566">
        <v>0</v>
      </c>
      <c r="R566">
        <v>0</v>
      </c>
      <c r="S566">
        <v>0</v>
      </c>
      <c r="T566">
        <v>0</v>
      </c>
      <c r="W566">
        <v>0</v>
      </c>
      <c r="X566">
        <v>0</v>
      </c>
    </row>
    <row r="567" spans="1:24" x14ac:dyDescent="0.25">
      <c r="A567" t="s">
        <v>713</v>
      </c>
      <c r="B567">
        <v>31</v>
      </c>
      <c r="P567">
        <v>0</v>
      </c>
      <c r="R567">
        <v>0</v>
      </c>
      <c r="S567">
        <v>0</v>
      </c>
      <c r="T567">
        <v>0</v>
      </c>
      <c r="W567">
        <v>0</v>
      </c>
      <c r="X567">
        <v>0</v>
      </c>
    </row>
    <row r="568" spans="1:24" x14ac:dyDescent="0.25">
      <c r="A568" t="s">
        <v>714</v>
      </c>
      <c r="B568">
        <v>31</v>
      </c>
      <c r="P568">
        <v>0</v>
      </c>
      <c r="R568">
        <v>0</v>
      </c>
      <c r="S568">
        <v>0</v>
      </c>
      <c r="T568">
        <v>0</v>
      </c>
      <c r="W568">
        <v>0</v>
      </c>
      <c r="X568">
        <v>0</v>
      </c>
    </row>
    <row r="569" spans="1:24" x14ac:dyDescent="0.25">
      <c r="A569" t="s">
        <v>715</v>
      </c>
      <c r="B569">
        <v>31</v>
      </c>
      <c r="T569">
        <v>94</v>
      </c>
      <c r="W569">
        <v>94</v>
      </c>
    </row>
    <row r="570" spans="1:24" x14ac:dyDescent="0.25">
      <c r="A570" t="s">
        <v>716</v>
      </c>
      <c r="B570">
        <v>31</v>
      </c>
      <c r="T570">
        <v>6</v>
      </c>
      <c r="W570">
        <v>6</v>
      </c>
    </row>
    <row r="571" spans="1:24" x14ac:dyDescent="0.25">
      <c r="A571" t="s">
        <v>717</v>
      </c>
      <c r="B571">
        <v>31</v>
      </c>
      <c r="T571">
        <v>3</v>
      </c>
      <c r="W571">
        <v>3</v>
      </c>
    </row>
    <row r="572" spans="1:24" x14ac:dyDescent="0.25">
      <c r="A572" t="s">
        <v>718</v>
      </c>
      <c r="B572">
        <v>31</v>
      </c>
      <c r="T572">
        <v>0</v>
      </c>
      <c r="W572">
        <v>0</v>
      </c>
    </row>
    <row r="573" spans="1:24" x14ac:dyDescent="0.25">
      <c r="A573" t="s">
        <v>719</v>
      </c>
      <c r="B573">
        <v>31</v>
      </c>
      <c r="P573">
        <v>0</v>
      </c>
      <c r="T573">
        <v>0</v>
      </c>
      <c r="W573">
        <v>0</v>
      </c>
    </row>
    <row r="574" spans="1:24" x14ac:dyDescent="0.25">
      <c r="A574" t="s">
        <v>405</v>
      </c>
      <c r="B574">
        <v>31</v>
      </c>
      <c r="P574">
        <v>0</v>
      </c>
    </row>
    <row r="575" spans="1:24" x14ac:dyDescent="0.25">
      <c r="A575" t="s">
        <v>720</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695</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696</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697</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698</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699</v>
      </c>
      <c r="B602">
        <v>33</v>
      </c>
      <c r="P602">
        <v>0</v>
      </c>
      <c r="T602">
        <v>0</v>
      </c>
      <c r="W602">
        <v>0</v>
      </c>
    </row>
    <row r="603" spans="1:24" x14ac:dyDescent="0.25">
      <c r="A603" t="s">
        <v>678</v>
      </c>
      <c r="B603">
        <v>33</v>
      </c>
      <c r="P603">
        <v>375</v>
      </c>
      <c r="T603">
        <v>2608</v>
      </c>
      <c r="W603">
        <v>1440</v>
      </c>
    </row>
    <row r="604" spans="1:24" x14ac:dyDescent="0.25">
      <c r="A604" t="s">
        <v>78</v>
      </c>
      <c r="B604">
        <v>33</v>
      </c>
      <c r="P604">
        <v>10.199999999999999</v>
      </c>
      <c r="T604">
        <v>39.5</v>
      </c>
      <c r="W604">
        <v>21.8</v>
      </c>
    </row>
    <row r="605" spans="1:24" x14ac:dyDescent="0.25">
      <c r="A605" t="s">
        <v>700</v>
      </c>
      <c r="B605">
        <v>33</v>
      </c>
      <c r="R605">
        <v>0</v>
      </c>
      <c r="T605">
        <v>0</v>
      </c>
      <c r="X605">
        <v>0</v>
      </c>
    </row>
    <row r="606" spans="1:24" x14ac:dyDescent="0.25">
      <c r="A606" t="s">
        <v>701</v>
      </c>
      <c r="B606">
        <v>33</v>
      </c>
      <c r="P606">
        <v>0</v>
      </c>
      <c r="R606">
        <v>1</v>
      </c>
      <c r="S606">
        <v>0</v>
      </c>
      <c r="T606">
        <v>0</v>
      </c>
      <c r="W606">
        <v>0</v>
      </c>
      <c r="X606">
        <v>1</v>
      </c>
    </row>
    <row r="607" spans="1:24" x14ac:dyDescent="0.25">
      <c r="A607" t="s">
        <v>702</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703</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704</v>
      </c>
      <c r="B613">
        <v>33</v>
      </c>
      <c r="P613">
        <v>0</v>
      </c>
      <c r="R613">
        <v>0</v>
      </c>
      <c r="S613">
        <v>0</v>
      </c>
      <c r="T613">
        <v>0</v>
      </c>
      <c r="W613">
        <v>0</v>
      </c>
      <c r="X613">
        <v>0</v>
      </c>
    </row>
    <row r="614" spans="1:24" x14ac:dyDescent="0.25">
      <c r="A614" t="s">
        <v>705</v>
      </c>
      <c r="B614">
        <v>33</v>
      </c>
      <c r="P614">
        <v>0</v>
      </c>
      <c r="R614">
        <v>0</v>
      </c>
      <c r="S614">
        <v>0</v>
      </c>
      <c r="T614">
        <v>0</v>
      </c>
      <c r="W614">
        <v>0</v>
      </c>
      <c r="X614">
        <v>0</v>
      </c>
    </row>
    <row r="615" spans="1:24" x14ac:dyDescent="0.25">
      <c r="A615" t="s">
        <v>706</v>
      </c>
      <c r="B615">
        <v>33</v>
      </c>
      <c r="P615">
        <v>0</v>
      </c>
      <c r="R615">
        <v>0</v>
      </c>
      <c r="S615">
        <v>0</v>
      </c>
      <c r="T615">
        <v>0</v>
      </c>
      <c r="W615">
        <v>0</v>
      </c>
      <c r="X615">
        <v>0</v>
      </c>
    </row>
    <row r="616" spans="1:24" x14ac:dyDescent="0.25">
      <c r="A616" t="s">
        <v>707</v>
      </c>
      <c r="B616">
        <v>33</v>
      </c>
      <c r="P616">
        <v>0</v>
      </c>
      <c r="R616">
        <v>0</v>
      </c>
      <c r="S616">
        <v>0</v>
      </c>
      <c r="T616">
        <v>0</v>
      </c>
      <c r="W616">
        <v>0</v>
      </c>
      <c r="X616">
        <v>0</v>
      </c>
    </row>
    <row r="617" spans="1:24" x14ac:dyDescent="0.25">
      <c r="A617" t="s">
        <v>708</v>
      </c>
      <c r="B617">
        <v>33</v>
      </c>
      <c r="P617">
        <v>1</v>
      </c>
      <c r="R617">
        <v>1</v>
      </c>
      <c r="S617">
        <v>1</v>
      </c>
      <c r="T617">
        <v>2</v>
      </c>
      <c r="W617">
        <v>2</v>
      </c>
      <c r="X617">
        <v>1</v>
      </c>
    </row>
    <row r="618" spans="1:24" x14ac:dyDescent="0.25">
      <c r="A618" t="s">
        <v>709</v>
      </c>
      <c r="B618">
        <v>33</v>
      </c>
      <c r="P618">
        <v>0</v>
      </c>
      <c r="R618">
        <v>0</v>
      </c>
      <c r="S618">
        <v>0</v>
      </c>
      <c r="T618">
        <v>0</v>
      </c>
      <c r="W618">
        <v>0</v>
      </c>
      <c r="X618">
        <v>0</v>
      </c>
    </row>
    <row r="619" spans="1:24" x14ac:dyDescent="0.25">
      <c r="A619" t="s">
        <v>710</v>
      </c>
      <c r="B619">
        <v>33</v>
      </c>
      <c r="P619">
        <v>20</v>
      </c>
      <c r="R619">
        <v>20</v>
      </c>
      <c r="S619">
        <v>20</v>
      </c>
      <c r="T619">
        <v>6</v>
      </c>
      <c r="W619">
        <v>6</v>
      </c>
      <c r="X619">
        <v>20</v>
      </c>
    </row>
    <row r="620" spans="1:24" x14ac:dyDescent="0.25">
      <c r="A620" t="s">
        <v>711</v>
      </c>
      <c r="B620">
        <v>33</v>
      </c>
      <c r="P620">
        <v>3</v>
      </c>
      <c r="R620">
        <v>3</v>
      </c>
      <c r="S620">
        <v>3</v>
      </c>
      <c r="T620">
        <v>3</v>
      </c>
      <c r="W620">
        <v>3</v>
      </c>
      <c r="X620">
        <v>3</v>
      </c>
    </row>
    <row r="621" spans="1:24" x14ac:dyDescent="0.25">
      <c r="A621" t="s">
        <v>712</v>
      </c>
      <c r="B621">
        <v>33</v>
      </c>
      <c r="P621">
        <v>0</v>
      </c>
      <c r="R621">
        <v>0</v>
      </c>
      <c r="S621">
        <v>0</v>
      </c>
      <c r="T621">
        <v>0</v>
      </c>
      <c r="W621">
        <v>0</v>
      </c>
      <c r="X621">
        <v>0</v>
      </c>
    </row>
    <row r="622" spans="1:24" x14ac:dyDescent="0.25">
      <c r="A622" t="s">
        <v>713</v>
      </c>
      <c r="B622">
        <v>33</v>
      </c>
      <c r="P622">
        <v>0</v>
      </c>
      <c r="R622">
        <v>0</v>
      </c>
      <c r="S622">
        <v>0</v>
      </c>
      <c r="T622">
        <v>0</v>
      </c>
      <c r="W622">
        <v>0</v>
      </c>
      <c r="X622">
        <v>0</v>
      </c>
    </row>
    <row r="623" spans="1:24" x14ac:dyDescent="0.25">
      <c r="A623" t="s">
        <v>714</v>
      </c>
      <c r="B623">
        <v>33</v>
      </c>
      <c r="P623">
        <v>0</v>
      </c>
      <c r="R623">
        <v>0</v>
      </c>
      <c r="S623">
        <v>0</v>
      </c>
      <c r="T623">
        <v>0</v>
      </c>
      <c r="W623">
        <v>0</v>
      </c>
      <c r="X623">
        <v>0</v>
      </c>
    </row>
    <row r="624" spans="1:24" x14ac:dyDescent="0.25">
      <c r="A624" t="s">
        <v>715</v>
      </c>
      <c r="B624">
        <v>33</v>
      </c>
      <c r="T624">
        <v>94</v>
      </c>
      <c r="W624">
        <v>94</v>
      </c>
    </row>
    <row r="625" spans="1:27" x14ac:dyDescent="0.25">
      <c r="A625" t="s">
        <v>716</v>
      </c>
      <c r="B625">
        <v>33</v>
      </c>
      <c r="T625">
        <v>6</v>
      </c>
      <c r="W625">
        <v>6</v>
      </c>
    </row>
    <row r="626" spans="1:27" x14ac:dyDescent="0.25">
      <c r="A626" t="s">
        <v>717</v>
      </c>
      <c r="B626">
        <v>33</v>
      </c>
      <c r="T626">
        <v>3</v>
      </c>
      <c r="W626">
        <v>3</v>
      </c>
    </row>
    <row r="627" spans="1:27" x14ac:dyDescent="0.25">
      <c r="A627" t="s">
        <v>718</v>
      </c>
      <c r="B627">
        <v>33</v>
      </c>
      <c r="T627">
        <v>0</v>
      </c>
      <c r="W627">
        <v>0</v>
      </c>
    </row>
    <row r="628" spans="1:27" x14ac:dyDescent="0.25">
      <c r="A628" t="s">
        <v>719</v>
      </c>
      <c r="B628">
        <v>33</v>
      </c>
      <c r="P628">
        <v>0</v>
      </c>
      <c r="T628">
        <v>0</v>
      </c>
      <c r="W628">
        <v>0</v>
      </c>
    </row>
    <row r="629" spans="1:27" x14ac:dyDescent="0.25">
      <c r="A629" t="s">
        <v>405</v>
      </c>
      <c r="B629">
        <v>33</v>
      </c>
      <c r="P629">
        <v>0</v>
      </c>
    </row>
    <row r="630" spans="1:27" x14ac:dyDescent="0.25">
      <c r="A630" t="s">
        <v>720</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695</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696</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697</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698</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699</v>
      </c>
      <c r="B657">
        <v>34</v>
      </c>
      <c r="Q657">
        <v>0</v>
      </c>
      <c r="T657">
        <v>0</v>
      </c>
      <c r="W657">
        <v>0</v>
      </c>
      <c r="Z657">
        <v>0</v>
      </c>
    </row>
    <row r="658" spans="1:27" x14ac:dyDescent="0.25">
      <c r="A658" t="s">
        <v>678</v>
      </c>
      <c r="B658">
        <v>34</v>
      </c>
      <c r="Q658">
        <v>363</v>
      </c>
      <c r="T658">
        <v>1440</v>
      </c>
      <c r="W658">
        <v>6910</v>
      </c>
      <c r="Z658">
        <v>590</v>
      </c>
    </row>
    <row r="659" spans="1:27" x14ac:dyDescent="0.25">
      <c r="A659" t="s">
        <v>78</v>
      </c>
      <c r="B659">
        <v>34</v>
      </c>
      <c r="Q659">
        <v>7.1</v>
      </c>
      <c r="T659">
        <v>21.8</v>
      </c>
      <c r="W659">
        <v>104.7</v>
      </c>
      <c r="Z659">
        <v>11.5</v>
      </c>
    </row>
    <row r="660" spans="1:27" x14ac:dyDescent="0.25">
      <c r="A660" t="s">
        <v>700</v>
      </c>
      <c r="B660">
        <v>34</v>
      </c>
      <c r="R660">
        <v>0</v>
      </c>
      <c r="U660">
        <v>0</v>
      </c>
      <c r="X660">
        <v>0</v>
      </c>
      <c r="AA660">
        <v>0</v>
      </c>
    </row>
    <row r="661" spans="1:27" x14ac:dyDescent="0.25">
      <c r="A661" t="s">
        <v>701</v>
      </c>
      <c r="B661">
        <v>34</v>
      </c>
      <c r="P661">
        <v>0</v>
      </c>
      <c r="Q661">
        <v>0</v>
      </c>
      <c r="R661">
        <v>1</v>
      </c>
      <c r="S661">
        <v>0</v>
      </c>
      <c r="T661">
        <v>0</v>
      </c>
      <c r="U661">
        <v>1</v>
      </c>
      <c r="V661">
        <v>0</v>
      </c>
      <c r="W661">
        <v>0</v>
      </c>
      <c r="X661">
        <v>1</v>
      </c>
      <c r="Y661">
        <v>0</v>
      </c>
      <c r="Z661">
        <v>0</v>
      </c>
      <c r="AA661">
        <v>1</v>
      </c>
    </row>
    <row r="662" spans="1:27" x14ac:dyDescent="0.25">
      <c r="A662" t="s">
        <v>702</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703</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704</v>
      </c>
      <c r="B668">
        <v>34</v>
      </c>
      <c r="P668">
        <v>0</v>
      </c>
      <c r="Q668">
        <v>0</v>
      </c>
      <c r="R668">
        <v>0</v>
      </c>
      <c r="S668">
        <v>0</v>
      </c>
      <c r="T668">
        <v>0</v>
      </c>
      <c r="U668">
        <v>0</v>
      </c>
      <c r="V668">
        <v>0</v>
      </c>
      <c r="W668">
        <v>0</v>
      </c>
      <c r="X668">
        <v>0</v>
      </c>
      <c r="Y668">
        <v>0</v>
      </c>
      <c r="Z668">
        <v>0</v>
      </c>
    </row>
    <row r="669" spans="1:27" x14ac:dyDescent="0.25">
      <c r="A669" t="s">
        <v>705</v>
      </c>
      <c r="B669">
        <v>34</v>
      </c>
      <c r="P669">
        <v>0</v>
      </c>
      <c r="Q669">
        <v>0</v>
      </c>
      <c r="R669">
        <v>0</v>
      </c>
      <c r="S669">
        <v>0</v>
      </c>
      <c r="T669">
        <v>0</v>
      </c>
      <c r="U669">
        <v>0</v>
      </c>
      <c r="V669">
        <v>0</v>
      </c>
      <c r="W669">
        <v>0</v>
      </c>
      <c r="X669">
        <v>0</v>
      </c>
      <c r="Y669">
        <v>0</v>
      </c>
      <c r="Z669">
        <v>0</v>
      </c>
    </row>
    <row r="670" spans="1:27" x14ac:dyDescent="0.25">
      <c r="A670" t="s">
        <v>706</v>
      </c>
      <c r="B670">
        <v>34</v>
      </c>
      <c r="P670">
        <v>0</v>
      </c>
      <c r="Q670">
        <v>0</v>
      </c>
      <c r="R670">
        <v>0</v>
      </c>
      <c r="S670">
        <v>0</v>
      </c>
      <c r="T670">
        <v>0</v>
      </c>
      <c r="U670">
        <v>0</v>
      </c>
      <c r="V670">
        <v>0</v>
      </c>
      <c r="W670">
        <v>0</v>
      </c>
      <c r="X670">
        <v>0</v>
      </c>
      <c r="Y670">
        <v>0</v>
      </c>
      <c r="Z670">
        <v>0</v>
      </c>
    </row>
    <row r="671" spans="1:27" x14ac:dyDescent="0.25">
      <c r="A671" t="s">
        <v>707</v>
      </c>
      <c r="B671">
        <v>34</v>
      </c>
      <c r="P671">
        <v>0</v>
      </c>
      <c r="Q671">
        <v>0</v>
      </c>
      <c r="R671">
        <v>0</v>
      </c>
      <c r="S671">
        <v>0</v>
      </c>
      <c r="T671">
        <v>0</v>
      </c>
      <c r="U671">
        <v>0</v>
      </c>
      <c r="V671">
        <v>0</v>
      </c>
      <c r="W671">
        <v>0</v>
      </c>
      <c r="X671">
        <v>0</v>
      </c>
      <c r="Y671">
        <v>0</v>
      </c>
      <c r="Z671">
        <v>0</v>
      </c>
    </row>
    <row r="672" spans="1:27" x14ac:dyDescent="0.25">
      <c r="A672" t="s">
        <v>708</v>
      </c>
      <c r="B672">
        <v>34</v>
      </c>
      <c r="P672">
        <v>1</v>
      </c>
      <c r="Q672">
        <v>2</v>
      </c>
      <c r="R672">
        <v>1</v>
      </c>
      <c r="S672">
        <v>1</v>
      </c>
      <c r="T672">
        <v>2</v>
      </c>
      <c r="U672">
        <v>1</v>
      </c>
      <c r="V672">
        <v>1</v>
      </c>
      <c r="W672">
        <v>2</v>
      </c>
      <c r="X672">
        <v>1</v>
      </c>
      <c r="Y672">
        <v>1</v>
      </c>
      <c r="Z672">
        <v>2</v>
      </c>
    </row>
    <row r="673" spans="1:27" x14ac:dyDescent="0.25">
      <c r="A673" t="s">
        <v>709</v>
      </c>
      <c r="B673">
        <v>34</v>
      </c>
      <c r="P673">
        <v>0</v>
      </c>
      <c r="Q673">
        <v>0</v>
      </c>
      <c r="R673">
        <v>0</v>
      </c>
      <c r="S673">
        <v>0</v>
      </c>
      <c r="T673">
        <v>0</v>
      </c>
      <c r="U673">
        <v>0</v>
      </c>
      <c r="V673">
        <v>0</v>
      </c>
      <c r="W673">
        <v>0</v>
      </c>
      <c r="X673">
        <v>0</v>
      </c>
      <c r="Y673">
        <v>0</v>
      </c>
      <c r="Z673">
        <v>0</v>
      </c>
    </row>
    <row r="674" spans="1:27" x14ac:dyDescent="0.25">
      <c r="A674" t="s">
        <v>710</v>
      </c>
      <c r="B674">
        <v>34</v>
      </c>
      <c r="P674">
        <v>20</v>
      </c>
      <c r="Q674">
        <v>6</v>
      </c>
      <c r="R674">
        <v>20</v>
      </c>
      <c r="S674">
        <v>20</v>
      </c>
      <c r="T674">
        <v>6</v>
      </c>
      <c r="U674">
        <v>20</v>
      </c>
      <c r="V674">
        <v>20</v>
      </c>
      <c r="W674">
        <v>6</v>
      </c>
      <c r="X674">
        <v>20</v>
      </c>
      <c r="Y674">
        <v>20</v>
      </c>
      <c r="Z674">
        <v>6</v>
      </c>
    </row>
    <row r="675" spans="1:27" x14ac:dyDescent="0.25">
      <c r="A675" t="s">
        <v>711</v>
      </c>
      <c r="B675">
        <v>34</v>
      </c>
      <c r="P675">
        <v>3</v>
      </c>
      <c r="Q675">
        <v>3</v>
      </c>
      <c r="R675">
        <v>3</v>
      </c>
      <c r="S675">
        <v>3</v>
      </c>
      <c r="T675">
        <v>3</v>
      </c>
      <c r="U675">
        <v>3</v>
      </c>
      <c r="V675">
        <v>3</v>
      </c>
      <c r="W675">
        <v>3</v>
      </c>
      <c r="X675">
        <v>3</v>
      </c>
      <c r="Y675">
        <v>3</v>
      </c>
      <c r="Z675">
        <v>3</v>
      </c>
    </row>
    <row r="676" spans="1:27" x14ac:dyDescent="0.25">
      <c r="A676" t="s">
        <v>712</v>
      </c>
      <c r="B676">
        <v>34</v>
      </c>
      <c r="P676">
        <v>0</v>
      </c>
      <c r="Q676">
        <v>0</v>
      </c>
      <c r="R676">
        <v>0</v>
      </c>
      <c r="S676">
        <v>0</v>
      </c>
      <c r="T676">
        <v>0</v>
      </c>
      <c r="U676">
        <v>0</v>
      </c>
      <c r="V676">
        <v>0</v>
      </c>
      <c r="W676">
        <v>0</v>
      </c>
      <c r="X676">
        <v>0</v>
      </c>
      <c r="Y676">
        <v>0</v>
      </c>
      <c r="Z676">
        <v>0</v>
      </c>
    </row>
    <row r="677" spans="1:27" x14ac:dyDescent="0.25">
      <c r="A677" t="s">
        <v>713</v>
      </c>
      <c r="B677">
        <v>34</v>
      </c>
      <c r="P677">
        <v>0</v>
      </c>
      <c r="Q677">
        <v>0</v>
      </c>
      <c r="R677">
        <v>0</v>
      </c>
      <c r="S677">
        <v>0</v>
      </c>
      <c r="T677">
        <v>0</v>
      </c>
      <c r="U677">
        <v>0</v>
      </c>
      <c r="V677">
        <v>0</v>
      </c>
      <c r="W677">
        <v>0</v>
      </c>
      <c r="X677">
        <v>0</v>
      </c>
      <c r="Y677">
        <v>0</v>
      </c>
      <c r="Z677">
        <v>0</v>
      </c>
    </row>
    <row r="678" spans="1:27" x14ac:dyDescent="0.25">
      <c r="A678" t="s">
        <v>714</v>
      </c>
      <c r="B678">
        <v>34</v>
      </c>
      <c r="P678">
        <v>0</v>
      </c>
      <c r="Q678">
        <v>0</v>
      </c>
      <c r="R678">
        <v>0</v>
      </c>
      <c r="S678">
        <v>0</v>
      </c>
      <c r="T678">
        <v>0</v>
      </c>
      <c r="U678">
        <v>0</v>
      </c>
      <c r="V678">
        <v>0</v>
      </c>
      <c r="W678">
        <v>0</v>
      </c>
      <c r="X678">
        <v>0</v>
      </c>
      <c r="Y678">
        <v>0</v>
      </c>
      <c r="Z678">
        <v>0</v>
      </c>
    </row>
    <row r="679" spans="1:27" x14ac:dyDescent="0.25">
      <c r="A679" t="s">
        <v>715</v>
      </c>
      <c r="B679">
        <v>34</v>
      </c>
      <c r="Q679">
        <v>94</v>
      </c>
      <c r="T679">
        <v>94</v>
      </c>
      <c r="W679">
        <v>94</v>
      </c>
      <c r="Z679">
        <v>94</v>
      </c>
    </row>
    <row r="680" spans="1:27" x14ac:dyDescent="0.25">
      <c r="A680" t="s">
        <v>716</v>
      </c>
      <c r="B680">
        <v>34</v>
      </c>
      <c r="Q680">
        <v>6</v>
      </c>
      <c r="T680">
        <v>6</v>
      </c>
      <c r="W680">
        <v>6</v>
      </c>
      <c r="Z680">
        <v>6</v>
      </c>
    </row>
    <row r="681" spans="1:27" x14ac:dyDescent="0.25">
      <c r="A681" t="s">
        <v>717</v>
      </c>
      <c r="B681">
        <v>34</v>
      </c>
      <c r="Q681">
        <v>3</v>
      </c>
      <c r="T681">
        <v>3</v>
      </c>
      <c r="W681">
        <v>3</v>
      </c>
      <c r="Z681">
        <v>3</v>
      </c>
    </row>
    <row r="682" spans="1:27" x14ac:dyDescent="0.25">
      <c r="A682" t="s">
        <v>718</v>
      </c>
      <c r="B682">
        <v>34</v>
      </c>
      <c r="Q682">
        <v>0</v>
      </c>
      <c r="T682">
        <v>0</v>
      </c>
      <c r="W682">
        <v>0</v>
      </c>
      <c r="Z682">
        <v>0</v>
      </c>
    </row>
    <row r="683" spans="1:27" x14ac:dyDescent="0.25">
      <c r="A683" t="s">
        <v>719</v>
      </c>
      <c r="B683">
        <v>34</v>
      </c>
      <c r="Q683">
        <v>0</v>
      </c>
      <c r="T683">
        <v>0</v>
      </c>
      <c r="W683">
        <v>0</v>
      </c>
      <c r="Z683">
        <v>0</v>
      </c>
    </row>
    <row r="684" spans="1:27" x14ac:dyDescent="0.25">
      <c r="A684" t="s">
        <v>405</v>
      </c>
      <c r="B684">
        <v>34</v>
      </c>
      <c r="Q684">
        <v>0</v>
      </c>
    </row>
    <row r="685" spans="1:27" x14ac:dyDescent="0.25">
      <c r="A685" t="s">
        <v>720</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695</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696</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697</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698</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699</v>
      </c>
      <c r="B712">
        <v>36</v>
      </c>
      <c r="Q712">
        <v>0</v>
      </c>
      <c r="T712">
        <v>0</v>
      </c>
      <c r="W712">
        <v>0</v>
      </c>
      <c r="Z712">
        <v>0</v>
      </c>
    </row>
    <row r="713" spans="1:27" x14ac:dyDescent="0.25">
      <c r="A713" t="s">
        <v>678</v>
      </c>
      <c r="B713">
        <v>36</v>
      </c>
      <c r="Q713">
        <v>640</v>
      </c>
      <c r="T713">
        <v>6910</v>
      </c>
      <c r="W713">
        <v>5039</v>
      </c>
      <c r="Z713">
        <v>378</v>
      </c>
    </row>
    <row r="714" spans="1:27" x14ac:dyDescent="0.25">
      <c r="A714" t="s">
        <v>78</v>
      </c>
      <c r="B714">
        <v>36</v>
      </c>
      <c r="Q714">
        <v>12.5</v>
      </c>
      <c r="T714">
        <v>104.7</v>
      </c>
      <c r="W714">
        <v>62.5</v>
      </c>
      <c r="Z714">
        <v>7.4</v>
      </c>
    </row>
    <row r="715" spans="1:27" x14ac:dyDescent="0.25">
      <c r="A715" t="s">
        <v>700</v>
      </c>
      <c r="B715">
        <v>36</v>
      </c>
      <c r="R715">
        <v>1</v>
      </c>
      <c r="U715">
        <v>0</v>
      </c>
      <c r="X715">
        <v>1</v>
      </c>
      <c r="AA715">
        <v>0</v>
      </c>
    </row>
    <row r="716" spans="1:27" x14ac:dyDescent="0.25">
      <c r="A716" t="s">
        <v>721</v>
      </c>
      <c r="B716">
        <v>36</v>
      </c>
      <c r="R716">
        <v>50</v>
      </c>
      <c r="X716">
        <v>50</v>
      </c>
    </row>
    <row r="717" spans="1:27" x14ac:dyDescent="0.25">
      <c r="A717" t="s">
        <v>722</v>
      </c>
      <c r="B717">
        <v>36</v>
      </c>
      <c r="R717">
        <v>0</v>
      </c>
      <c r="X717">
        <v>0</v>
      </c>
    </row>
    <row r="718" spans="1:27" x14ac:dyDescent="0.25">
      <c r="A718" t="s">
        <v>701</v>
      </c>
      <c r="B718">
        <v>36</v>
      </c>
      <c r="P718">
        <v>0</v>
      </c>
      <c r="Q718">
        <v>0</v>
      </c>
      <c r="R718">
        <v>1</v>
      </c>
      <c r="S718">
        <v>0</v>
      </c>
      <c r="T718">
        <v>0</v>
      </c>
      <c r="U718">
        <v>1</v>
      </c>
      <c r="V718">
        <v>0</v>
      </c>
      <c r="W718">
        <v>0</v>
      </c>
      <c r="X718">
        <v>1</v>
      </c>
      <c r="Y718">
        <v>0</v>
      </c>
      <c r="Z718">
        <v>0</v>
      </c>
      <c r="AA718">
        <v>1</v>
      </c>
    </row>
    <row r="719" spans="1:27" x14ac:dyDescent="0.25">
      <c r="A719" t="s">
        <v>702</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703</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704</v>
      </c>
      <c r="B725">
        <v>36</v>
      </c>
      <c r="P725">
        <v>0</v>
      </c>
      <c r="Q725">
        <v>0</v>
      </c>
      <c r="R725">
        <v>0</v>
      </c>
      <c r="S725">
        <v>0</v>
      </c>
      <c r="T725">
        <v>0</v>
      </c>
      <c r="U725">
        <v>0</v>
      </c>
      <c r="V725">
        <v>0</v>
      </c>
      <c r="W725">
        <v>0</v>
      </c>
      <c r="X725">
        <v>0</v>
      </c>
      <c r="Y725">
        <v>0</v>
      </c>
      <c r="Z725">
        <v>0</v>
      </c>
    </row>
    <row r="726" spans="1:27" x14ac:dyDescent="0.25">
      <c r="A726" t="s">
        <v>705</v>
      </c>
      <c r="B726">
        <v>36</v>
      </c>
      <c r="P726">
        <v>0</v>
      </c>
      <c r="Q726">
        <v>0</v>
      </c>
      <c r="R726">
        <v>0</v>
      </c>
      <c r="S726">
        <v>0</v>
      </c>
      <c r="T726">
        <v>0</v>
      </c>
      <c r="U726">
        <v>0</v>
      </c>
      <c r="V726">
        <v>0</v>
      </c>
      <c r="W726">
        <v>0</v>
      </c>
      <c r="X726">
        <v>0</v>
      </c>
      <c r="Y726">
        <v>0</v>
      </c>
      <c r="Z726">
        <v>0</v>
      </c>
    </row>
    <row r="727" spans="1:27" x14ac:dyDescent="0.25">
      <c r="A727" t="s">
        <v>706</v>
      </c>
      <c r="B727">
        <v>36</v>
      </c>
      <c r="P727">
        <v>0</v>
      </c>
      <c r="Q727">
        <v>0</v>
      </c>
      <c r="R727">
        <v>0</v>
      </c>
      <c r="S727">
        <v>0</v>
      </c>
      <c r="T727">
        <v>0</v>
      </c>
      <c r="U727">
        <v>0</v>
      </c>
      <c r="V727">
        <v>0</v>
      </c>
      <c r="W727">
        <v>0</v>
      </c>
      <c r="X727">
        <v>0</v>
      </c>
      <c r="Y727">
        <v>0</v>
      </c>
      <c r="Z727">
        <v>0</v>
      </c>
    </row>
    <row r="728" spans="1:27" x14ac:dyDescent="0.25">
      <c r="A728" t="s">
        <v>707</v>
      </c>
      <c r="B728">
        <v>36</v>
      </c>
      <c r="P728">
        <v>0</v>
      </c>
      <c r="Q728">
        <v>0</v>
      </c>
      <c r="R728">
        <v>0</v>
      </c>
      <c r="S728">
        <v>0</v>
      </c>
      <c r="T728">
        <v>0</v>
      </c>
      <c r="U728">
        <v>0</v>
      </c>
      <c r="V728">
        <v>0</v>
      </c>
      <c r="W728">
        <v>0</v>
      </c>
      <c r="X728">
        <v>0</v>
      </c>
      <c r="Y728">
        <v>0</v>
      </c>
      <c r="Z728">
        <v>0</v>
      </c>
    </row>
    <row r="729" spans="1:27" x14ac:dyDescent="0.25">
      <c r="A729" t="s">
        <v>708</v>
      </c>
      <c r="B729">
        <v>36</v>
      </c>
      <c r="P729">
        <v>1</v>
      </c>
      <c r="Q729">
        <v>2</v>
      </c>
      <c r="R729">
        <v>1</v>
      </c>
      <c r="S729">
        <v>1</v>
      </c>
      <c r="T729">
        <v>2</v>
      </c>
      <c r="U729">
        <v>1</v>
      </c>
      <c r="V729">
        <v>1</v>
      </c>
      <c r="W729">
        <v>2</v>
      </c>
      <c r="X729">
        <v>1</v>
      </c>
      <c r="Y729">
        <v>1</v>
      </c>
      <c r="Z729">
        <v>2</v>
      </c>
    </row>
    <row r="730" spans="1:27" x14ac:dyDescent="0.25">
      <c r="A730" t="s">
        <v>709</v>
      </c>
      <c r="B730">
        <v>36</v>
      </c>
      <c r="P730">
        <v>0</v>
      </c>
      <c r="Q730">
        <v>0</v>
      </c>
      <c r="R730">
        <v>0</v>
      </c>
      <c r="S730">
        <v>0</v>
      </c>
      <c r="T730">
        <v>0</v>
      </c>
      <c r="U730">
        <v>0</v>
      </c>
      <c r="V730">
        <v>0</v>
      </c>
      <c r="W730">
        <v>0</v>
      </c>
      <c r="X730">
        <v>0</v>
      </c>
      <c r="Y730">
        <v>0</v>
      </c>
      <c r="Z730">
        <v>0</v>
      </c>
    </row>
    <row r="731" spans="1:27" x14ac:dyDescent="0.25">
      <c r="A731" t="s">
        <v>710</v>
      </c>
      <c r="B731">
        <v>36</v>
      </c>
      <c r="P731">
        <v>20</v>
      </c>
      <c r="Q731">
        <v>6</v>
      </c>
      <c r="R731">
        <v>20</v>
      </c>
      <c r="S731">
        <v>20</v>
      </c>
      <c r="T731">
        <v>6</v>
      </c>
      <c r="U731">
        <v>20</v>
      </c>
      <c r="V731">
        <v>20</v>
      </c>
      <c r="W731">
        <v>6</v>
      </c>
      <c r="X731">
        <v>20</v>
      </c>
      <c r="Y731">
        <v>20</v>
      </c>
      <c r="Z731">
        <v>6</v>
      </c>
    </row>
    <row r="732" spans="1:27" x14ac:dyDescent="0.25">
      <c r="A732" t="s">
        <v>711</v>
      </c>
      <c r="B732">
        <v>36</v>
      </c>
      <c r="P732">
        <v>3</v>
      </c>
      <c r="Q732">
        <v>3</v>
      </c>
      <c r="R732">
        <v>3</v>
      </c>
      <c r="S732">
        <v>3</v>
      </c>
      <c r="T732">
        <v>3</v>
      </c>
      <c r="U732">
        <v>3</v>
      </c>
      <c r="V732">
        <v>3</v>
      </c>
      <c r="W732">
        <v>3</v>
      </c>
      <c r="X732">
        <v>3</v>
      </c>
      <c r="Y732">
        <v>3</v>
      </c>
      <c r="Z732">
        <v>3</v>
      </c>
    </row>
    <row r="733" spans="1:27" x14ac:dyDescent="0.25">
      <c r="A733" t="s">
        <v>712</v>
      </c>
      <c r="B733">
        <v>36</v>
      </c>
      <c r="P733">
        <v>0</v>
      </c>
      <c r="Q733">
        <v>0</v>
      </c>
      <c r="R733">
        <v>0</v>
      </c>
      <c r="S733">
        <v>0</v>
      </c>
      <c r="T733">
        <v>0</v>
      </c>
      <c r="U733">
        <v>0</v>
      </c>
      <c r="V733">
        <v>0</v>
      </c>
      <c r="W733">
        <v>0</v>
      </c>
      <c r="X733">
        <v>0</v>
      </c>
      <c r="Y733">
        <v>0</v>
      </c>
      <c r="Z733">
        <v>0</v>
      </c>
    </row>
    <row r="734" spans="1:27" x14ac:dyDescent="0.25">
      <c r="A734" t="s">
        <v>713</v>
      </c>
      <c r="B734">
        <v>36</v>
      </c>
      <c r="P734">
        <v>0</v>
      </c>
      <c r="Q734">
        <v>0</v>
      </c>
      <c r="R734">
        <v>0</v>
      </c>
      <c r="S734">
        <v>0</v>
      </c>
      <c r="T734">
        <v>0</v>
      </c>
      <c r="U734">
        <v>0</v>
      </c>
      <c r="V734">
        <v>0</v>
      </c>
      <c r="W734">
        <v>0</v>
      </c>
      <c r="X734">
        <v>0</v>
      </c>
      <c r="Y734">
        <v>0</v>
      </c>
      <c r="Z734">
        <v>0</v>
      </c>
    </row>
    <row r="735" spans="1:27" x14ac:dyDescent="0.25">
      <c r="A735" t="s">
        <v>714</v>
      </c>
      <c r="B735">
        <v>36</v>
      </c>
      <c r="P735">
        <v>0</v>
      </c>
      <c r="Q735">
        <v>0</v>
      </c>
      <c r="R735">
        <v>0</v>
      </c>
      <c r="S735">
        <v>0</v>
      </c>
      <c r="T735">
        <v>0</v>
      </c>
      <c r="U735">
        <v>0</v>
      </c>
      <c r="V735">
        <v>0</v>
      </c>
      <c r="W735">
        <v>0</v>
      </c>
      <c r="X735">
        <v>0</v>
      </c>
      <c r="Y735">
        <v>0</v>
      </c>
      <c r="Z735">
        <v>0</v>
      </c>
    </row>
    <row r="736" spans="1:27" x14ac:dyDescent="0.25">
      <c r="A736" t="s">
        <v>715</v>
      </c>
      <c r="B736">
        <v>36</v>
      </c>
      <c r="Q736">
        <v>94</v>
      </c>
      <c r="T736">
        <v>94</v>
      </c>
      <c r="W736">
        <v>94</v>
      </c>
      <c r="Z736">
        <v>94</v>
      </c>
    </row>
    <row r="737" spans="1:27" x14ac:dyDescent="0.25">
      <c r="A737" t="s">
        <v>716</v>
      </c>
      <c r="B737">
        <v>36</v>
      </c>
      <c r="Q737">
        <v>6</v>
      </c>
      <c r="T737">
        <v>6</v>
      </c>
      <c r="W737">
        <v>6</v>
      </c>
      <c r="Z737">
        <v>6</v>
      </c>
    </row>
    <row r="738" spans="1:27" x14ac:dyDescent="0.25">
      <c r="A738" t="s">
        <v>717</v>
      </c>
      <c r="B738">
        <v>36</v>
      </c>
      <c r="Q738">
        <v>3</v>
      </c>
      <c r="T738">
        <v>3</v>
      </c>
      <c r="W738">
        <v>3</v>
      </c>
      <c r="Z738">
        <v>3</v>
      </c>
    </row>
    <row r="739" spans="1:27" x14ac:dyDescent="0.25">
      <c r="A739" t="s">
        <v>718</v>
      </c>
      <c r="B739">
        <v>36</v>
      </c>
      <c r="Q739">
        <v>0</v>
      </c>
      <c r="T739">
        <v>0</v>
      </c>
      <c r="W739">
        <v>0</v>
      </c>
      <c r="Z739">
        <v>0</v>
      </c>
    </row>
    <row r="740" spans="1:27" x14ac:dyDescent="0.25">
      <c r="A740" t="s">
        <v>719</v>
      </c>
      <c r="B740">
        <v>36</v>
      </c>
      <c r="Q740">
        <v>0</v>
      </c>
      <c r="T740">
        <v>0</v>
      </c>
      <c r="W740">
        <v>0</v>
      </c>
      <c r="Z740">
        <v>0</v>
      </c>
    </row>
    <row r="741" spans="1:27" x14ac:dyDescent="0.25">
      <c r="A741" t="s">
        <v>405</v>
      </c>
      <c r="B741">
        <v>36</v>
      </c>
      <c r="Q741">
        <v>0</v>
      </c>
    </row>
    <row r="742" spans="1:27" x14ac:dyDescent="0.25">
      <c r="A742" t="s">
        <v>720</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695</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770</v>
      </c>
      <c r="B754">
        <v>39</v>
      </c>
      <c r="R754">
        <v>3</v>
      </c>
      <c r="T754">
        <v>2</v>
      </c>
      <c r="W754">
        <v>4</v>
      </c>
    </row>
    <row r="755" spans="1:24" x14ac:dyDescent="0.25">
      <c r="A755" t="s">
        <v>771</v>
      </c>
      <c r="B755">
        <v>39</v>
      </c>
      <c r="T755">
        <v>4</v>
      </c>
    </row>
    <row r="756" spans="1:24" x14ac:dyDescent="0.25">
      <c r="A756" t="s">
        <v>46</v>
      </c>
      <c r="B756">
        <v>39</v>
      </c>
      <c r="X756">
        <v>1</v>
      </c>
    </row>
    <row r="757" spans="1:24" x14ac:dyDescent="0.25">
      <c r="A757" t="s">
        <v>772</v>
      </c>
      <c r="B757">
        <v>39</v>
      </c>
      <c r="X757">
        <v>4</v>
      </c>
    </row>
    <row r="758" spans="1:24" x14ac:dyDescent="0.25">
      <c r="A758" t="s">
        <v>49</v>
      </c>
      <c r="B758">
        <v>39</v>
      </c>
      <c r="P758">
        <v>9.9</v>
      </c>
      <c r="R758">
        <v>9.6</v>
      </c>
      <c r="S758">
        <v>9.6</v>
      </c>
      <c r="T758">
        <v>7.3</v>
      </c>
      <c r="W758">
        <v>7.3</v>
      </c>
      <c r="X758">
        <v>7.3</v>
      </c>
    </row>
    <row r="759" spans="1:24" x14ac:dyDescent="0.25">
      <c r="A759" t="s">
        <v>696</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697</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698</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699</v>
      </c>
      <c r="B772">
        <v>39</v>
      </c>
      <c r="P772">
        <v>0</v>
      </c>
      <c r="T772">
        <v>0</v>
      </c>
      <c r="W772">
        <v>0</v>
      </c>
    </row>
    <row r="773" spans="1:24" x14ac:dyDescent="0.25">
      <c r="A773" t="s">
        <v>678</v>
      </c>
      <c r="B773">
        <v>39</v>
      </c>
      <c r="P773">
        <v>610</v>
      </c>
      <c r="T773">
        <v>5039</v>
      </c>
      <c r="W773">
        <v>1361</v>
      </c>
    </row>
    <row r="774" spans="1:24" x14ac:dyDescent="0.25">
      <c r="A774" t="s">
        <v>78</v>
      </c>
      <c r="B774">
        <v>39</v>
      </c>
      <c r="P774">
        <v>9.1999999999999993</v>
      </c>
      <c r="T774">
        <v>62.5</v>
      </c>
      <c r="W774">
        <v>16.899999999999999</v>
      </c>
    </row>
    <row r="775" spans="1:24" x14ac:dyDescent="0.25">
      <c r="A775" t="s">
        <v>700</v>
      </c>
      <c r="B775">
        <v>39</v>
      </c>
      <c r="R775">
        <v>0</v>
      </c>
      <c r="T775">
        <v>0</v>
      </c>
      <c r="X775">
        <v>0</v>
      </c>
    </row>
    <row r="776" spans="1:24" x14ac:dyDescent="0.25">
      <c r="A776" t="s">
        <v>701</v>
      </c>
      <c r="B776">
        <v>39</v>
      </c>
      <c r="P776">
        <v>0</v>
      </c>
      <c r="R776">
        <v>1</v>
      </c>
      <c r="S776">
        <v>0</v>
      </c>
      <c r="T776">
        <v>0</v>
      </c>
      <c r="W776">
        <v>0</v>
      </c>
      <c r="X776">
        <v>1</v>
      </c>
    </row>
    <row r="777" spans="1:24" x14ac:dyDescent="0.25">
      <c r="A777" t="s">
        <v>702</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703</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704</v>
      </c>
      <c r="B783">
        <v>39</v>
      </c>
      <c r="P783">
        <v>0</v>
      </c>
      <c r="R783">
        <v>3</v>
      </c>
      <c r="S783">
        <v>0</v>
      </c>
      <c r="T783">
        <v>2</v>
      </c>
      <c r="W783">
        <v>4</v>
      </c>
      <c r="X783">
        <v>4</v>
      </c>
    </row>
    <row r="784" spans="1:24" x14ac:dyDescent="0.25">
      <c r="A784" t="s">
        <v>705</v>
      </c>
      <c r="B784">
        <v>39</v>
      </c>
      <c r="P784">
        <v>0</v>
      </c>
      <c r="R784">
        <v>0</v>
      </c>
      <c r="S784">
        <v>0</v>
      </c>
      <c r="T784">
        <v>4</v>
      </c>
      <c r="W784">
        <v>0</v>
      </c>
      <c r="X784">
        <v>0</v>
      </c>
    </row>
    <row r="785" spans="1:24" x14ac:dyDescent="0.25">
      <c r="A785" t="s">
        <v>706</v>
      </c>
      <c r="B785">
        <v>39</v>
      </c>
      <c r="P785">
        <v>0</v>
      </c>
      <c r="R785">
        <v>0</v>
      </c>
      <c r="S785">
        <v>0</v>
      </c>
      <c r="T785">
        <v>0</v>
      </c>
      <c r="W785">
        <v>0</v>
      </c>
      <c r="X785">
        <v>0</v>
      </c>
    </row>
    <row r="786" spans="1:24" x14ac:dyDescent="0.25">
      <c r="A786" t="s">
        <v>707</v>
      </c>
      <c r="B786">
        <v>39</v>
      </c>
      <c r="P786">
        <v>0</v>
      </c>
      <c r="R786">
        <v>0</v>
      </c>
      <c r="S786">
        <v>0</v>
      </c>
      <c r="T786">
        <v>0</v>
      </c>
      <c r="W786">
        <v>0</v>
      </c>
      <c r="X786">
        <v>0</v>
      </c>
    </row>
    <row r="787" spans="1:24" x14ac:dyDescent="0.25">
      <c r="A787" t="s">
        <v>708</v>
      </c>
      <c r="B787">
        <v>39</v>
      </c>
      <c r="P787">
        <v>1</v>
      </c>
      <c r="R787">
        <v>1</v>
      </c>
      <c r="S787">
        <v>1</v>
      </c>
      <c r="T787">
        <v>2</v>
      </c>
      <c r="W787">
        <v>2</v>
      </c>
      <c r="X787">
        <v>1</v>
      </c>
    </row>
    <row r="788" spans="1:24" x14ac:dyDescent="0.25">
      <c r="A788" t="s">
        <v>709</v>
      </c>
      <c r="B788">
        <v>39</v>
      </c>
      <c r="P788">
        <v>0</v>
      </c>
      <c r="R788">
        <v>0</v>
      </c>
      <c r="S788">
        <v>0</v>
      </c>
      <c r="T788">
        <v>0</v>
      </c>
      <c r="W788">
        <v>0</v>
      </c>
      <c r="X788">
        <v>0</v>
      </c>
    </row>
    <row r="789" spans="1:24" x14ac:dyDescent="0.25">
      <c r="A789" t="s">
        <v>710</v>
      </c>
      <c r="B789">
        <v>39</v>
      </c>
      <c r="P789">
        <v>20</v>
      </c>
      <c r="R789">
        <v>20</v>
      </c>
      <c r="S789">
        <v>20</v>
      </c>
      <c r="T789">
        <v>6</v>
      </c>
      <c r="W789">
        <v>6</v>
      </c>
      <c r="X789">
        <v>20</v>
      </c>
    </row>
    <row r="790" spans="1:24" x14ac:dyDescent="0.25">
      <c r="A790" t="s">
        <v>711</v>
      </c>
      <c r="B790">
        <v>39</v>
      </c>
      <c r="P790">
        <v>3</v>
      </c>
      <c r="R790">
        <v>3</v>
      </c>
      <c r="S790">
        <v>3</v>
      </c>
      <c r="T790">
        <v>3</v>
      </c>
      <c r="W790">
        <v>3</v>
      </c>
      <c r="X790">
        <v>3</v>
      </c>
    </row>
    <row r="791" spans="1:24" x14ac:dyDescent="0.25">
      <c r="A791" t="s">
        <v>712</v>
      </c>
      <c r="B791">
        <v>39</v>
      </c>
      <c r="P791">
        <v>0</v>
      </c>
      <c r="R791">
        <v>0</v>
      </c>
      <c r="S791">
        <v>0</v>
      </c>
      <c r="T791">
        <v>0</v>
      </c>
      <c r="W791">
        <v>0</v>
      </c>
      <c r="X791">
        <v>0</v>
      </c>
    </row>
    <row r="792" spans="1:24" x14ac:dyDescent="0.25">
      <c r="A792" t="s">
        <v>713</v>
      </c>
      <c r="B792">
        <v>39</v>
      </c>
      <c r="P792">
        <v>0</v>
      </c>
      <c r="R792">
        <v>0</v>
      </c>
      <c r="S792">
        <v>0</v>
      </c>
      <c r="T792">
        <v>0</v>
      </c>
      <c r="W792">
        <v>0</v>
      </c>
      <c r="X792">
        <v>0</v>
      </c>
    </row>
    <row r="793" spans="1:24" x14ac:dyDescent="0.25">
      <c r="A793" t="s">
        <v>714</v>
      </c>
      <c r="B793">
        <v>39</v>
      </c>
      <c r="P793">
        <v>0</v>
      </c>
      <c r="R793">
        <v>0</v>
      </c>
      <c r="S793">
        <v>0</v>
      </c>
      <c r="T793">
        <v>0</v>
      </c>
      <c r="W793">
        <v>0</v>
      </c>
      <c r="X793">
        <v>0</v>
      </c>
    </row>
    <row r="794" spans="1:24" x14ac:dyDescent="0.25">
      <c r="A794" t="s">
        <v>715</v>
      </c>
      <c r="B794">
        <v>39</v>
      </c>
      <c r="T794">
        <v>94</v>
      </c>
      <c r="W794">
        <v>94</v>
      </c>
    </row>
    <row r="795" spans="1:24" x14ac:dyDescent="0.25">
      <c r="A795" t="s">
        <v>716</v>
      </c>
      <c r="B795">
        <v>39</v>
      </c>
      <c r="T795">
        <v>6</v>
      </c>
      <c r="W795">
        <v>6</v>
      </c>
    </row>
    <row r="796" spans="1:24" x14ac:dyDescent="0.25">
      <c r="A796" t="s">
        <v>717</v>
      </c>
      <c r="B796">
        <v>39</v>
      </c>
      <c r="T796">
        <v>3</v>
      </c>
      <c r="W796">
        <v>3</v>
      </c>
    </row>
    <row r="797" spans="1:24" x14ac:dyDescent="0.25">
      <c r="A797" t="s">
        <v>718</v>
      </c>
      <c r="B797">
        <v>39</v>
      </c>
      <c r="T797">
        <v>0</v>
      </c>
      <c r="W797">
        <v>0</v>
      </c>
    </row>
    <row r="798" spans="1:24" x14ac:dyDescent="0.25">
      <c r="A798" t="s">
        <v>719</v>
      </c>
      <c r="B798">
        <v>39</v>
      </c>
      <c r="P798">
        <v>0</v>
      </c>
      <c r="T798">
        <v>0</v>
      </c>
      <c r="W798">
        <v>0</v>
      </c>
    </row>
    <row r="799" spans="1:24" x14ac:dyDescent="0.25">
      <c r="A799" t="s">
        <v>405</v>
      </c>
      <c r="B799">
        <v>39</v>
      </c>
      <c r="P799">
        <v>0</v>
      </c>
    </row>
    <row r="800" spans="1:24" x14ac:dyDescent="0.25">
      <c r="A800" t="s">
        <v>720</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695</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770</v>
      </c>
      <c r="B812">
        <v>43</v>
      </c>
      <c r="R812">
        <v>2</v>
      </c>
      <c r="T812">
        <v>2</v>
      </c>
      <c r="W812">
        <v>3</v>
      </c>
    </row>
    <row r="813" spans="1:24" x14ac:dyDescent="0.25">
      <c r="A813" t="s">
        <v>771</v>
      </c>
      <c r="B813">
        <v>43</v>
      </c>
      <c r="T813">
        <v>3</v>
      </c>
    </row>
    <row r="814" spans="1:24" x14ac:dyDescent="0.25">
      <c r="A814" t="s">
        <v>46</v>
      </c>
      <c r="B814">
        <v>43</v>
      </c>
      <c r="X814">
        <v>1</v>
      </c>
    </row>
    <row r="815" spans="1:24" x14ac:dyDescent="0.25">
      <c r="A815" t="s">
        <v>772</v>
      </c>
      <c r="B815">
        <v>43</v>
      </c>
      <c r="X815">
        <v>3</v>
      </c>
    </row>
    <row r="816" spans="1:24" x14ac:dyDescent="0.25">
      <c r="A816" t="s">
        <v>49</v>
      </c>
      <c r="B816">
        <v>43</v>
      </c>
      <c r="P816">
        <v>9.9</v>
      </c>
      <c r="R816">
        <v>9.9</v>
      </c>
      <c r="S816">
        <v>9.6</v>
      </c>
      <c r="T816">
        <v>7.3</v>
      </c>
      <c r="W816">
        <v>7.3</v>
      </c>
      <c r="X816">
        <v>7.3</v>
      </c>
    </row>
    <row r="817" spans="1:24" x14ac:dyDescent="0.25">
      <c r="A817" t="s">
        <v>696</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697</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698</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699</v>
      </c>
      <c r="B830">
        <v>43</v>
      </c>
      <c r="P830">
        <v>0</v>
      </c>
      <c r="T830">
        <v>0</v>
      </c>
      <c r="W830">
        <v>0</v>
      </c>
    </row>
    <row r="831" spans="1:24" x14ac:dyDescent="0.25">
      <c r="A831" t="s">
        <v>678</v>
      </c>
      <c r="B831">
        <v>43</v>
      </c>
      <c r="P831">
        <v>666</v>
      </c>
      <c r="T831">
        <v>1361</v>
      </c>
      <c r="W831">
        <v>2677</v>
      </c>
    </row>
    <row r="832" spans="1:24" x14ac:dyDescent="0.25">
      <c r="A832" t="s">
        <v>78</v>
      </c>
      <c r="B832">
        <v>43</v>
      </c>
      <c r="P832">
        <v>10.1</v>
      </c>
      <c r="T832">
        <v>16.899999999999999</v>
      </c>
      <c r="W832">
        <v>33.200000000000003</v>
      </c>
    </row>
    <row r="833" spans="1:24" x14ac:dyDescent="0.25">
      <c r="A833" t="s">
        <v>700</v>
      </c>
      <c r="B833">
        <v>43</v>
      </c>
      <c r="R833">
        <v>0</v>
      </c>
      <c r="T833">
        <v>0</v>
      </c>
      <c r="X833">
        <v>0</v>
      </c>
    </row>
    <row r="834" spans="1:24" x14ac:dyDescent="0.25">
      <c r="A834" t="s">
        <v>701</v>
      </c>
      <c r="B834">
        <v>43</v>
      </c>
      <c r="P834">
        <v>0</v>
      </c>
      <c r="R834">
        <v>1</v>
      </c>
      <c r="S834">
        <v>0</v>
      </c>
      <c r="T834">
        <v>0</v>
      </c>
      <c r="W834">
        <v>0</v>
      </c>
      <c r="X834">
        <v>1</v>
      </c>
    </row>
    <row r="835" spans="1:24" x14ac:dyDescent="0.25">
      <c r="A835" t="s">
        <v>702</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703</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704</v>
      </c>
      <c r="B841">
        <v>43</v>
      </c>
      <c r="P841">
        <v>0</v>
      </c>
      <c r="R841">
        <v>2</v>
      </c>
      <c r="S841">
        <v>0</v>
      </c>
      <c r="T841">
        <v>2</v>
      </c>
      <c r="W841">
        <v>3</v>
      </c>
      <c r="X841">
        <v>3</v>
      </c>
    </row>
    <row r="842" spans="1:24" x14ac:dyDescent="0.25">
      <c r="A842" t="s">
        <v>705</v>
      </c>
      <c r="B842">
        <v>43</v>
      </c>
      <c r="P842">
        <v>0</v>
      </c>
      <c r="R842">
        <v>0</v>
      </c>
      <c r="S842">
        <v>0</v>
      </c>
      <c r="T842">
        <v>3</v>
      </c>
      <c r="W842">
        <v>0</v>
      </c>
      <c r="X842">
        <v>0</v>
      </c>
    </row>
    <row r="843" spans="1:24" x14ac:dyDescent="0.25">
      <c r="A843" t="s">
        <v>706</v>
      </c>
      <c r="B843">
        <v>43</v>
      </c>
      <c r="P843">
        <v>0</v>
      </c>
      <c r="R843">
        <v>0</v>
      </c>
      <c r="S843">
        <v>0</v>
      </c>
      <c r="T843">
        <v>0</v>
      </c>
      <c r="W843">
        <v>0</v>
      </c>
      <c r="X843">
        <v>0</v>
      </c>
    </row>
    <row r="844" spans="1:24" x14ac:dyDescent="0.25">
      <c r="A844" t="s">
        <v>707</v>
      </c>
      <c r="B844">
        <v>43</v>
      </c>
      <c r="P844">
        <v>0</v>
      </c>
      <c r="R844">
        <v>0</v>
      </c>
      <c r="S844">
        <v>0</v>
      </c>
      <c r="T844">
        <v>0</v>
      </c>
      <c r="W844">
        <v>0</v>
      </c>
      <c r="X844">
        <v>0</v>
      </c>
    </row>
    <row r="845" spans="1:24" x14ac:dyDescent="0.25">
      <c r="A845" t="s">
        <v>708</v>
      </c>
      <c r="B845">
        <v>43</v>
      </c>
      <c r="P845">
        <v>1</v>
      </c>
      <c r="R845">
        <v>1</v>
      </c>
      <c r="S845">
        <v>1</v>
      </c>
      <c r="T845">
        <v>2</v>
      </c>
      <c r="W845">
        <v>2</v>
      </c>
      <c r="X845">
        <v>1</v>
      </c>
    </row>
    <row r="846" spans="1:24" x14ac:dyDescent="0.25">
      <c r="A846" t="s">
        <v>709</v>
      </c>
      <c r="B846">
        <v>43</v>
      </c>
      <c r="P846">
        <v>0</v>
      </c>
      <c r="R846">
        <v>0</v>
      </c>
      <c r="S846">
        <v>0</v>
      </c>
      <c r="T846">
        <v>0</v>
      </c>
      <c r="W846">
        <v>0</v>
      </c>
      <c r="X846">
        <v>0</v>
      </c>
    </row>
    <row r="847" spans="1:24" x14ac:dyDescent="0.25">
      <c r="A847" t="s">
        <v>710</v>
      </c>
      <c r="B847">
        <v>43</v>
      </c>
      <c r="P847">
        <v>20</v>
      </c>
      <c r="R847">
        <v>20</v>
      </c>
      <c r="S847">
        <v>20</v>
      </c>
      <c r="T847">
        <v>6</v>
      </c>
      <c r="W847">
        <v>6</v>
      </c>
      <c r="X847">
        <v>20</v>
      </c>
    </row>
    <row r="848" spans="1:24" x14ac:dyDescent="0.25">
      <c r="A848" t="s">
        <v>711</v>
      </c>
      <c r="B848">
        <v>43</v>
      </c>
      <c r="P848">
        <v>3</v>
      </c>
      <c r="R848">
        <v>3</v>
      </c>
      <c r="S848">
        <v>3</v>
      </c>
      <c r="T848">
        <v>3</v>
      </c>
      <c r="W848">
        <v>3</v>
      </c>
      <c r="X848">
        <v>3</v>
      </c>
    </row>
    <row r="849" spans="1:27" x14ac:dyDescent="0.25">
      <c r="A849" t="s">
        <v>712</v>
      </c>
      <c r="B849">
        <v>43</v>
      </c>
      <c r="P849">
        <v>0</v>
      </c>
      <c r="R849">
        <v>0</v>
      </c>
      <c r="S849">
        <v>0</v>
      </c>
      <c r="T849">
        <v>0</v>
      </c>
      <c r="W849">
        <v>0</v>
      </c>
      <c r="X849">
        <v>0</v>
      </c>
    </row>
    <row r="850" spans="1:27" x14ac:dyDescent="0.25">
      <c r="A850" t="s">
        <v>713</v>
      </c>
      <c r="B850">
        <v>43</v>
      </c>
      <c r="P850">
        <v>0</v>
      </c>
      <c r="R850">
        <v>0</v>
      </c>
      <c r="S850">
        <v>0</v>
      </c>
      <c r="T850">
        <v>0</v>
      </c>
      <c r="W850">
        <v>0</v>
      </c>
      <c r="X850">
        <v>0</v>
      </c>
    </row>
    <row r="851" spans="1:27" x14ac:dyDescent="0.25">
      <c r="A851" t="s">
        <v>714</v>
      </c>
      <c r="B851">
        <v>43</v>
      </c>
      <c r="P851">
        <v>0</v>
      </c>
      <c r="R851">
        <v>0</v>
      </c>
      <c r="S851">
        <v>0</v>
      </c>
      <c r="T851">
        <v>0</v>
      </c>
      <c r="W851">
        <v>0</v>
      </c>
      <c r="X851">
        <v>0</v>
      </c>
    </row>
    <row r="852" spans="1:27" x14ac:dyDescent="0.25">
      <c r="A852" t="s">
        <v>715</v>
      </c>
      <c r="B852">
        <v>43</v>
      </c>
      <c r="T852">
        <v>94</v>
      </c>
      <c r="W852">
        <v>94</v>
      </c>
    </row>
    <row r="853" spans="1:27" x14ac:dyDescent="0.25">
      <c r="A853" t="s">
        <v>716</v>
      </c>
      <c r="B853">
        <v>43</v>
      </c>
      <c r="T853">
        <v>6</v>
      </c>
      <c r="W853">
        <v>6</v>
      </c>
    </row>
    <row r="854" spans="1:27" x14ac:dyDescent="0.25">
      <c r="A854" t="s">
        <v>717</v>
      </c>
      <c r="B854">
        <v>43</v>
      </c>
      <c r="T854">
        <v>3</v>
      </c>
      <c r="W854">
        <v>3</v>
      </c>
    </row>
    <row r="855" spans="1:27" x14ac:dyDescent="0.25">
      <c r="A855" t="s">
        <v>718</v>
      </c>
      <c r="B855">
        <v>43</v>
      </c>
      <c r="T855">
        <v>0</v>
      </c>
      <c r="W855">
        <v>0</v>
      </c>
    </row>
    <row r="856" spans="1:27" x14ac:dyDescent="0.25">
      <c r="A856" t="s">
        <v>719</v>
      </c>
      <c r="B856">
        <v>43</v>
      </c>
      <c r="P856">
        <v>0</v>
      </c>
      <c r="T856">
        <v>0</v>
      </c>
      <c r="W856">
        <v>0</v>
      </c>
    </row>
    <row r="857" spans="1:27" x14ac:dyDescent="0.25">
      <c r="A857" t="s">
        <v>405</v>
      </c>
      <c r="B857">
        <v>43</v>
      </c>
      <c r="P857">
        <v>0</v>
      </c>
    </row>
    <row r="858" spans="1:27" x14ac:dyDescent="0.25">
      <c r="A858" t="s">
        <v>720</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695</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696</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697</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698</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699</v>
      </c>
      <c r="B885">
        <v>44</v>
      </c>
      <c r="Q885">
        <v>0</v>
      </c>
      <c r="T885">
        <v>0</v>
      </c>
      <c r="W885">
        <v>0</v>
      </c>
      <c r="Z885">
        <v>0</v>
      </c>
    </row>
    <row r="886" spans="1:27" x14ac:dyDescent="0.25">
      <c r="A886" t="s">
        <v>678</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700</v>
      </c>
      <c r="B888">
        <v>44</v>
      </c>
      <c r="R888">
        <v>0</v>
      </c>
      <c r="U888">
        <v>0</v>
      </c>
      <c r="X888">
        <v>0</v>
      </c>
      <c r="AA888">
        <v>0</v>
      </c>
    </row>
    <row r="889" spans="1:27" x14ac:dyDescent="0.25">
      <c r="A889" t="s">
        <v>701</v>
      </c>
      <c r="B889">
        <v>44</v>
      </c>
      <c r="P889">
        <v>0</v>
      </c>
      <c r="Q889">
        <v>0</v>
      </c>
      <c r="R889">
        <v>1</v>
      </c>
      <c r="S889">
        <v>0</v>
      </c>
      <c r="T889">
        <v>0</v>
      </c>
      <c r="U889">
        <v>1</v>
      </c>
      <c r="V889">
        <v>0</v>
      </c>
      <c r="W889">
        <v>0</v>
      </c>
      <c r="X889">
        <v>1</v>
      </c>
      <c r="Y889">
        <v>0</v>
      </c>
      <c r="Z889">
        <v>0</v>
      </c>
      <c r="AA889">
        <v>1</v>
      </c>
    </row>
    <row r="890" spans="1:27" x14ac:dyDescent="0.25">
      <c r="A890" t="s">
        <v>702</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703</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704</v>
      </c>
      <c r="B896">
        <v>44</v>
      </c>
      <c r="P896">
        <v>0</v>
      </c>
      <c r="Q896">
        <v>0</v>
      </c>
      <c r="S896">
        <v>0</v>
      </c>
      <c r="T896">
        <v>0</v>
      </c>
      <c r="U896">
        <v>0</v>
      </c>
      <c r="V896">
        <v>0</v>
      </c>
      <c r="W896">
        <v>0</v>
      </c>
      <c r="Y896">
        <v>0</v>
      </c>
      <c r="Z896">
        <v>0</v>
      </c>
      <c r="AA896">
        <v>0</v>
      </c>
    </row>
    <row r="897" spans="1:27" x14ac:dyDescent="0.25">
      <c r="A897" t="s">
        <v>705</v>
      </c>
      <c r="B897">
        <v>44</v>
      </c>
      <c r="P897">
        <v>0</v>
      </c>
      <c r="Q897">
        <v>0</v>
      </c>
      <c r="S897">
        <v>0</v>
      </c>
      <c r="T897">
        <v>0</v>
      </c>
      <c r="U897">
        <v>0</v>
      </c>
      <c r="V897">
        <v>0</v>
      </c>
      <c r="W897">
        <v>0</v>
      </c>
      <c r="Y897">
        <v>0</v>
      </c>
      <c r="Z897">
        <v>0</v>
      </c>
      <c r="AA897">
        <v>0</v>
      </c>
    </row>
    <row r="898" spans="1:27" x14ac:dyDescent="0.25">
      <c r="A898" t="s">
        <v>706</v>
      </c>
      <c r="B898">
        <v>44</v>
      </c>
      <c r="P898">
        <v>0</v>
      </c>
      <c r="Q898">
        <v>0</v>
      </c>
      <c r="S898">
        <v>0</v>
      </c>
      <c r="T898">
        <v>0</v>
      </c>
      <c r="U898">
        <v>0</v>
      </c>
      <c r="V898">
        <v>0</v>
      </c>
      <c r="W898">
        <v>0</v>
      </c>
      <c r="Y898">
        <v>0</v>
      </c>
      <c r="Z898">
        <v>0</v>
      </c>
      <c r="AA898">
        <v>0</v>
      </c>
    </row>
    <row r="899" spans="1:27" x14ac:dyDescent="0.25">
      <c r="A899" t="s">
        <v>707</v>
      </c>
      <c r="B899">
        <v>44</v>
      </c>
      <c r="P899">
        <v>0</v>
      </c>
      <c r="Q899">
        <v>0</v>
      </c>
      <c r="S899">
        <v>0</v>
      </c>
      <c r="T899">
        <v>0</v>
      </c>
      <c r="U899">
        <v>0</v>
      </c>
      <c r="V899">
        <v>0</v>
      </c>
      <c r="W899">
        <v>0</v>
      </c>
      <c r="Y899">
        <v>0</v>
      </c>
      <c r="Z899">
        <v>0</v>
      </c>
      <c r="AA899">
        <v>0</v>
      </c>
    </row>
    <row r="900" spans="1:27" x14ac:dyDescent="0.25">
      <c r="A900" t="s">
        <v>708</v>
      </c>
      <c r="B900">
        <v>44</v>
      </c>
      <c r="P900">
        <v>1</v>
      </c>
      <c r="Q900">
        <v>2</v>
      </c>
      <c r="S900">
        <v>1</v>
      </c>
      <c r="T900">
        <v>2</v>
      </c>
      <c r="U900">
        <v>1</v>
      </c>
      <c r="V900">
        <v>1</v>
      </c>
      <c r="W900">
        <v>2</v>
      </c>
      <c r="Y900">
        <v>1</v>
      </c>
      <c r="Z900">
        <v>2</v>
      </c>
      <c r="AA900">
        <v>1</v>
      </c>
    </row>
    <row r="901" spans="1:27" x14ac:dyDescent="0.25">
      <c r="A901" t="s">
        <v>709</v>
      </c>
      <c r="B901">
        <v>44</v>
      </c>
      <c r="P901">
        <v>0</v>
      </c>
      <c r="Q901">
        <v>0</v>
      </c>
      <c r="S901">
        <v>0</v>
      </c>
      <c r="T901">
        <v>0</v>
      </c>
      <c r="U901">
        <v>0</v>
      </c>
      <c r="V901">
        <v>0</v>
      </c>
      <c r="W901">
        <v>0</v>
      </c>
      <c r="Y901">
        <v>0</v>
      </c>
      <c r="Z901">
        <v>0</v>
      </c>
      <c r="AA901">
        <v>0</v>
      </c>
    </row>
    <row r="902" spans="1:27" x14ac:dyDescent="0.25">
      <c r="A902" t="s">
        <v>710</v>
      </c>
      <c r="B902">
        <v>44</v>
      </c>
      <c r="P902">
        <v>20</v>
      </c>
      <c r="Q902">
        <v>6</v>
      </c>
      <c r="S902">
        <v>20</v>
      </c>
      <c r="T902">
        <v>6</v>
      </c>
      <c r="U902">
        <v>20</v>
      </c>
      <c r="V902">
        <v>20</v>
      </c>
      <c r="W902">
        <v>6</v>
      </c>
      <c r="Y902">
        <v>20</v>
      </c>
      <c r="Z902">
        <v>6</v>
      </c>
      <c r="AA902">
        <v>20</v>
      </c>
    </row>
    <row r="903" spans="1:27" x14ac:dyDescent="0.25">
      <c r="A903" t="s">
        <v>711</v>
      </c>
      <c r="B903">
        <v>44</v>
      </c>
      <c r="P903">
        <v>3</v>
      </c>
      <c r="Q903">
        <v>3</v>
      </c>
      <c r="S903">
        <v>3</v>
      </c>
      <c r="T903">
        <v>3</v>
      </c>
      <c r="U903">
        <v>3</v>
      </c>
      <c r="V903">
        <v>3</v>
      </c>
      <c r="W903">
        <v>3</v>
      </c>
      <c r="Y903">
        <v>3</v>
      </c>
      <c r="Z903">
        <v>3</v>
      </c>
      <c r="AA903">
        <v>3</v>
      </c>
    </row>
    <row r="904" spans="1:27" x14ac:dyDescent="0.25">
      <c r="A904" t="s">
        <v>712</v>
      </c>
      <c r="B904">
        <v>44</v>
      </c>
      <c r="P904">
        <v>0</v>
      </c>
      <c r="Q904">
        <v>0</v>
      </c>
      <c r="S904">
        <v>0</v>
      </c>
      <c r="T904">
        <v>0</v>
      </c>
      <c r="U904">
        <v>0</v>
      </c>
      <c r="V904">
        <v>0</v>
      </c>
      <c r="W904">
        <v>0</v>
      </c>
      <c r="Y904">
        <v>0</v>
      </c>
      <c r="Z904">
        <v>0</v>
      </c>
      <c r="AA904">
        <v>0</v>
      </c>
    </row>
    <row r="905" spans="1:27" x14ac:dyDescent="0.25">
      <c r="A905" t="s">
        <v>713</v>
      </c>
      <c r="B905">
        <v>44</v>
      </c>
      <c r="P905">
        <v>0</v>
      </c>
      <c r="Q905">
        <v>0</v>
      </c>
      <c r="S905">
        <v>0</v>
      </c>
      <c r="T905">
        <v>0</v>
      </c>
      <c r="U905">
        <v>0</v>
      </c>
      <c r="V905">
        <v>0</v>
      </c>
      <c r="W905">
        <v>0</v>
      </c>
      <c r="Y905">
        <v>0</v>
      </c>
      <c r="Z905">
        <v>0</v>
      </c>
      <c r="AA905">
        <v>0</v>
      </c>
    </row>
    <row r="906" spans="1:27" x14ac:dyDescent="0.25">
      <c r="A906" t="s">
        <v>714</v>
      </c>
      <c r="B906">
        <v>44</v>
      </c>
      <c r="P906">
        <v>0</v>
      </c>
      <c r="Q906">
        <v>0</v>
      </c>
      <c r="S906">
        <v>0</v>
      </c>
      <c r="T906">
        <v>0</v>
      </c>
      <c r="U906">
        <v>0</v>
      </c>
      <c r="V906">
        <v>0</v>
      </c>
      <c r="W906">
        <v>0</v>
      </c>
      <c r="Y906">
        <v>0</v>
      </c>
      <c r="Z906">
        <v>0</v>
      </c>
      <c r="AA906">
        <v>0</v>
      </c>
    </row>
    <row r="907" spans="1:27" x14ac:dyDescent="0.25">
      <c r="A907" t="s">
        <v>715</v>
      </c>
      <c r="B907">
        <v>44</v>
      </c>
      <c r="Q907">
        <v>94</v>
      </c>
      <c r="T907">
        <v>94</v>
      </c>
      <c r="W907">
        <v>94</v>
      </c>
      <c r="Z907">
        <v>94</v>
      </c>
    </row>
    <row r="908" spans="1:27" x14ac:dyDescent="0.25">
      <c r="A908" t="s">
        <v>716</v>
      </c>
      <c r="B908">
        <v>44</v>
      </c>
      <c r="Q908">
        <v>6</v>
      </c>
      <c r="T908">
        <v>6</v>
      </c>
      <c r="W908">
        <v>6</v>
      </c>
      <c r="Z908">
        <v>6</v>
      </c>
    </row>
    <row r="909" spans="1:27" x14ac:dyDescent="0.25">
      <c r="A909" t="s">
        <v>717</v>
      </c>
      <c r="B909">
        <v>44</v>
      </c>
      <c r="Q909">
        <v>3</v>
      </c>
      <c r="T909">
        <v>3</v>
      </c>
      <c r="W909">
        <v>3</v>
      </c>
      <c r="Z909">
        <v>3</v>
      </c>
    </row>
    <row r="910" spans="1:27" x14ac:dyDescent="0.25">
      <c r="A910" t="s">
        <v>718</v>
      </c>
      <c r="B910">
        <v>44</v>
      </c>
      <c r="Q910">
        <v>0</v>
      </c>
      <c r="T910">
        <v>0</v>
      </c>
      <c r="W910">
        <v>0</v>
      </c>
      <c r="Z910">
        <v>0</v>
      </c>
    </row>
    <row r="911" spans="1:27" x14ac:dyDescent="0.25">
      <c r="A911" t="s">
        <v>719</v>
      </c>
      <c r="B911">
        <v>44</v>
      </c>
      <c r="Q911">
        <v>0</v>
      </c>
      <c r="T911">
        <v>0</v>
      </c>
      <c r="W911">
        <v>0</v>
      </c>
      <c r="Z911">
        <v>0</v>
      </c>
    </row>
    <row r="912" spans="1:27" x14ac:dyDescent="0.25">
      <c r="A912" t="s">
        <v>405</v>
      </c>
      <c r="B912">
        <v>44</v>
      </c>
      <c r="Q912">
        <v>0</v>
      </c>
    </row>
    <row r="913" spans="1:27" x14ac:dyDescent="0.25">
      <c r="A913" t="s">
        <v>720</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695</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696</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697</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698</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699</v>
      </c>
      <c r="B940">
        <v>46</v>
      </c>
      <c r="P940">
        <v>0</v>
      </c>
      <c r="T940">
        <v>0</v>
      </c>
      <c r="W940">
        <v>0</v>
      </c>
    </row>
    <row r="941" spans="1:24" x14ac:dyDescent="0.25">
      <c r="A941" t="s">
        <v>678</v>
      </c>
      <c r="B941">
        <v>46</v>
      </c>
      <c r="P941">
        <v>276</v>
      </c>
      <c r="T941">
        <v>906</v>
      </c>
      <c r="W941">
        <v>1161</v>
      </c>
    </row>
    <row r="942" spans="1:24" x14ac:dyDescent="0.25">
      <c r="A942" t="s">
        <v>78</v>
      </c>
      <c r="B942">
        <v>46</v>
      </c>
      <c r="P942">
        <v>7.5</v>
      </c>
      <c r="T942">
        <v>13.7</v>
      </c>
      <c r="W942">
        <v>17.600000000000001</v>
      </c>
    </row>
    <row r="943" spans="1:24" x14ac:dyDescent="0.25">
      <c r="A943" t="s">
        <v>700</v>
      </c>
      <c r="B943">
        <v>46</v>
      </c>
      <c r="R943">
        <v>0</v>
      </c>
      <c r="T943">
        <v>0</v>
      </c>
      <c r="X943">
        <v>0</v>
      </c>
    </row>
    <row r="944" spans="1:24" x14ac:dyDescent="0.25">
      <c r="A944" t="s">
        <v>701</v>
      </c>
      <c r="B944">
        <v>46</v>
      </c>
      <c r="P944">
        <v>0</v>
      </c>
      <c r="R944">
        <v>1</v>
      </c>
      <c r="S944">
        <v>0</v>
      </c>
      <c r="T944">
        <v>0</v>
      </c>
      <c r="W944">
        <v>0</v>
      </c>
      <c r="X944">
        <v>1</v>
      </c>
    </row>
    <row r="945" spans="1:24" x14ac:dyDescent="0.25">
      <c r="A945" t="s">
        <v>702</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703</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704</v>
      </c>
      <c r="B951">
        <v>46</v>
      </c>
      <c r="P951">
        <v>0</v>
      </c>
      <c r="R951">
        <v>0</v>
      </c>
      <c r="S951">
        <v>0</v>
      </c>
      <c r="T951">
        <v>0</v>
      </c>
      <c r="W951">
        <v>0</v>
      </c>
      <c r="X951">
        <v>0</v>
      </c>
    </row>
    <row r="952" spans="1:24" x14ac:dyDescent="0.25">
      <c r="A952" t="s">
        <v>705</v>
      </c>
      <c r="B952">
        <v>46</v>
      </c>
      <c r="P952">
        <v>0</v>
      </c>
      <c r="R952">
        <v>0</v>
      </c>
      <c r="S952">
        <v>0</v>
      </c>
      <c r="T952">
        <v>0</v>
      </c>
      <c r="W952">
        <v>0</v>
      </c>
      <c r="X952">
        <v>0</v>
      </c>
    </row>
    <row r="953" spans="1:24" x14ac:dyDescent="0.25">
      <c r="A953" t="s">
        <v>706</v>
      </c>
      <c r="B953">
        <v>46</v>
      </c>
      <c r="P953">
        <v>0</v>
      </c>
      <c r="R953">
        <v>0</v>
      </c>
      <c r="S953">
        <v>0</v>
      </c>
      <c r="T953">
        <v>0</v>
      </c>
      <c r="W953">
        <v>0</v>
      </c>
      <c r="X953">
        <v>0</v>
      </c>
    </row>
    <row r="954" spans="1:24" x14ac:dyDescent="0.25">
      <c r="A954" t="s">
        <v>707</v>
      </c>
      <c r="B954">
        <v>46</v>
      </c>
      <c r="P954">
        <v>0</v>
      </c>
      <c r="R954">
        <v>0</v>
      </c>
      <c r="S954">
        <v>0</v>
      </c>
      <c r="T954">
        <v>0</v>
      </c>
      <c r="W954">
        <v>0</v>
      </c>
      <c r="X954">
        <v>0</v>
      </c>
    </row>
    <row r="955" spans="1:24" x14ac:dyDescent="0.25">
      <c r="A955" t="s">
        <v>708</v>
      </c>
      <c r="B955">
        <v>46</v>
      </c>
      <c r="P955">
        <v>1</v>
      </c>
      <c r="R955">
        <v>1</v>
      </c>
      <c r="S955">
        <v>1</v>
      </c>
      <c r="T955">
        <v>2</v>
      </c>
      <c r="W955">
        <v>2</v>
      </c>
      <c r="X955">
        <v>1</v>
      </c>
    </row>
    <row r="956" spans="1:24" x14ac:dyDescent="0.25">
      <c r="A956" t="s">
        <v>709</v>
      </c>
      <c r="B956">
        <v>46</v>
      </c>
      <c r="P956">
        <v>0</v>
      </c>
      <c r="R956">
        <v>0</v>
      </c>
      <c r="S956">
        <v>0</v>
      </c>
      <c r="T956">
        <v>0</v>
      </c>
      <c r="W956">
        <v>0</v>
      </c>
      <c r="X956">
        <v>0</v>
      </c>
    </row>
    <row r="957" spans="1:24" x14ac:dyDescent="0.25">
      <c r="A957" t="s">
        <v>710</v>
      </c>
      <c r="B957">
        <v>46</v>
      </c>
      <c r="P957">
        <v>20</v>
      </c>
      <c r="R957">
        <v>20</v>
      </c>
      <c r="S957">
        <v>20</v>
      </c>
      <c r="T957">
        <v>6</v>
      </c>
      <c r="W957">
        <v>6</v>
      </c>
      <c r="X957">
        <v>20</v>
      </c>
    </row>
    <row r="958" spans="1:24" x14ac:dyDescent="0.25">
      <c r="A958" t="s">
        <v>711</v>
      </c>
      <c r="B958">
        <v>46</v>
      </c>
      <c r="P958">
        <v>3</v>
      </c>
      <c r="R958">
        <v>3</v>
      </c>
      <c r="S958">
        <v>3</v>
      </c>
      <c r="T958">
        <v>3</v>
      </c>
      <c r="W958">
        <v>3</v>
      </c>
      <c r="X958">
        <v>3</v>
      </c>
    </row>
    <row r="959" spans="1:24" x14ac:dyDescent="0.25">
      <c r="A959" t="s">
        <v>712</v>
      </c>
      <c r="B959">
        <v>46</v>
      </c>
      <c r="P959">
        <v>0</v>
      </c>
      <c r="R959">
        <v>0</v>
      </c>
      <c r="S959">
        <v>0</v>
      </c>
      <c r="T959">
        <v>0</v>
      </c>
      <c r="W959">
        <v>0</v>
      </c>
      <c r="X959">
        <v>0</v>
      </c>
    </row>
    <row r="960" spans="1:24" x14ac:dyDescent="0.25">
      <c r="A960" t="s">
        <v>713</v>
      </c>
      <c r="B960">
        <v>46</v>
      </c>
      <c r="P960">
        <v>0</v>
      </c>
      <c r="R960">
        <v>0</v>
      </c>
      <c r="S960">
        <v>0</v>
      </c>
      <c r="T960">
        <v>0</v>
      </c>
      <c r="W960">
        <v>0</v>
      </c>
      <c r="X960">
        <v>0</v>
      </c>
    </row>
    <row r="961" spans="1:24" x14ac:dyDescent="0.25">
      <c r="A961" t="s">
        <v>714</v>
      </c>
      <c r="B961">
        <v>46</v>
      </c>
      <c r="P961">
        <v>0</v>
      </c>
      <c r="R961">
        <v>0</v>
      </c>
      <c r="S961">
        <v>0</v>
      </c>
      <c r="T961">
        <v>0</v>
      </c>
      <c r="W961">
        <v>0</v>
      </c>
      <c r="X961">
        <v>0</v>
      </c>
    </row>
    <row r="962" spans="1:24" x14ac:dyDescent="0.25">
      <c r="A962" t="s">
        <v>715</v>
      </c>
      <c r="B962">
        <v>46</v>
      </c>
      <c r="T962">
        <v>94</v>
      </c>
      <c r="W962">
        <v>94</v>
      </c>
    </row>
    <row r="963" spans="1:24" x14ac:dyDescent="0.25">
      <c r="A963" t="s">
        <v>716</v>
      </c>
      <c r="B963">
        <v>46</v>
      </c>
      <c r="T963">
        <v>6</v>
      </c>
      <c r="W963">
        <v>6</v>
      </c>
    </row>
    <row r="964" spans="1:24" x14ac:dyDescent="0.25">
      <c r="A964" t="s">
        <v>717</v>
      </c>
      <c r="B964">
        <v>46</v>
      </c>
      <c r="T964">
        <v>3</v>
      </c>
      <c r="W964">
        <v>3</v>
      </c>
    </row>
    <row r="965" spans="1:24" x14ac:dyDescent="0.25">
      <c r="A965" t="s">
        <v>718</v>
      </c>
      <c r="B965">
        <v>46</v>
      </c>
      <c r="T965">
        <v>0</v>
      </c>
      <c r="W965">
        <v>0</v>
      </c>
    </row>
    <row r="966" spans="1:24" x14ac:dyDescent="0.25">
      <c r="A966" t="s">
        <v>719</v>
      </c>
      <c r="B966">
        <v>46</v>
      </c>
      <c r="P966">
        <v>0</v>
      </c>
      <c r="T966">
        <v>0</v>
      </c>
      <c r="W966">
        <v>0</v>
      </c>
    </row>
    <row r="967" spans="1:24" x14ac:dyDescent="0.25">
      <c r="A967" t="s">
        <v>405</v>
      </c>
      <c r="B967">
        <v>46</v>
      </c>
      <c r="P967">
        <v>0</v>
      </c>
    </row>
    <row r="968" spans="1:24" x14ac:dyDescent="0.25">
      <c r="A968" t="s">
        <v>773</v>
      </c>
      <c r="B968">
        <v>46</v>
      </c>
      <c r="R968">
        <v>0</v>
      </c>
    </row>
    <row r="969" spans="1:24" x14ac:dyDescent="0.25">
      <c r="A969" t="s">
        <v>720</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695</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696</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697</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698</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699</v>
      </c>
      <c r="B996">
        <v>49</v>
      </c>
      <c r="P996">
        <v>0</v>
      </c>
      <c r="T996">
        <v>0</v>
      </c>
      <c r="W996">
        <v>0</v>
      </c>
    </row>
    <row r="997" spans="1:24" x14ac:dyDescent="0.25">
      <c r="A997" t="s">
        <v>678</v>
      </c>
      <c r="B997">
        <v>49</v>
      </c>
      <c r="P997">
        <v>299</v>
      </c>
      <c r="T997">
        <v>2934</v>
      </c>
      <c r="W997">
        <v>4063</v>
      </c>
    </row>
    <row r="998" spans="1:24" x14ac:dyDescent="0.25">
      <c r="A998" t="s">
        <v>78</v>
      </c>
      <c r="B998">
        <v>49</v>
      </c>
      <c r="P998">
        <v>6.8</v>
      </c>
      <c r="T998">
        <v>44.5</v>
      </c>
      <c r="W998">
        <v>61.6</v>
      </c>
    </row>
    <row r="999" spans="1:24" x14ac:dyDescent="0.25">
      <c r="A999" t="s">
        <v>700</v>
      </c>
      <c r="B999">
        <v>49</v>
      </c>
      <c r="R999">
        <v>0</v>
      </c>
      <c r="T999">
        <v>0</v>
      </c>
      <c r="X999">
        <v>0</v>
      </c>
    </row>
    <row r="1000" spans="1:24" x14ac:dyDescent="0.25">
      <c r="A1000" t="s">
        <v>701</v>
      </c>
      <c r="B1000">
        <v>49</v>
      </c>
      <c r="P1000">
        <v>0</v>
      </c>
      <c r="R1000">
        <v>1</v>
      </c>
      <c r="S1000">
        <v>0</v>
      </c>
      <c r="T1000">
        <v>0</v>
      </c>
      <c r="W1000">
        <v>0</v>
      </c>
      <c r="X1000">
        <v>1</v>
      </c>
    </row>
    <row r="1001" spans="1:24" x14ac:dyDescent="0.25">
      <c r="A1001" t="s">
        <v>702</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703</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704</v>
      </c>
      <c r="B1007">
        <v>49</v>
      </c>
      <c r="P1007">
        <v>0</v>
      </c>
      <c r="R1007">
        <v>0</v>
      </c>
      <c r="S1007">
        <v>0</v>
      </c>
      <c r="T1007">
        <v>0</v>
      </c>
      <c r="W1007">
        <v>0</v>
      </c>
    </row>
    <row r="1008" spans="1:24" x14ac:dyDescent="0.25">
      <c r="A1008" t="s">
        <v>705</v>
      </c>
      <c r="B1008">
        <v>49</v>
      </c>
      <c r="P1008">
        <v>0</v>
      </c>
      <c r="R1008">
        <v>0</v>
      </c>
      <c r="S1008">
        <v>0</v>
      </c>
      <c r="T1008">
        <v>0</v>
      </c>
      <c r="W1008">
        <v>0</v>
      </c>
    </row>
    <row r="1009" spans="1:24" x14ac:dyDescent="0.25">
      <c r="A1009" t="s">
        <v>706</v>
      </c>
      <c r="B1009">
        <v>49</v>
      </c>
      <c r="P1009">
        <v>0</v>
      </c>
      <c r="R1009">
        <v>0</v>
      </c>
      <c r="S1009">
        <v>0</v>
      </c>
      <c r="T1009">
        <v>0</v>
      </c>
      <c r="W1009">
        <v>0</v>
      </c>
    </row>
    <row r="1010" spans="1:24" x14ac:dyDescent="0.25">
      <c r="A1010" t="s">
        <v>707</v>
      </c>
      <c r="B1010">
        <v>49</v>
      </c>
      <c r="P1010">
        <v>0</v>
      </c>
      <c r="R1010">
        <v>0</v>
      </c>
      <c r="S1010">
        <v>0</v>
      </c>
      <c r="T1010">
        <v>0</v>
      </c>
      <c r="W1010">
        <v>0</v>
      </c>
    </row>
    <row r="1011" spans="1:24" x14ac:dyDescent="0.25">
      <c r="A1011" t="s">
        <v>708</v>
      </c>
      <c r="B1011">
        <v>49</v>
      </c>
      <c r="P1011">
        <v>1</v>
      </c>
      <c r="R1011">
        <v>1</v>
      </c>
      <c r="S1011">
        <v>1</v>
      </c>
      <c r="T1011">
        <v>2</v>
      </c>
      <c r="W1011">
        <v>2</v>
      </c>
    </row>
    <row r="1012" spans="1:24" x14ac:dyDescent="0.25">
      <c r="A1012" t="s">
        <v>709</v>
      </c>
      <c r="B1012">
        <v>49</v>
      </c>
      <c r="P1012">
        <v>0</v>
      </c>
      <c r="R1012">
        <v>0</v>
      </c>
      <c r="S1012">
        <v>0</v>
      </c>
      <c r="T1012">
        <v>0</v>
      </c>
      <c r="W1012">
        <v>0</v>
      </c>
    </row>
    <row r="1013" spans="1:24" x14ac:dyDescent="0.25">
      <c r="A1013" t="s">
        <v>710</v>
      </c>
      <c r="B1013">
        <v>49</v>
      </c>
      <c r="P1013">
        <v>20</v>
      </c>
      <c r="R1013">
        <v>20</v>
      </c>
      <c r="S1013">
        <v>20</v>
      </c>
      <c r="T1013">
        <v>6</v>
      </c>
      <c r="W1013">
        <v>6</v>
      </c>
    </row>
    <row r="1014" spans="1:24" x14ac:dyDescent="0.25">
      <c r="A1014" t="s">
        <v>711</v>
      </c>
      <c r="B1014">
        <v>49</v>
      </c>
      <c r="P1014">
        <v>3</v>
      </c>
      <c r="R1014">
        <v>3</v>
      </c>
      <c r="S1014">
        <v>3</v>
      </c>
      <c r="T1014">
        <v>3</v>
      </c>
      <c r="W1014">
        <v>3</v>
      </c>
    </row>
    <row r="1015" spans="1:24" x14ac:dyDescent="0.25">
      <c r="A1015" t="s">
        <v>712</v>
      </c>
      <c r="B1015">
        <v>49</v>
      </c>
      <c r="P1015">
        <v>0</v>
      </c>
      <c r="R1015">
        <v>0</v>
      </c>
      <c r="S1015">
        <v>0</v>
      </c>
      <c r="T1015">
        <v>0</v>
      </c>
      <c r="W1015">
        <v>0</v>
      </c>
    </row>
    <row r="1016" spans="1:24" x14ac:dyDescent="0.25">
      <c r="A1016" t="s">
        <v>713</v>
      </c>
      <c r="B1016">
        <v>49</v>
      </c>
      <c r="P1016">
        <v>0</v>
      </c>
      <c r="R1016">
        <v>0</v>
      </c>
      <c r="S1016">
        <v>0</v>
      </c>
      <c r="T1016">
        <v>0</v>
      </c>
      <c r="W1016">
        <v>0</v>
      </c>
    </row>
    <row r="1017" spans="1:24" x14ac:dyDescent="0.25">
      <c r="A1017" t="s">
        <v>714</v>
      </c>
      <c r="B1017">
        <v>49</v>
      </c>
      <c r="P1017">
        <v>0</v>
      </c>
      <c r="R1017">
        <v>0</v>
      </c>
      <c r="S1017">
        <v>0</v>
      </c>
      <c r="T1017">
        <v>0</v>
      </c>
      <c r="W1017">
        <v>0</v>
      </c>
    </row>
    <row r="1018" spans="1:24" x14ac:dyDescent="0.25">
      <c r="A1018" t="s">
        <v>715</v>
      </c>
      <c r="B1018">
        <v>49</v>
      </c>
      <c r="T1018">
        <v>94</v>
      </c>
      <c r="W1018">
        <v>94</v>
      </c>
    </row>
    <row r="1019" spans="1:24" x14ac:dyDescent="0.25">
      <c r="A1019" t="s">
        <v>716</v>
      </c>
      <c r="B1019">
        <v>49</v>
      </c>
      <c r="T1019">
        <v>6</v>
      </c>
      <c r="W1019">
        <v>6</v>
      </c>
    </row>
    <row r="1020" spans="1:24" x14ac:dyDescent="0.25">
      <c r="A1020" t="s">
        <v>717</v>
      </c>
      <c r="B1020">
        <v>49</v>
      </c>
      <c r="T1020">
        <v>3</v>
      </c>
      <c r="W1020">
        <v>3</v>
      </c>
    </row>
    <row r="1021" spans="1:24" x14ac:dyDescent="0.25">
      <c r="A1021" t="s">
        <v>718</v>
      </c>
      <c r="B1021">
        <v>49</v>
      </c>
      <c r="T1021">
        <v>0</v>
      </c>
      <c r="W1021">
        <v>0</v>
      </c>
    </row>
    <row r="1022" spans="1:24" x14ac:dyDescent="0.25">
      <c r="A1022" t="s">
        <v>719</v>
      </c>
      <c r="B1022">
        <v>49</v>
      </c>
      <c r="P1022">
        <v>0</v>
      </c>
      <c r="T1022">
        <v>0</v>
      </c>
      <c r="W1022">
        <v>0</v>
      </c>
    </row>
    <row r="1023" spans="1:24" x14ac:dyDescent="0.25">
      <c r="A1023" t="s">
        <v>405</v>
      </c>
      <c r="B1023">
        <v>49</v>
      </c>
      <c r="P1023">
        <v>0</v>
      </c>
    </row>
    <row r="1024" spans="1:24" x14ac:dyDescent="0.25">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heetViews>
  <sheetFormatPr defaultRowHeight="15" x14ac:dyDescent="0.25"/>
  <sheetData>
    <row r="1" spans="1:3" x14ac:dyDescent="0.25">
      <c r="A1" t="s">
        <v>565</v>
      </c>
    </row>
    <row r="2" spans="1:3" x14ac:dyDescent="0.25">
      <c r="A2" t="s">
        <v>723</v>
      </c>
    </row>
    <row r="3" spans="1:3" x14ac:dyDescent="0.25">
      <c r="A3" t="s">
        <v>0</v>
      </c>
      <c r="B3" t="s">
        <v>1</v>
      </c>
      <c r="C3" t="s">
        <v>643</v>
      </c>
    </row>
    <row r="4" spans="1:3" x14ac:dyDescent="0.25">
      <c r="A4" t="s">
        <v>724</v>
      </c>
      <c r="B4">
        <v>1</v>
      </c>
      <c r="C4">
        <v>3</v>
      </c>
    </row>
    <row r="5" spans="1:3" x14ac:dyDescent="0.25">
      <c r="A5" t="s">
        <v>725</v>
      </c>
      <c r="B5">
        <v>1</v>
      </c>
      <c r="C5">
        <v>140</v>
      </c>
    </row>
    <row r="6" spans="1:3" x14ac:dyDescent="0.25">
      <c r="A6" t="s">
        <v>726</v>
      </c>
      <c r="B6">
        <v>1</v>
      </c>
      <c r="C6">
        <v>0</v>
      </c>
    </row>
    <row r="7" spans="1:3" x14ac:dyDescent="0.25">
      <c r="A7" t="s">
        <v>727</v>
      </c>
      <c r="B7">
        <v>1</v>
      </c>
      <c r="C7">
        <v>0</v>
      </c>
    </row>
    <row r="8" spans="1:3" x14ac:dyDescent="0.25">
      <c r="A8" t="s">
        <v>728</v>
      </c>
      <c r="B8">
        <v>1</v>
      </c>
      <c r="C8">
        <v>206</v>
      </c>
    </row>
    <row r="9" spans="1:3" x14ac:dyDescent="0.25">
      <c r="A9" t="s">
        <v>563</v>
      </c>
      <c r="B9">
        <v>1</v>
      </c>
      <c r="C9">
        <v>0</v>
      </c>
    </row>
    <row r="10" spans="1:3" x14ac:dyDescent="0.25">
      <c r="A10" t="s">
        <v>729</v>
      </c>
      <c r="B10">
        <v>1</v>
      </c>
      <c r="C10">
        <v>1</v>
      </c>
    </row>
    <row r="11" spans="1:3" x14ac:dyDescent="0.25">
      <c r="A11" t="s">
        <v>272</v>
      </c>
      <c r="B11">
        <v>1</v>
      </c>
      <c r="C11">
        <v>0</v>
      </c>
    </row>
    <row r="12" spans="1:3" x14ac:dyDescent="0.25">
      <c r="A12" t="s">
        <v>730</v>
      </c>
      <c r="B12">
        <v>1</v>
      </c>
      <c r="C12">
        <v>1</v>
      </c>
    </row>
    <row r="13" spans="1:3" x14ac:dyDescent="0.25">
      <c r="A13" t="s">
        <v>731</v>
      </c>
      <c r="B13">
        <v>1</v>
      </c>
      <c r="C13">
        <v>0</v>
      </c>
    </row>
    <row r="14" spans="1:3" x14ac:dyDescent="0.25">
      <c r="A14" t="s">
        <v>724</v>
      </c>
      <c r="B14">
        <v>7</v>
      </c>
      <c r="C14">
        <v>3</v>
      </c>
    </row>
    <row r="15" spans="1:3" x14ac:dyDescent="0.25">
      <c r="A15" t="s">
        <v>725</v>
      </c>
      <c r="B15">
        <v>7</v>
      </c>
      <c r="C15">
        <v>140</v>
      </c>
    </row>
    <row r="16" spans="1:3" x14ac:dyDescent="0.25">
      <c r="A16" t="s">
        <v>726</v>
      </c>
      <c r="B16">
        <v>7</v>
      </c>
      <c r="C16">
        <v>0</v>
      </c>
    </row>
    <row r="17" spans="1:3" x14ac:dyDescent="0.25">
      <c r="A17" t="s">
        <v>727</v>
      </c>
      <c r="B17">
        <v>7</v>
      </c>
      <c r="C17">
        <v>0</v>
      </c>
    </row>
    <row r="18" spans="1:3" x14ac:dyDescent="0.25">
      <c r="A18" t="s">
        <v>728</v>
      </c>
      <c r="B18">
        <v>7</v>
      </c>
      <c r="C18">
        <v>206</v>
      </c>
    </row>
    <row r="19" spans="1:3" x14ac:dyDescent="0.25">
      <c r="A19" t="s">
        <v>563</v>
      </c>
      <c r="B19">
        <v>7</v>
      </c>
      <c r="C19">
        <v>70</v>
      </c>
    </row>
    <row r="20" spans="1:3" x14ac:dyDescent="0.25">
      <c r="A20" t="s">
        <v>729</v>
      </c>
      <c r="B20">
        <v>7</v>
      </c>
      <c r="C20">
        <v>0</v>
      </c>
    </row>
    <row r="21" spans="1:3" x14ac:dyDescent="0.25">
      <c r="A21" t="s">
        <v>272</v>
      </c>
      <c r="B21">
        <v>7</v>
      </c>
      <c r="C21">
        <v>0</v>
      </c>
    </row>
    <row r="22" spans="1:3" x14ac:dyDescent="0.25">
      <c r="A22" t="s">
        <v>730</v>
      </c>
      <c r="B22">
        <v>7</v>
      </c>
      <c r="C22">
        <v>7</v>
      </c>
    </row>
    <row r="23" spans="1:3" x14ac:dyDescent="0.25">
      <c r="A23" t="s">
        <v>731</v>
      </c>
      <c r="B23">
        <v>7</v>
      </c>
      <c r="C23">
        <v>0</v>
      </c>
    </row>
    <row r="24" spans="1:3" x14ac:dyDescent="0.25">
      <c r="A24" t="s">
        <v>724</v>
      </c>
      <c r="B24">
        <v>9</v>
      </c>
      <c r="C24">
        <v>3</v>
      </c>
    </row>
    <row r="25" spans="1:3" x14ac:dyDescent="0.25">
      <c r="A25" t="s">
        <v>725</v>
      </c>
      <c r="B25">
        <v>9</v>
      </c>
      <c r="C25">
        <v>140</v>
      </c>
    </row>
    <row r="26" spans="1:3" x14ac:dyDescent="0.25">
      <c r="A26" t="s">
        <v>726</v>
      </c>
      <c r="B26">
        <v>9</v>
      </c>
      <c r="C26">
        <v>0</v>
      </c>
    </row>
    <row r="27" spans="1:3" x14ac:dyDescent="0.25">
      <c r="A27" t="s">
        <v>727</v>
      </c>
      <c r="B27">
        <v>9</v>
      </c>
      <c r="C27">
        <v>0</v>
      </c>
    </row>
    <row r="28" spans="1:3" x14ac:dyDescent="0.25">
      <c r="A28" t="s">
        <v>728</v>
      </c>
      <c r="B28">
        <v>9</v>
      </c>
      <c r="C28">
        <v>206</v>
      </c>
    </row>
    <row r="29" spans="1:3" x14ac:dyDescent="0.25">
      <c r="A29" t="s">
        <v>563</v>
      </c>
      <c r="B29">
        <v>9</v>
      </c>
      <c r="C29">
        <v>75</v>
      </c>
    </row>
    <row r="30" spans="1:3" x14ac:dyDescent="0.25">
      <c r="A30" t="s">
        <v>729</v>
      </c>
      <c r="B30">
        <v>9</v>
      </c>
      <c r="C30">
        <v>0</v>
      </c>
    </row>
    <row r="31" spans="1:3" x14ac:dyDescent="0.25">
      <c r="A31" t="s">
        <v>272</v>
      </c>
      <c r="B31">
        <v>9</v>
      </c>
      <c r="C31">
        <v>0</v>
      </c>
    </row>
    <row r="32" spans="1:3" x14ac:dyDescent="0.25">
      <c r="A32" t="s">
        <v>730</v>
      </c>
      <c r="B32">
        <v>9</v>
      </c>
      <c r="C32">
        <v>9</v>
      </c>
    </row>
    <row r="33" spans="1:3" x14ac:dyDescent="0.25">
      <c r="A33" t="s">
        <v>731</v>
      </c>
      <c r="B33">
        <v>9</v>
      </c>
      <c r="C33">
        <v>0</v>
      </c>
    </row>
    <row r="34" spans="1:3" x14ac:dyDescent="0.25">
      <c r="A34" t="s">
        <v>724</v>
      </c>
      <c r="B34">
        <v>11</v>
      </c>
      <c r="C34">
        <v>3</v>
      </c>
    </row>
    <row r="35" spans="1:3" x14ac:dyDescent="0.25">
      <c r="A35" t="s">
        <v>725</v>
      </c>
      <c r="B35">
        <v>11</v>
      </c>
      <c r="C35">
        <v>140</v>
      </c>
    </row>
    <row r="36" spans="1:3" x14ac:dyDescent="0.25">
      <c r="A36" t="s">
        <v>726</v>
      </c>
      <c r="B36">
        <v>11</v>
      </c>
      <c r="C36">
        <v>0</v>
      </c>
    </row>
    <row r="37" spans="1:3" x14ac:dyDescent="0.25">
      <c r="A37" t="s">
        <v>727</v>
      </c>
      <c r="B37">
        <v>11</v>
      </c>
      <c r="C37">
        <v>0</v>
      </c>
    </row>
    <row r="38" spans="1:3" x14ac:dyDescent="0.25">
      <c r="A38" t="s">
        <v>728</v>
      </c>
      <c r="B38">
        <v>11</v>
      </c>
      <c r="C38">
        <v>206</v>
      </c>
    </row>
    <row r="39" spans="1:3" x14ac:dyDescent="0.25">
      <c r="A39" t="s">
        <v>563</v>
      </c>
      <c r="B39">
        <v>11</v>
      </c>
      <c r="C39">
        <v>12</v>
      </c>
    </row>
    <row r="40" spans="1:3" x14ac:dyDescent="0.25">
      <c r="A40" t="s">
        <v>729</v>
      </c>
      <c r="B40">
        <v>11</v>
      </c>
      <c r="C40">
        <v>0</v>
      </c>
    </row>
    <row r="41" spans="1:3" x14ac:dyDescent="0.25">
      <c r="A41" t="s">
        <v>272</v>
      </c>
      <c r="B41">
        <v>11</v>
      </c>
      <c r="C41">
        <v>0</v>
      </c>
    </row>
    <row r="42" spans="1:3" x14ac:dyDescent="0.25">
      <c r="A42" t="s">
        <v>730</v>
      </c>
      <c r="B42">
        <v>11</v>
      </c>
      <c r="C42">
        <v>11</v>
      </c>
    </row>
    <row r="43" spans="1:3" x14ac:dyDescent="0.25">
      <c r="A43" t="s">
        <v>731</v>
      </c>
      <c r="B43">
        <v>11</v>
      </c>
      <c r="C43">
        <v>0</v>
      </c>
    </row>
    <row r="44" spans="1:3" x14ac:dyDescent="0.25">
      <c r="A44" t="s">
        <v>724</v>
      </c>
      <c r="B44">
        <v>13</v>
      </c>
      <c r="C44">
        <v>3</v>
      </c>
    </row>
    <row r="45" spans="1:3" x14ac:dyDescent="0.25">
      <c r="A45" t="s">
        <v>725</v>
      </c>
      <c r="B45">
        <v>13</v>
      </c>
      <c r="C45">
        <v>140</v>
      </c>
    </row>
    <row r="46" spans="1:3" x14ac:dyDescent="0.25">
      <c r="A46" t="s">
        <v>726</v>
      </c>
      <c r="B46">
        <v>13</v>
      </c>
      <c r="C46">
        <v>0</v>
      </c>
    </row>
    <row r="47" spans="1:3" x14ac:dyDescent="0.25">
      <c r="A47" t="s">
        <v>727</v>
      </c>
      <c r="B47">
        <v>13</v>
      </c>
      <c r="C47">
        <v>0</v>
      </c>
    </row>
    <row r="48" spans="1:3" x14ac:dyDescent="0.25">
      <c r="A48" t="s">
        <v>728</v>
      </c>
      <c r="B48">
        <v>13</v>
      </c>
      <c r="C48">
        <v>206</v>
      </c>
    </row>
    <row r="49" spans="1:3" x14ac:dyDescent="0.25">
      <c r="A49" t="s">
        <v>563</v>
      </c>
      <c r="B49">
        <v>13</v>
      </c>
      <c r="C49">
        <v>96</v>
      </c>
    </row>
    <row r="50" spans="1:3" x14ac:dyDescent="0.25">
      <c r="A50" t="s">
        <v>729</v>
      </c>
      <c r="B50">
        <v>13</v>
      </c>
      <c r="C50">
        <v>0</v>
      </c>
    </row>
    <row r="51" spans="1:3" x14ac:dyDescent="0.25">
      <c r="A51" t="s">
        <v>272</v>
      </c>
      <c r="B51">
        <v>13</v>
      </c>
      <c r="C51">
        <v>0</v>
      </c>
    </row>
    <row r="52" spans="1:3" x14ac:dyDescent="0.25">
      <c r="A52" t="s">
        <v>730</v>
      </c>
      <c r="B52">
        <v>13</v>
      </c>
      <c r="C52">
        <v>13</v>
      </c>
    </row>
    <row r="53" spans="1:3" x14ac:dyDescent="0.25">
      <c r="A53" t="s">
        <v>731</v>
      </c>
      <c r="B53">
        <v>13</v>
      </c>
      <c r="C53">
        <v>0</v>
      </c>
    </row>
    <row r="54" spans="1:3" x14ac:dyDescent="0.25">
      <c r="A54" t="s">
        <v>724</v>
      </c>
      <c r="B54">
        <v>17</v>
      </c>
      <c r="C54">
        <v>2</v>
      </c>
    </row>
    <row r="55" spans="1:3" x14ac:dyDescent="0.25">
      <c r="A55" t="s">
        <v>725</v>
      </c>
      <c r="B55">
        <v>17</v>
      </c>
      <c r="C55">
        <v>165</v>
      </c>
    </row>
    <row r="56" spans="1:3" x14ac:dyDescent="0.25">
      <c r="A56" t="s">
        <v>726</v>
      </c>
      <c r="B56">
        <v>17</v>
      </c>
      <c r="C56">
        <v>0</v>
      </c>
    </row>
    <row r="57" spans="1:3" x14ac:dyDescent="0.25">
      <c r="A57" t="s">
        <v>727</v>
      </c>
      <c r="B57">
        <v>17</v>
      </c>
      <c r="C57">
        <v>0</v>
      </c>
    </row>
    <row r="58" spans="1:3" x14ac:dyDescent="0.25">
      <c r="A58" t="s">
        <v>728</v>
      </c>
      <c r="B58">
        <v>17</v>
      </c>
      <c r="C58">
        <v>206</v>
      </c>
    </row>
    <row r="59" spans="1:3" x14ac:dyDescent="0.25">
      <c r="A59" t="s">
        <v>563</v>
      </c>
      <c r="B59">
        <v>17</v>
      </c>
      <c r="C59">
        <v>24.8</v>
      </c>
    </row>
    <row r="60" spans="1:3" x14ac:dyDescent="0.25">
      <c r="A60" t="s">
        <v>729</v>
      </c>
      <c r="B60">
        <v>17</v>
      </c>
      <c r="C60">
        <v>0</v>
      </c>
    </row>
    <row r="61" spans="1:3" x14ac:dyDescent="0.25">
      <c r="A61" t="s">
        <v>272</v>
      </c>
      <c r="B61">
        <v>17</v>
      </c>
      <c r="C61">
        <v>0</v>
      </c>
    </row>
    <row r="62" spans="1:3" x14ac:dyDescent="0.25">
      <c r="A62" t="s">
        <v>730</v>
      </c>
      <c r="B62">
        <v>17</v>
      </c>
      <c r="C62">
        <v>17</v>
      </c>
    </row>
    <row r="63" spans="1:3" x14ac:dyDescent="0.25">
      <c r="A63" t="s">
        <v>731</v>
      </c>
      <c r="B63">
        <v>17</v>
      </c>
      <c r="C63">
        <v>0</v>
      </c>
    </row>
    <row r="64" spans="1:3" x14ac:dyDescent="0.25">
      <c r="A64" t="s">
        <v>724</v>
      </c>
      <c r="B64">
        <v>21</v>
      </c>
      <c r="C64">
        <v>3</v>
      </c>
    </row>
    <row r="65" spans="1:3" x14ac:dyDescent="0.25">
      <c r="A65" t="s">
        <v>725</v>
      </c>
      <c r="B65">
        <v>21</v>
      </c>
      <c r="C65">
        <v>140</v>
      </c>
    </row>
    <row r="66" spans="1:3" x14ac:dyDescent="0.25">
      <c r="A66" t="s">
        <v>726</v>
      </c>
      <c r="B66">
        <v>21</v>
      </c>
      <c r="C66">
        <v>0</v>
      </c>
    </row>
    <row r="67" spans="1:3" x14ac:dyDescent="0.25">
      <c r="A67" t="s">
        <v>727</v>
      </c>
      <c r="B67">
        <v>21</v>
      </c>
      <c r="C67">
        <v>0</v>
      </c>
    </row>
    <row r="68" spans="1:3" x14ac:dyDescent="0.25">
      <c r="A68" t="s">
        <v>728</v>
      </c>
      <c r="B68">
        <v>21</v>
      </c>
      <c r="C68">
        <v>408</v>
      </c>
    </row>
    <row r="69" spans="1:3" x14ac:dyDescent="0.25">
      <c r="A69" t="s">
        <v>563</v>
      </c>
      <c r="B69">
        <v>21</v>
      </c>
      <c r="C69">
        <v>67</v>
      </c>
    </row>
    <row r="70" spans="1:3" x14ac:dyDescent="0.25">
      <c r="A70" t="s">
        <v>729</v>
      </c>
      <c r="B70">
        <v>21</v>
      </c>
      <c r="C70">
        <v>0</v>
      </c>
    </row>
    <row r="71" spans="1:3" x14ac:dyDescent="0.25">
      <c r="A71" t="s">
        <v>272</v>
      </c>
      <c r="B71">
        <v>21</v>
      </c>
      <c r="C71">
        <v>0</v>
      </c>
    </row>
    <row r="72" spans="1:3" x14ac:dyDescent="0.25">
      <c r="A72" t="s">
        <v>730</v>
      </c>
      <c r="B72">
        <v>21</v>
      </c>
      <c r="C72">
        <v>21</v>
      </c>
    </row>
    <row r="73" spans="1:3" x14ac:dyDescent="0.25">
      <c r="A73" t="s">
        <v>731</v>
      </c>
      <c r="B73">
        <v>21</v>
      </c>
      <c r="C73">
        <v>0</v>
      </c>
    </row>
    <row r="74" spans="1:3" x14ac:dyDescent="0.25">
      <c r="A74" t="s">
        <v>724</v>
      </c>
      <c r="B74">
        <v>25</v>
      </c>
      <c r="C74">
        <v>3</v>
      </c>
    </row>
    <row r="75" spans="1:3" x14ac:dyDescent="0.25">
      <c r="A75" t="s">
        <v>725</v>
      </c>
      <c r="B75">
        <v>25</v>
      </c>
      <c r="C75">
        <v>140</v>
      </c>
    </row>
    <row r="76" spans="1:3" x14ac:dyDescent="0.25">
      <c r="A76" t="s">
        <v>726</v>
      </c>
      <c r="B76">
        <v>25</v>
      </c>
      <c r="C76">
        <v>0</v>
      </c>
    </row>
    <row r="77" spans="1:3" x14ac:dyDescent="0.25">
      <c r="A77" t="s">
        <v>727</v>
      </c>
      <c r="B77">
        <v>25</v>
      </c>
      <c r="C77">
        <v>0</v>
      </c>
    </row>
    <row r="78" spans="1:3" x14ac:dyDescent="0.25">
      <c r="A78" t="s">
        <v>728</v>
      </c>
      <c r="B78">
        <v>25</v>
      </c>
      <c r="C78">
        <v>206</v>
      </c>
    </row>
    <row r="79" spans="1:3" x14ac:dyDescent="0.25">
      <c r="A79" t="s">
        <v>563</v>
      </c>
      <c r="B79">
        <v>25</v>
      </c>
      <c r="C79">
        <v>114</v>
      </c>
    </row>
    <row r="80" spans="1:3" x14ac:dyDescent="0.25">
      <c r="A80" t="s">
        <v>729</v>
      </c>
      <c r="B80">
        <v>25</v>
      </c>
      <c r="C80">
        <v>0</v>
      </c>
    </row>
    <row r="81" spans="1:3" x14ac:dyDescent="0.25">
      <c r="A81" t="s">
        <v>272</v>
      </c>
      <c r="B81">
        <v>25</v>
      </c>
      <c r="C81">
        <v>0</v>
      </c>
    </row>
    <row r="82" spans="1:3" x14ac:dyDescent="0.25">
      <c r="A82" t="s">
        <v>730</v>
      </c>
      <c r="B82">
        <v>25</v>
      </c>
      <c r="C82">
        <v>25</v>
      </c>
    </row>
    <row r="83" spans="1:3" x14ac:dyDescent="0.25">
      <c r="A83" t="s">
        <v>731</v>
      </c>
      <c r="B83">
        <v>25</v>
      </c>
      <c r="C83">
        <v>0</v>
      </c>
    </row>
    <row r="84" spans="1:3" x14ac:dyDescent="0.25">
      <c r="A84" t="s">
        <v>724</v>
      </c>
      <c r="B84">
        <v>26</v>
      </c>
      <c r="C84">
        <v>3</v>
      </c>
    </row>
    <row r="85" spans="1:3" x14ac:dyDescent="0.25">
      <c r="A85" t="s">
        <v>725</v>
      </c>
      <c r="B85">
        <v>26</v>
      </c>
      <c r="C85">
        <v>140</v>
      </c>
    </row>
    <row r="86" spans="1:3" x14ac:dyDescent="0.25">
      <c r="A86" t="s">
        <v>726</v>
      </c>
      <c r="B86">
        <v>26</v>
      </c>
      <c r="C86">
        <v>0</v>
      </c>
    </row>
    <row r="87" spans="1:3" x14ac:dyDescent="0.25">
      <c r="A87" t="s">
        <v>727</v>
      </c>
      <c r="B87">
        <v>26</v>
      </c>
      <c r="C87">
        <v>0</v>
      </c>
    </row>
    <row r="88" spans="1:3" x14ac:dyDescent="0.25">
      <c r="A88" t="s">
        <v>728</v>
      </c>
      <c r="B88">
        <v>26</v>
      </c>
      <c r="C88">
        <v>206</v>
      </c>
    </row>
    <row r="89" spans="1:3" x14ac:dyDescent="0.25">
      <c r="A89" t="s">
        <v>563</v>
      </c>
      <c r="B89">
        <v>26</v>
      </c>
      <c r="C89">
        <v>25</v>
      </c>
    </row>
    <row r="90" spans="1:3" x14ac:dyDescent="0.25">
      <c r="A90" t="s">
        <v>729</v>
      </c>
      <c r="B90">
        <v>26</v>
      </c>
      <c r="C90">
        <v>0</v>
      </c>
    </row>
    <row r="91" spans="1:3" x14ac:dyDescent="0.25">
      <c r="A91" t="s">
        <v>272</v>
      </c>
      <c r="B91">
        <v>26</v>
      </c>
      <c r="C91">
        <v>0</v>
      </c>
    </row>
    <row r="92" spans="1:3" x14ac:dyDescent="0.25">
      <c r="A92" t="s">
        <v>730</v>
      </c>
      <c r="B92">
        <v>26</v>
      </c>
      <c r="C92">
        <v>26</v>
      </c>
    </row>
    <row r="93" spans="1:3" x14ac:dyDescent="0.25">
      <c r="A93" t="s">
        <v>731</v>
      </c>
      <c r="B93">
        <v>26</v>
      </c>
      <c r="C93">
        <v>0</v>
      </c>
    </row>
    <row r="94" spans="1:3" x14ac:dyDescent="0.25">
      <c r="A94" t="s">
        <v>724</v>
      </c>
      <c r="B94">
        <v>27</v>
      </c>
      <c r="C94">
        <v>3</v>
      </c>
    </row>
    <row r="95" spans="1:3" x14ac:dyDescent="0.25">
      <c r="A95" t="s">
        <v>725</v>
      </c>
      <c r="B95">
        <v>27</v>
      </c>
      <c r="C95">
        <v>140</v>
      </c>
    </row>
    <row r="96" spans="1:3" x14ac:dyDescent="0.25">
      <c r="A96" t="s">
        <v>726</v>
      </c>
      <c r="B96">
        <v>27</v>
      </c>
      <c r="C96">
        <v>0</v>
      </c>
    </row>
    <row r="97" spans="1:3" x14ac:dyDescent="0.25">
      <c r="A97" t="s">
        <v>727</v>
      </c>
      <c r="B97">
        <v>27</v>
      </c>
      <c r="C97">
        <v>0</v>
      </c>
    </row>
    <row r="98" spans="1:3" x14ac:dyDescent="0.25">
      <c r="A98" t="s">
        <v>728</v>
      </c>
      <c r="B98">
        <v>27</v>
      </c>
      <c r="C98">
        <v>206</v>
      </c>
    </row>
    <row r="99" spans="1:3" x14ac:dyDescent="0.25">
      <c r="A99" t="s">
        <v>563</v>
      </c>
      <c r="B99">
        <v>27</v>
      </c>
      <c r="C99">
        <v>134</v>
      </c>
    </row>
    <row r="100" spans="1:3" x14ac:dyDescent="0.25">
      <c r="A100" t="s">
        <v>729</v>
      </c>
      <c r="B100">
        <v>27</v>
      </c>
      <c r="C100">
        <v>0</v>
      </c>
    </row>
    <row r="101" spans="1:3" x14ac:dyDescent="0.25">
      <c r="A101" t="s">
        <v>272</v>
      </c>
      <c r="B101">
        <v>27</v>
      </c>
      <c r="C101">
        <v>0</v>
      </c>
    </row>
    <row r="102" spans="1:3" x14ac:dyDescent="0.25">
      <c r="A102" t="s">
        <v>730</v>
      </c>
      <c r="B102">
        <v>27</v>
      </c>
      <c r="C102">
        <v>27</v>
      </c>
    </row>
    <row r="103" spans="1:3" x14ac:dyDescent="0.25">
      <c r="A103" t="s">
        <v>731</v>
      </c>
      <c r="B103">
        <v>27</v>
      </c>
      <c r="C103">
        <v>0</v>
      </c>
    </row>
    <row r="104" spans="1:3" x14ac:dyDescent="0.25">
      <c r="A104" t="s">
        <v>724</v>
      </c>
      <c r="B104">
        <v>28</v>
      </c>
      <c r="C104">
        <v>3</v>
      </c>
    </row>
    <row r="105" spans="1:3" x14ac:dyDescent="0.25">
      <c r="A105" t="s">
        <v>725</v>
      </c>
      <c r="B105">
        <v>28</v>
      </c>
      <c r="C105">
        <v>140</v>
      </c>
    </row>
    <row r="106" spans="1:3" x14ac:dyDescent="0.25">
      <c r="A106" t="s">
        <v>726</v>
      </c>
      <c r="B106">
        <v>28</v>
      </c>
      <c r="C106">
        <v>0</v>
      </c>
    </row>
    <row r="107" spans="1:3" x14ac:dyDescent="0.25">
      <c r="A107" t="s">
        <v>727</v>
      </c>
      <c r="B107">
        <v>28</v>
      </c>
      <c r="C107">
        <v>0</v>
      </c>
    </row>
    <row r="108" spans="1:3" x14ac:dyDescent="0.25">
      <c r="A108" t="s">
        <v>728</v>
      </c>
      <c r="B108">
        <v>28</v>
      </c>
      <c r="C108">
        <v>206</v>
      </c>
    </row>
    <row r="109" spans="1:3" x14ac:dyDescent="0.25">
      <c r="A109" t="s">
        <v>563</v>
      </c>
      <c r="B109">
        <v>28</v>
      </c>
      <c r="C109">
        <v>59</v>
      </c>
    </row>
    <row r="110" spans="1:3" x14ac:dyDescent="0.25">
      <c r="A110" t="s">
        <v>729</v>
      </c>
      <c r="B110">
        <v>28</v>
      </c>
      <c r="C110">
        <v>0</v>
      </c>
    </row>
    <row r="111" spans="1:3" x14ac:dyDescent="0.25">
      <c r="A111" t="s">
        <v>272</v>
      </c>
      <c r="B111">
        <v>28</v>
      </c>
      <c r="C111">
        <v>0</v>
      </c>
    </row>
    <row r="112" spans="1:3" x14ac:dyDescent="0.25">
      <c r="A112" t="s">
        <v>730</v>
      </c>
      <c r="B112">
        <v>28</v>
      </c>
      <c r="C112">
        <v>28</v>
      </c>
    </row>
    <row r="113" spans="1:3" x14ac:dyDescent="0.25">
      <c r="A113" t="s">
        <v>731</v>
      </c>
      <c r="B113">
        <v>28</v>
      </c>
      <c r="C113">
        <v>0</v>
      </c>
    </row>
    <row r="114" spans="1:3" x14ac:dyDescent="0.25">
      <c r="A114" t="s">
        <v>724</v>
      </c>
      <c r="B114">
        <v>31</v>
      </c>
      <c r="C114">
        <v>3</v>
      </c>
    </row>
    <row r="115" spans="1:3" x14ac:dyDescent="0.25">
      <c r="A115" t="s">
        <v>725</v>
      </c>
      <c r="B115">
        <v>31</v>
      </c>
      <c r="C115">
        <v>140</v>
      </c>
    </row>
    <row r="116" spans="1:3" x14ac:dyDescent="0.25">
      <c r="A116" t="s">
        <v>726</v>
      </c>
      <c r="B116">
        <v>31</v>
      </c>
      <c r="C116">
        <v>0</v>
      </c>
    </row>
    <row r="117" spans="1:3" x14ac:dyDescent="0.25">
      <c r="A117" t="s">
        <v>727</v>
      </c>
      <c r="B117">
        <v>31</v>
      </c>
      <c r="C117">
        <v>0</v>
      </c>
    </row>
    <row r="118" spans="1:3" x14ac:dyDescent="0.25">
      <c r="A118" t="s">
        <v>728</v>
      </c>
      <c r="B118">
        <v>31</v>
      </c>
      <c r="C118">
        <v>206</v>
      </c>
    </row>
    <row r="119" spans="1:3" x14ac:dyDescent="0.25">
      <c r="A119" t="s">
        <v>563</v>
      </c>
      <c r="B119">
        <v>31</v>
      </c>
      <c r="C119">
        <v>112</v>
      </c>
    </row>
    <row r="120" spans="1:3" x14ac:dyDescent="0.25">
      <c r="A120" t="s">
        <v>729</v>
      </c>
      <c r="B120">
        <v>31</v>
      </c>
      <c r="C120">
        <v>0</v>
      </c>
    </row>
    <row r="121" spans="1:3" x14ac:dyDescent="0.25">
      <c r="A121" t="s">
        <v>272</v>
      </c>
      <c r="B121">
        <v>31</v>
      </c>
      <c r="C121">
        <v>0</v>
      </c>
    </row>
    <row r="122" spans="1:3" x14ac:dyDescent="0.25">
      <c r="A122" t="s">
        <v>730</v>
      </c>
      <c r="B122">
        <v>31</v>
      </c>
      <c r="C122">
        <v>31</v>
      </c>
    </row>
    <row r="123" spans="1:3" x14ac:dyDescent="0.25">
      <c r="A123" t="s">
        <v>731</v>
      </c>
      <c r="B123">
        <v>31</v>
      </c>
      <c r="C123">
        <v>0</v>
      </c>
    </row>
    <row r="124" spans="1:3" x14ac:dyDescent="0.25">
      <c r="A124" t="s">
        <v>724</v>
      </c>
      <c r="B124">
        <v>33</v>
      </c>
      <c r="C124">
        <v>3</v>
      </c>
    </row>
    <row r="125" spans="1:3" x14ac:dyDescent="0.25">
      <c r="A125" t="s">
        <v>725</v>
      </c>
      <c r="B125">
        <v>33</v>
      </c>
      <c r="C125">
        <v>140</v>
      </c>
    </row>
    <row r="126" spans="1:3" x14ac:dyDescent="0.25">
      <c r="A126" t="s">
        <v>726</v>
      </c>
      <c r="B126">
        <v>33</v>
      </c>
      <c r="C126">
        <v>0</v>
      </c>
    </row>
    <row r="127" spans="1:3" x14ac:dyDescent="0.25">
      <c r="A127" t="s">
        <v>727</v>
      </c>
      <c r="B127">
        <v>33</v>
      </c>
      <c r="C127">
        <v>0</v>
      </c>
    </row>
    <row r="128" spans="1:3" x14ac:dyDescent="0.25">
      <c r="A128" t="s">
        <v>728</v>
      </c>
      <c r="B128">
        <v>33</v>
      </c>
      <c r="C128">
        <v>206</v>
      </c>
    </row>
    <row r="129" spans="1:3" x14ac:dyDescent="0.25">
      <c r="A129" t="s">
        <v>563</v>
      </c>
      <c r="B129">
        <v>33</v>
      </c>
      <c r="C129">
        <v>60</v>
      </c>
    </row>
    <row r="130" spans="1:3" x14ac:dyDescent="0.25">
      <c r="A130" t="s">
        <v>729</v>
      </c>
      <c r="B130">
        <v>33</v>
      </c>
      <c r="C130">
        <v>0</v>
      </c>
    </row>
    <row r="131" spans="1:3" x14ac:dyDescent="0.25">
      <c r="A131" t="s">
        <v>272</v>
      </c>
      <c r="B131">
        <v>33</v>
      </c>
      <c r="C131">
        <v>0</v>
      </c>
    </row>
    <row r="132" spans="1:3" x14ac:dyDescent="0.25">
      <c r="A132" t="s">
        <v>730</v>
      </c>
      <c r="B132">
        <v>33</v>
      </c>
      <c r="C132">
        <v>33</v>
      </c>
    </row>
    <row r="133" spans="1:3" x14ac:dyDescent="0.25">
      <c r="A133" t="s">
        <v>731</v>
      </c>
      <c r="B133">
        <v>33</v>
      </c>
      <c r="C133">
        <v>0</v>
      </c>
    </row>
    <row r="134" spans="1:3" x14ac:dyDescent="0.25">
      <c r="A134" t="s">
        <v>724</v>
      </c>
      <c r="B134">
        <v>34</v>
      </c>
      <c r="C134">
        <v>3</v>
      </c>
    </row>
    <row r="135" spans="1:3" x14ac:dyDescent="0.25">
      <c r="A135" t="s">
        <v>725</v>
      </c>
      <c r="B135">
        <v>34</v>
      </c>
      <c r="C135">
        <v>140</v>
      </c>
    </row>
    <row r="136" spans="1:3" x14ac:dyDescent="0.25">
      <c r="A136" t="s">
        <v>726</v>
      </c>
      <c r="B136">
        <v>34</v>
      </c>
      <c r="C136">
        <v>0</v>
      </c>
    </row>
    <row r="137" spans="1:3" x14ac:dyDescent="0.25">
      <c r="A137" t="s">
        <v>727</v>
      </c>
      <c r="B137">
        <v>34</v>
      </c>
      <c r="C137">
        <v>0</v>
      </c>
    </row>
    <row r="138" spans="1:3" x14ac:dyDescent="0.25">
      <c r="A138" t="s">
        <v>728</v>
      </c>
      <c r="B138">
        <v>34</v>
      </c>
      <c r="C138">
        <v>206</v>
      </c>
    </row>
    <row r="139" spans="1:3" x14ac:dyDescent="0.25">
      <c r="A139" t="s">
        <v>563</v>
      </c>
      <c r="B139">
        <v>34</v>
      </c>
      <c r="C139">
        <v>45</v>
      </c>
    </row>
    <row r="140" spans="1:3" x14ac:dyDescent="0.25">
      <c r="A140" t="s">
        <v>729</v>
      </c>
      <c r="B140">
        <v>34</v>
      </c>
      <c r="C140">
        <v>0</v>
      </c>
    </row>
    <row r="141" spans="1:3" x14ac:dyDescent="0.25">
      <c r="A141" t="s">
        <v>272</v>
      </c>
      <c r="B141">
        <v>34</v>
      </c>
      <c r="C141">
        <v>0</v>
      </c>
    </row>
    <row r="142" spans="1:3" x14ac:dyDescent="0.25">
      <c r="A142" t="s">
        <v>730</v>
      </c>
      <c r="B142">
        <v>34</v>
      </c>
      <c r="C142">
        <v>34</v>
      </c>
    </row>
    <row r="143" spans="1:3" x14ac:dyDescent="0.25">
      <c r="A143" t="s">
        <v>731</v>
      </c>
      <c r="B143">
        <v>34</v>
      </c>
      <c r="C143">
        <v>0</v>
      </c>
    </row>
    <row r="144" spans="1:3" x14ac:dyDescent="0.25">
      <c r="A144" t="s">
        <v>724</v>
      </c>
      <c r="B144">
        <v>36</v>
      </c>
      <c r="C144">
        <v>3</v>
      </c>
    </row>
    <row r="145" spans="1:3" x14ac:dyDescent="0.25">
      <c r="A145" t="s">
        <v>725</v>
      </c>
      <c r="B145">
        <v>36</v>
      </c>
      <c r="C145">
        <v>140</v>
      </c>
    </row>
    <row r="146" spans="1:3" x14ac:dyDescent="0.25">
      <c r="A146" t="s">
        <v>726</v>
      </c>
      <c r="B146">
        <v>36</v>
      </c>
      <c r="C146">
        <v>0</v>
      </c>
    </row>
    <row r="147" spans="1:3" x14ac:dyDescent="0.25">
      <c r="A147" t="s">
        <v>727</v>
      </c>
      <c r="B147">
        <v>36</v>
      </c>
      <c r="C147">
        <v>0</v>
      </c>
    </row>
    <row r="148" spans="1:3" x14ac:dyDescent="0.25">
      <c r="A148" t="s">
        <v>728</v>
      </c>
      <c r="B148">
        <v>36</v>
      </c>
      <c r="C148">
        <v>206</v>
      </c>
    </row>
    <row r="149" spans="1:3" x14ac:dyDescent="0.25">
      <c r="A149" t="s">
        <v>563</v>
      </c>
      <c r="B149">
        <v>36</v>
      </c>
      <c r="C149">
        <v>108</v>
      </c>
    </row>
    <row r="150" spans="1:3" x14ac:dyDescent="0.25">
      <c r="A150" t="s">
        <v>729</v>
      </c>
      <c r="B150">
        <v>36</v>
      </c>
      <c r="C150">
        <v>0</v>
      </c>
    </row>
    <row r="151" spans="1:3" x14ac:dyDescent="0.25">
      <c r="A151" t="s">
        <v>272</v>
      </c>
      <c r="B151">
        <v>36</v>
      </c>
      <c r="C151">
        <v>0</v>
      </c>
    </row>
    <row r="152" spans="1:3" x14ac:dyDescent="0.25">
      <c r="A152" t="s">
        <v>730</v>
      </c>
      <c r="B152">
        <v>36</v>
      </c>
      <c r="C152">
        <v>36</v>
      </c>
    </row>
    <row r="153" spans="1:3" x14ac:dyDescent="0.25">
      <c r="A153" t="s">
        <v>731</v>
      </c>
      <c r="B153">
        <v>36</v>
      </c>
      <c r="C153">
        <v>0</v>
      </c>
    </row>
    <row r="154" spans="1:3" x14ac:dyDescent="0.25">
      <c r="A154" t="s">
        <v>724</v>
      </c>
      <c r="B154">
        <v>39</v>
      </c>
      <c r="C154">
        <v>3</v>
      </c>
    </row>
    <row r="155" spans="1:3" x14ac:dyDescent="0.25">
      <c r="A155" t="s">
        <v>725</v>
      </c>
      <c r="B155">
        <v>39</v>
      </c>
      <c r="C155">
        <v>140</v>
      </c>
    </row>
    <row r="156" spans="1:3" x14ac:dyDescent="0.25">
      <c r="A156" t="s">
        <v>726</v>
      </c>
      <c r="B156">
        <v>39</v>
      </c>
      <c r="C156">
        <v>0</v>
      </c>
    </row>
    <row r="157" spans="1:3" x14ac:dyDescent="0.25">
      <c r="A157" t="s">
        <v>727</v>
      </c>
      <c r="B157">
        <v>39</v>
      </c>
      <c r="C157">
        <v>0</v>
      </c>
    </row>
    <row r="158" spans="1:3" x14ac:dyDescent="0.25">
      <c r="A158" t="s">
        <v>728</v>
      </c>
      <c r="B158">
        <v>39</v>
      </c>
      <c r="C158">
        <v>2</v>
      </c>
    </row>
    <row r="159" spans="1:3" x14ac:dyDescent="0.25">
      <c r="A159" t="s">
        <v>563</v>
      </c>
      <c r="B159">
        <v>39</v>
      </c>
      <c r="C159">
        <v>1</v>
      </c>
    </row>
    <row r="160" spans="1:3" x14ac:dyDescent="0.25">
      <c r="A160" t="s">
        <v>729</v>
      </c>
      <c r="B160">
        <v>39</v>
      </c>
      <c r="C160">
        <v>0</v>
      </c>
    </row>
    <row r="161" spans="1:3" x14ac:dyDescent="0.25">
      <c r="A161" t="s">
        <v>272</v>
      </c>
      <c r="B161">
        <v>39</v>
      </c>
      <c r="C161">
        <v>0</v>
      </c>
    </row>
    <row r="162" spans="1:3" x14ac:dyDescent="0.25">
      <c r="A162" t="s">
        <v>730</v>
      </c>
      <c r="B162">
        <v>39</v>
      </c>
      <c r="C162">
        <v>39</v>
      </c>
    </row>
    <row r="163" spans="1:3" x14ac:dyDescent="0.25">
      <c r="A163" t="s">
        <v>731</v>
      </c>
      <c r="B163">
        <v>39</v>
      </c>
      <c r="C163">
        <v>43</v>
      </c>
    </row>
    <row r="164" spans="1:3" x14ac:dyDescent="0.25">
      <c r="A164" t="s">
        <v>774</v>
      </c>
      <c r="B164">
        <v>39</v>
      </c>
      <c r="C164">
        <v>0</v>
      </c>
    </row>
    <row r="165" spans="1:3" x14ac:dyDescent="0.25">
      <c r="A165" t="s">
        <v>724</v>
      </c>
      <c r="B165">
        <v>44</v>
      </c>
      <c r="C165">
        <v>2</v>
      </c>
    </row>
    <row r="166" spans="1:3" x14ac:dyDescent="0.25">
      <c r="A166" t="s">
        <v>725</v>
      </c>
      <c r="B166">
        <v>44</v>
      </c>
      <c r="C166">
        <v>170</v>
      </c>
    </row>
    <row r="167" spans="1:3" x14ac:dyDescent="0.25">
      <c r="A167" t="s">
        <v>726</v>
      </c>
      <c r="B167">
        <v>44</v>
      </c>
      <c r="C167">
        <v>0</v>
      </c>
    </row>
    <row r="168" spans="1:3" x14ac:dyDescent="0.25">
      <c r="A168" t="s">
        <v>727</v>
      </c>
      <c r="B168">
        <v>44</v>
      </c>
      <c r="C168">
        <v>0</v>
      </c>
    </row>
    <row r="169" spans="1:3" x14ac:dyDescent="0.25">
      <c r="A169" t="s">
        <v>728</v>
      </c>
      <c r="B169">
        <v>44</v>
      </c>
      <c r="C169">
        <v>206</v>
      </c>
    </row>
    <row r="170" spans="1:3" x14ac:dyDescent="0.25">
      <c r="A170" t="s">
        <v>563</v>
      </c>
      <c r="B170">
        <v>44</v>
      </c>
      <c r="C170">
        <v>19.7</v>
      </c>
    </row>
    <row r="171" spans="1:3" x14ac:dyDescent="0.25">
      <c r="A171" t="s">
        <v>729</v>
      </c>
      <c r="B171">
        <v>44</v>
      </c>
      <c r="C171">
        <v>0</v>
      </c>
    </row>
    <row r="172" spans="1:3" x14ac:dyDescent="0.25">
      <c r="A172" t="s">
        <v>272</v>
      </c>
      <c r="B172">
        <v>44</v>
      </c>
      <c r="C172">
        <v>0</v>
      </c>
    </row>
    <row r="173" spans="1:3" x14ac:dyDescent="0.25">
      <c r="A173" t="s">
        <v>730</v>
      </c>
      <c r="B173">
        <v>44</v>
      </c>
      <c r="C173">
        <v>44</v>
      </c>
    </row>
    <row r="174" spans="1:3" x14ac:dyDescent="0.25">
      <c r="A174" t="s">
        <v>731</v>
      </c>
      <c r="B174">
        <v>44</v>
      </c>
      <c r="C174">
        <v>0</v>
      </c>
    </row>
    <row r="175" spans="1:3" x14ac:dyDescent="0.25">
      <c r="A175" t="s">
        <v>724</v>
      </c>
      <c r="B175">
        <v>46</v>
      </c>
      <c r="C175">
        <v>3</v>
      </c>
    </row>
    <row r="176" spans="1:3" x14ac:dyDescent="0.25">
      <c r="A176" t="s">
        <v>725</v>
      </c>
      <c r="B176">
        <v>46</v>
      </c>
      <c r="C176">
        <v>140</v>
      </c>
    </row>
    <row r="177" spans="1:3" x14ac:dyDescent="0.25">
      <c r="A177" t="s">
        <v>726</v>
      </c>
      <c r="B177">
        <v>46</v>
      </c>
      <c r="C177">
        <v>0</v>
      </c>
    </row>
    <row r="178" spans="1:3" x14ac:dyDescent="0.25">
      <c r="A178" t="s">
        <v>727</v>
      </c>
      <c r="B178">
        <v>46</v>
      </c>
      <c r="C178">
        <v>0</v>
      </c>
    </row>
    <row r="179" spans="1:3" x14ac:dyDescent="0.25">
      <c r="A179" t="s">
        <v>728</v>
      </c>
      <c r="B179">
        <v>46</v>
      </c>
      <c r="C179">
        <v>206</v>
      </c>
    </row>
    <row r="180" spans="1:3" x14ac:dyDescent="0.25">
      <c r="A180" t="s">
        <v>563</v>
      </c>
      <c r="B180">
        <v>46</v>
      </c>
      <c r="C180">
        <v>44</v>
      </c>
    </row>
    <row r="181" spans="1:3" x14ac:dyDescent="0.25">
      <c r="A181" t="s">
        <v>729</v>
      </c>
      <c r="B181">
        <v>46</v>
      </c>
      <c r="C181">
        <v>0</v>
      </c>
    </row>
    <row r="182" spans="1:3" x14ac:dyDescent="0.25">
      <c r="A182" t="s">
        <v>272</v>
      </c>
      <c r="B182">
        <v>46</v>
      </c>
      <c r="C182">
        <v>0</v>
      </c>
    </row>
    <row r="183" spans="1:3" x14ac:dyDescent="0.25">
      <c r="A183" t="s">
        <v>730</v>
      </c>
      <c r="B183">
        <v>46</v>
      </c>
      <c r="C183">
        <v>46</v>
      </c>
    </row>
    <row r="184" spans="1:3" x14ac:dyDescent="0.25">
      <c r="A184" t="s">
        <v>731</v>
      </c>
      <c r="B184">
        <v>46</v>
      </c>
      <c r="C184">
        <v>0</v>
      </c>
    </row>
    <row r="185" spans="1:3" x14ac:dyDescent="0.25">
      <c r="A185" t="s">
        <v>724</v>
      </c>
      <c r="B185">
        <v>49</v>
      </c>
      <c r="C185">
        <v>3</v>
      </c>
    </row>
    <row r="186" spans="1:3" x14ac:dyDescent="0.25">
      <c r="A186" t="s">
        <v>725</v>
      </c>
      <c r="B186">
        <v>49</v>
      </c>
      <c r="C186">
        <v>140</v>
      </c>
    </row>
    <row r="187" spans="1:3" x14ac:dyDescent="0.25">
      <c r="A187" t="s">
        <v>726</v>
      </c>
      <c r="B187">
        <v>49</v>
      </c>
      <c r="C187">
        <v>0</v>
      </c>
    </row>
    <row r="188" spans="1:3" x14ac:dyDescent="0.25">
      <c r="A188" t="s">
        <v>727</v>
      </c>
      <c r="B188">
        <v>49</v>
      </c>
      <c r="C188">
        <v>0</v>
      </c>
    </row>
    <row r="189" spans="1:3" x14ac:dyDescent="0.25">
      <c r="A189" t="s">
        <v>728</v>
      </c>
      <c r="B189">
        <v>49</v>
      </c>
      <c r="C189">
        <v>206</v>
      </c>
    </row>
    <row r="190" spans="1:3" x14ac:dyDescent="0.25">
      <c r="A190" t="s">
        <v>563</v>
      </c>
      <c r="B190">
        <v>49</v>
      </c>
      <c r="C190">
        <v>52</v>
      </c>
    </row>
    <row r="191" spans="1:3" x14ac:dyDescent="0.25">
      <c r="A191" t="s">
        <v>729</v>
      </c>
      <c r="B191">
        <v>49</v>
      </c>
      <c r="C191">
        <v>0</v>
      </c>
    </row>
    <row r="192" spans="1:3" x14ac:dyDescent="0.25">
      <c r="A192" t="s">
        <v>272</v>
      </c>
      <c r="B192">
        <v>49</v>
      </c>
      <c r="C192">
        <v>0</v>
      </c>
    </row>
    <row r="193" spans="1:3" x14ac:dyDescent="0.25">
      <c r="A193" t="s">
        <v>730</v>
      </c>
      <c r="B193">
        <v>49</v>
      </c>
      <c r="C193">
        <v>49</v>
      </c>
    </row>
    <row r="194" spans="1:3" x14ac:dyDescent="0.25">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457"/>
  <sheetViews>
    <sheetView workbookViewId="0"/>
  </sheetViews>
  <sheetFormatPr defaultRowHeight="15" x14ac:dyDescent="0.25"/>
  <sheetData>
    <row r="1" spans="1:10" x14ac:dyDescent="0.25">
      <c r="A1" t="s">
        <v>566</v>
      </c>
    </row>
    <row r="2" spans="1:10" x14ac:dyDescent="0.25">
      <c r="A2" t="s">
        <v>732</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0" x14ac:dyDescent="0.25">
      <c r="A49" t="s">
        <v>275</v>
      </c>
      <c r="B49">
        <v>7</v>
      </c>
      <c r="C49">
        <v>133.19999999999999</v>
      </c>
      <c r="D49">
        <v>43.2</v>
      </c>
      <c r="E49">
        <v>60.7</v>
      </c>
      <c r="F49">
        <v>107.2</v>
      </c>
      <c r="G49">
        <v>120.1</v>
      </c>
      <c r="H49">
        <v>43.1</v>
      </c>
      <c r="I49">
        <v>57.5</v>
      </c>
      <c r="J49">
        <v>106.8</v>
      </c>
    </row>
    <row r="50" spans="1:10" x14ac:dyDescent="0.25">
      <c r="A50" t="s">
        <v>276</v>
      </c>
      <c r="B50">
        <v>7</v>
      </c>
      <c r="C50">
        <v>133.19999999999999</v>
      </c>
      <c r="D50">
        <v>43.2</v>
      </c>
      <c r="E50">
        <v>60.7</v>
      </c>
      <c r="F50">
        <v>107.2</v>
      </c>
      <c r="G50">
        <v>120.1</v>
      </c>
      <c r="H50">
        <v>11.1</v>
      </c>
      <c r="I50">
        <v>57.5</v>
      </c>
      <c r="J50">
        <v>106.8</v>
      </c>
    </row>
    <row r="51" spans="1:10" x14ac:dyDescent="0.25">
      <c r="A51" t="s">
        <v>567</v>
      </c>
      <c r="B51">
        <v>7</v>
      </c>
      <c r="C51">
        <v>20</v>
      </c>
      <c r="D51">
        <v>72.900000000000006</v>
      </c>
      <c r="E51">
        <v>7.8</v>
      </c>
      <c r="F51">
        <v>11.2</v>
      </c>
      <c r="G51">
        <v>7.1</v>
      </c>
      <c r="H51">
        <v>85.4</v>
      </c>
      <c r="I51">
        <v>5.8</v>
      </c>
      <c r="J51">
        <v>12.8</v>
      </c>
    </row>
    <row r="52" spans="1:10" x14ac:dyDescent="0.25">
      <c r="A52" t="s">
        <v>254</v>
      </c>
      <c r="B52">
        <v>9</v>
      </c>
      <c r="C52">
        <v>111</v>
      </c>
      <c r="D52">
        <v>112</v>
      </c>
      <c r="E52">
        <v>211</v>
      </c>
      <c r="F52">
        <v>212</v>
      </c>
      <c r="G52">
        <v>121</v>
      </c>
      <c r="H52">
        <v>122</v>
      </c>
      <c r="I52">
        <v>221</v>
      </c>
      <c r="J52">
        <v>222</v>
      </c>
    </row>
    <row r="53" spans="1:10" x14ac:dyDescent="0.25">
      <c r="A53" t="s">
        <v>255</v>
      </c>
      <c r="B53">
        <v>9</v>
      </c>
      <c r="C53">
        <v>6</v>
      </c>
      <c r="D53">
        <v>10</v>
      </c>
      <c r="E53">
        <v>6</v>
      </c>
      <c r="F53">
        <v>5</v>
      </c>
      <c r="G53">
        <v>6</v>
      </c>
      <c r="H53">
        <v>10</v>
      </c>
      <c r="I53">
        <v>6</v>
      </c>
      <c r="J53">
        <v>5</v>
      </c>
    </row>
    <row r="54" spans="1:10" x14ac:dyDescent="0.25">
      <c r="A54" t="s">
        <v>256</v>
      </c>
      <c r="B54">
        <v>9</v>
      </c>
      <c r="C54">
        <v>14.5</v>
      </c>
      <c r="D54">
        <v>49.2</v>
      </c>
      <c r="E54">
        <v>6.3</v>
      </c>
      <c r="F54">
        <v>43.2</v>
      </c>
      <c r="G54">
        <v>6.3</v>
      </c>
      <c r="H54">
        <v>57</v>
      </c>
      <c r="I54">
        <v>12.1</v>
      </c>
      <c r="J54">
        <v>37.200000000000003</v>
      </c>
    </row>
    <row r="55" spans="1:10" x14ac:dyDescent="0.25">
      <c r="A55" t="s">
        <v>257</v>
      </c>
      <c r="B55">
        <v>9</v>
      </c>
      <c r="C55">
        <v>2.5</v>
      </c>
      <c r="D55">
        <v>2.5</v>
      </c>
      <c r="E55">
        <v>2.5</v>
      </c>
      <c r="F55">
        <v>3</v>
      </c>
      <c r="G55">
        <v>2.5</v>
      </c>
      <c r="H55">
        <v>2.5</v>
      </c>
      <c r="I55">
        <v>3</v>
      </c>
      <c r="J55">
        <v>3</v>
      </c>
    </row>
    <row r="56" spans="1:10" x14ac:dyDescent="0.25">
      <c r="A56" t="s">
        <v>258</v>
      </c>
      <c r="B56">
        <v>9</v>
      </c>
      <c r="C56">
        <v>0</v>
      </c>
      <c r="D56">
        <v>0</v>
      </c>
      <c r="E56">
        <v>0</v>
      </c>
      <c r="F56">
        <v>0</v>
      </c>
      <c r="G56">
        <v>0</v>
      </c>
      <c r="H56">
        <v>0</v>
      </c>
      <c r="I56">
        <v>0</v>
      </c>
      <c r="J56">
        <v>0</v>
      </c>
    </row>
    <row r="57" spans="1:10" x14ac:dyDescent="0.25">
      <c r="A57" t="s">
        <v>259</v>
      </c>
      <c r="B57">
        <v>9</v>
      </c>
      <c r="C57">
        <v>0</v>
      </c>
      <c r="D57">
        <v>0</v>
      </c>
      <c r="E57">
        <v>0</v>
      </c>
      <c r="F57">
        <v>0</v>
      </c>
      <c r="G57">
        <v>0</v>
      </c>
      <c r="H57">
        <v>0</v>
      </c>
      <c r="I57">
        <v>0</v>
      </c>
      <c r="J57">
        <v>0</v>
      </c>
    </row>
    <row r="58" spans="1:10" x14ac:dyDescent="0.25">
      <c r="A58" t="s">
        <v>260</v>
      </c>
      <c r="B58">
        <v>9</v>
      </c>
      <c r="C58">
        <v>3</v>
      </c>
      <c r="D58">
        <v>3</v>
      </c>
      <c r="E58">
        <v>3</v>
      </c>
      <c r="F58">
        <v>3</v>
      </c>
      <c r="G58">
        <v>3</v>
      </c>
      <c r="H58">
        <v>3</v>
      </c>
      <c r="I58">
        <v>3</v>
      </c>
      <c r="J58">
        <v>3</v>
      </c>
    </row>
    <row r="59" spans="1:10" x14ac:dyDescent="0.25">
      <c r="A59" t="s">
        <v>261</v>
      </c>
      <c r="B59">
        <v>9</v>
      </c>
      <c r="C59">
        <v>3</v>
      </c>
      <c r="D59">
        <v>4.4000000000000004</v>
      </c>
      <c r="E59">
        <v>3</v>
      </c>
      <c r="F59">
        <v>3.3</v>
      </c>
      <c r="G59">
        <v>3</v>
      </c>
      <c r="H59">
        <v>4.4000000000000004</v>
      </c>
      <c r="I59">
        <v>3</v>
      </c>
      <c r="J59">
        <v>3.6</v>
      </c>
    </row>
    <row r="60" spans="1:10" x14ac:dyDescent="0.25">
      <c r="A60" t="s">
        <v>262</v>
      </c>
      <c r="B60">
        <v>9</v>
      </c>
      <c r="C60">
        <v>3.7</v>
      </c>
      <c r="D60">
        <v>2</v>
      </c>
      <c r="E60">
        <v>3.9</v>
      </c>
      <c r="F60">
        <v>3.5</v>
      </c>
      <c r="G60">
        <v>3.7</v>
      </c>
      <c r="H60">
        <v>2.4</v>
      </c>
      <c r="I60">
        <v>3.9</v>
      </c>
      <c r="J60">
        <v>3.4</v>
      </c>
    </row>
    <row r="61" spans="1:10" x14ac:dyDescent="0.25">
      <c r="A61" t="s">
        <v>263</v>
      </c>
      <c r="B61">
        <v>9</v>
      </c>
      <c r="C61">
        <v>0</v>
      </c>
      <c r="D61">
        <v>3</v>
      </c>
      <c r="E61">
        <v>0</v>
      </c>
      <c r="F61">
        <v>0</v>
      </c>
      <c r="G61">
        <v>0</v>
      </c>
      <c r="H61">
        <v>3</v>
      </c>
      <c r="I61">
        <v>0</v>
      </c>
      <c r="J61">
        <v>0</v>
      </c>
    </row>
    <row r="62" spans="1:10" x14ac:dyDescent="0.25">
      <c r="A62" t="s">
        <v>264</v>
      </c>
      <c r="B62">
        <v>9</v>
      </c>
      <c r="F62">
        <v>7</v>
      </c>
      <c r="H62">
        <v>7</v>
      </c>
    </row>
    <row r="63" spans="1:10" x14ac:dyDescent="0.25">
      <c r="A63" t="s">
        <v>265</v>
      </c>
      <c r="B63">
        <v>9</v>
      </c>
      <c r="F63">
        <v>33</v>
      </c>
      <c r="H63">
        <v>16</v>
      </c>
    </row>
    <row r="64" spans="1:10" x14ac:dyDescent="0.25">
      <c r="A64" t="s">
        <v>266</v>
      </c>
      <c r="B64">
        <v>9</v>
      </c>
      <c r="F64">
        <v>0</v>
      </c>
      <c r="H64">
        <v>0</v>
      </c>
    </row>
    <row r="65" spans="1:10" x14ac:dyDescent="0.25">
      <c r="A65" t="s">
        <v>267</v>
      </c>
      <c r="B65">
        <v>9</v>
      </c>
      <c r="C65">
        <v>12.7</v>
      </c>
      <c r="D65">
        <v>22.5</v>
      </c>
      <c r="E65">
        <v>12.9</v>
      </c>
      <c r="F65">
        <v>49.8</v>
      </c>
      <c r="G65">
        <v>12.7</v>
      </c>
      <c r="H65">
        <v>34.799999999999997</v>
      </c>
      <c r="I65">
        <v>12.9</v>
      </c>
      <c r="J65">
        <v>22.5</v>
      </c>
    </row>
    <row r="66" spans="1:10" x14ac:dyDescent="0.25">
      <c r="A66" t="s">
        <v>268</v>
      </c>
      <c r="B66">
        <v>9</v>
      </c>
      <c r="C66">
        <v>0</v>
      </c>
      <c r="D66">
        <v>1</v>
      </c>
      <c r="E66">
        <v>0</v>
      </c>
      <c r="F66">
        <v>1</v>
      </c>
      <c r="G66">
        <v>0</v>
      </c>
      <c r="H66">
        <v>1</v>
      </c>
      <c r="I66">
        <v>0</v>
      </c>
      <c r="J66">
        <v>1</v>
      </c>
    </row>
    <row r="67" spans="1:10" x14ac:dyDescent="0.25">
      <c r="A67" t="s">
        <v>269</v>
      </c>
      <c r="B67">
        <v>9</v>
      </c>
      <c r="C67">
        <v>1</v>
      </c>
      <c r="D67">
        <v>1</v>
      </c>
      <c r="E67">
        <v>1</v>
      </c>
      <c r="F67">
        <v>1</v>
      </c>
      <c r="G67">
        <v>1</v>
      </c>
      <c r="H67">
        <v>1</v>
      </c>
      <c r="I67">
        <v>1</v>
      </c>
      <c r="J67">
        <v>1</v>
      </c>
    </row>
    <row r="68" spans="1:10" x14ac:dyDescent="0.25">
      <c r="A68" t="s">
        <v>270</v>
      </c>
      <c r="B68">
        <v>9</v>
      </c>
      <c r="C68">
        <v>53.8</v>
      </c>
      <c r="D68">
        <v>75</v>
      </c>
      <c r="E68">
        <v>130.6</v>
      </c>
      <c r="F68">
        <v>3.8</v>
      </c>
      <c r="G68">
        <v>53.8</v>
      </c>
      <c r="H68">
        <v>66.8</v>
      </c>
      <c r="I68">
        <v>130.6</v>
      </c>
      <c r="J68">
        <v>9.6</v>
      </c>
    </row>
    <row r="69" spans="1:10" x14ac:dyDescent="0.25">
      <c r="A69" t="s">
        <v>271</v>
      </c>
      <c r="B69">
        <v>9</v>
      </c>
      <c r="C69">
        <v>75</v>
      </c>
      <c r="D69">
        <v>130.6</v>
      </c>
      <c r="E69">
        <v>3.8</v>
      </c>
      <c r="F69">
        <v>53.8</v>
      </c>
      <c r="G69">
        <v>66.8</v>
      </c>
      <c r="H69">
        <v>130.6</v>
      </c>
      <c r="I69">
        <v>9.6</v>
      </c>
      <c r="J69">
        <v>53.8</v>
      </c>
    </row>
    <row r="70" spans="1:10" x14ac:dyDescent="0.25">
      <c r="A70" t="s">
        <v>272</v>
      </c>
      <c r="B70">
        <v>9</v>
      </c>
      <c r="C70">
        <v>68.3</v>
      </c>
      <c r="D70">
        <v>124.2</v>
      </c>
      <c r="E70">
        <v>136.9</v>
      </c>
      <c r="F70">
        <v>47</v>
      </c>
      <c r="G70">
        <v>60.1</v>
      </c>
      <c r="H70">
        <v>123.8</v>
      </c>
      <c r="I70">
        <v>2.7</v>
      </c>
      <c r="J70">
        <v>46.8</v>
      </c>
    </row>
    <row r="71" spans="1:10" x14ac:dyDescent="0.25">
      <c r="A71" t="s">
        <v>273</v>
      </c>
      <c r="B71">
        <v>9</v>
      </c>
      <c r="C71">
        <v>68.3</v>
      </c>
      <c r="D71">
        <v>124.2</v>
      </c>
      <c r="E71">
        <v>136.9</v>
      </c>
      <c r="F71">
        <v>47</v>
      </c>
      <c r="G71">
        <v>60.1</v>
      </c>
      <c r="H71">
        <v>107.8</v>
      </c>
      <c r="I71">
        <v>2.7</v>
      </c>
      <c r="J71">
        <v>46.8</v>
      </c>
    </row>
    <row r="72" spans="1:10" x14ac:dyDescent="0.25">
      <c r="A72" t="s">
        <v>274</v>
      </c>
      <c r="B72">
        <v>9</v>
      </c>
      <c r="C72">
        <v>118.8</v>
      </c>
      <c r="D72">
        <v>0</v>
      </c>
      <c r="E72">
        <v>55.6</v>
      </c>
      <c r="F72">
        <v>68.8</v>
      </c>
      <c r="G72">
        <v>118.8</v>
      </c>
      <c r="H72">
        <v>131.80000000000001</v>
      </c>
      <c r="I72">
        <v>55.6</v>
      </c>
      <c r="J72">
        <v>74.599999999999994</v>
      </c>
    </row>
    <row r="73" spans="1:10" x14ac:dyDescent="0.25">
      <c r="A73" t="s">
        <v>275</v>
      </c>
      <c r="B73">
        <v>9</v>
      </c>
      <c r="C73">
        <v>133.30000000000001</v>
      </c>
      <c r="D73">
        <v>49.2</v>
      </c>
      <c r="E73">
        <v>61.9</v>
      </c>
      <c r="F73">
        <v>112</v>
      </c>
      <c r="G73">
        <v>125.1</v>
      </c>
      <c r="H73">
        <v>48.8</v>
      </c>
      <c r="I73">
        <v>67.7</v>
      </c>
      <c r="J73">
        <v>111.8</v>
      </c>
    </row>
    <row r="74" spans="1:10" x14ac:dyDescent="0.25">
      <c r="A74" t="s">
        <v>276</v>
      </c>
      <c r="B74">
        <v>9</v>
      </c>
      <c r="C74">
        <v>133.30000000000001</v>
      </c>
      <c r="D74">
        <v>49.2</v>
      </c>
      <c r="E74">
        <v>61.9</v>
      </c>
      <c r="F74">
        <v>112</v>
      </c>
      <c r="G74">
        <v>125.1</v>
      </c>
      <c r="H74">
        <v>32.799999999999997</v>
      </c>
      <c r="I74">
        <v>67.7</v>
      </c>
      <c r="J74">
        <v>111.8</v>
      </c>
    </row>
    <row r="75" spans="1:10" x14ac:dyDescent="0.25">
      <c r="A75" t="s">
        <v>567</v>
      </c>
      <c r="B75">
        <v>9</v>
      </c>
      <c r="C75">
        <v>14.9</v>
      </c>
      <c r="D75">
        <v>75.7</v>
      </c>
      <c r="E75">
        <v>5</v>
      </c>
      <c r="F75">
        <v>17.600000000000001</v>
      </c>
      <c r="G75">
        <v>4.5</v>
      </c>
      <c r="H75">
        <v>85.7</v>
      </c>
      <c r="I75">
        <v>8.8000000000000007</v>
      </c>
      <c r="J75">
        <v>13.6</v>
      </c>
    </row>
    <row r="76" spans="1:10" x14ac:dyDescent="0.25">
      <c r="A76" t="s">
        <v>254</v>
      </c>
      <c r="B76">
        <v>11</v>
      </c>
      <c r="C76">
        <v>111</v>
      </c>
      <c r="D76">
        <v>112</v>
      </c>
      <c r="E76">
        <v>211</v>
      </c>
      <c r="F76">
        <v>212</v>
      </c>
      <c r="G76">
        <v>121</v>
      </c>
      <c r="H76">
        <v>122</v>
      </c>
      <c r="I76">
        <v>221</v>
      </c>
      <c r="J76">
        <v>222</v>
      </c>
    </row>
    <row r="77" spans="1:10" x14ac:dyDescent="0.25">
      <c r="A77" t="s">
        <v>255</v>
      </c>
      <c r="B77">
        <v>11</v>
      </c>
      <c r="C77">
        <v>6</v>
      </c>
      <c r="D77">
        <v>20</v>
      </c>
      <c r="E77">
        <v>6</v>
      </c>
      <c r="F77">
        <v>8</v>
      </c>
      <c r="G77">
        <v>6</v>
      </c>
      <c r="H77">
        <v>20</v>
      </c>
      <c r="I77">
        <v>6</v>
      </c>
      <c r="J77">
        <v>8</v>
      </c>
    </row>
    <row r="78" spans="1:10" x14ac:dyDescent="0.25">
      <c r="A78" t="s">
        <v>256</v>
      </c>
      <c r="B78">
        <v>11</v>
      </c>
      <c r="C78">
        <v>20.6</v>
      </c>
      <c r="D78">
        <v>48</v>
      </c>
      <c r="E78">
        <v>18.100000000000001</v>
      </c>
      <c r="F78">
        <v>27.3</v>
      </c>
      <c r="G78">
        <v>18</v>
      </c>
      <c r="H78">
        <v>50.6</v>
      </c>
      <c r="I78">
        <v>6</v>
      </c>
      <c r="J78">
        <v>40</v>
      </c>
    </row>
    <row r="79" spans="1:10" x14ac:dyDescent="0.25">
      <c r="A79" t="s">
        <v>257</v>
      </c>
      <c r="B79">
        <v>11</v>
      </c>
      <c r="C79">
        <v>2.5</v>
      </c>
      <c r="D79">
        <v>4</v>
      </c>
      <c r="E79">
        <v>2.5</v>
      </c>
      <c r="F79">
        <v>3.6</v>
      </c>
      <c r="G79">
        <v>2</v>
      </c>
      <c r="H79">
        <v>4</v>
      </c>
      <c r="I79">
        <v>2.5</v>
      </c>
      <c r="J79">
        <v>2</v>
      </c>
    </row>
    <row r="80" spans="1:10"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3:Z46"/>
  <sheetViews>
    <sheetView topLeftCell="A68" workbookViewId="0">
      <selection activeCell="A100" sqref="A100:R123"/>
    </sheetView>
  </sheetViews>
  <sheetFormatPr defaultRowHeight="15" x14ac:dyDescent="0.25"/>
  <sheetData>
    <row r="23" spans="2:2" x14ac:dyDescent="0.25">
      <c r="B23" s="493"/>
    </row>
    <row r="46" spans="1:26" s="62" customFormat="1" x14ac:dyDescent="0.25">
      <c r="A46"/>
      <c r="B46"/>
      <c r="C46"/>
      <c r="D46"/>
      <c r="E46"/>
      <c r="F46"/>
      <c r="G46"/>
      <c r="H46"/>
      <c r="I46"/>
      <c r="J46"/>
      <c r="K46"/>
      <c r="L46"/>
      <c r="M46"/>
      <c r="N46"/>
      <c r="O46"/>
      <c r="P46"/>
      <c r="Q46"/>
      <c r="R46"/>
      <c r="S46"/>
      <c r="T46"/>
      <c r="U46"/>
      <c r="V46"/>
      <c r="W46"/>
      <c r="X46"/>
      <c r="Y46"/>
      <c r="Z4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K33" sqref="K33"/>
    </sheetView>
  </sheetViews>
  <sheetFormatPr defaultRowHeight="15" x14ac:dyDescent="0.25"/>
  <sheetData>
    <row r="1" spans="1:9" x14ac:dyDescent="0.25">
      <c r="A1" s="488" t="s">
        <v>582</v>
      </c>
      <c r="B1" s="488" t="s">
        <v>583</v>
      </c>
      <c r="C1" s="488" t="s">
        <v>584</v>
      </c>
      <c r="D1" s="488" t="s">
        <v>585</v>
      </c>
      <c r="E1" s="488" t="s">
        <v>586</v>
      </c>
      <c r="F1" s="488" t="s">
        <v>599</v>
      </c>
      <c r="G1" s="489" t="s">
        <v>616</v>
      </c>
      <c r="I1" t="str">
        <f>A2&amp;"_"&amp;'Input sheet'!J14</f>
        <v>0_0_0</v>
      </c>
    </row>
    <row r="2" spans="1:9" x14ac:dyDescent="0.25">
      <c r="A2" s="490">
        <f>UTDF_input!B4</f>
        <v>0</v>
      </c>
      <c r="B2" s="490">
        <f>'Phase calculation'!C156</f>
        <v>4</v>
      </c>
      <c r="C2" s="490"/>
      <c r="D2" s="490">
        <f>'Phase calculation'!C158</f>
        <v>4</v>
      </c>
      <c r="E2" s="490" t="str">
        <f>'Phase calculation'!C159</f>
        <v>Permissive</v>
      </c>
      <c r="F2" s="491" t="str">
        <f>'Phase calculation'!C160</f>
        <v>EBL</v>
      </c>
    </row>
    <row r="3" spans="1:9" x14ac:dyDescent="0.25">
      <c r="A3" s="490">
        <f>$A$2</f>
        <v>0</v>
      </c>
      <c r="B3" s="490">
        <f>'Phase calculation'!D156</f>
        <v>4</v>
      </c>
      <c r="C3" s="490"/>
      <c r="D3" s="490">
        <f>'Phase calculation'!D158</f>
        <v>4</v>
      </c>
      <c r="E3" s="490" t="str">
        <f>'Phase calculation'!D159</f>
        <v>Protected</v>
      </c>
      <c r="F3" s="491" t="str">
        <f>'Phase calculation'!D160</f>
        <v>EBT</v>
      </c>
    </row>
    <row r="4" spans="1:9" x14ac:dyDescent="0.25">
      <c r="A4" s="490">
        <f t="shared" ref="A4:A13" si="0">$A$2</f>
        <v>0</v>
      </c>
      <c r="B4" s="490" t="str">
        <f>'Phase calculation'!E156</f>
        <v>41</v>
      </c>
      <c r="C4" s="490"/>
      <c r="D4" s="490">
        <f>'Phase calculation'!E158</f>
        <v>4</v>
      </c>
      <c r="E4" s="490" t="str">
        <f>'Phase calculation'!E159</f>
        <v>RTOR</v>
      </c>
      <c r="F4" s="491" t="str">
        <f>'Phase calculation'!E160</f>
        <v>EBR</v>
      </c>
    </row>
    <row r="5" spans="1:9" x14ac:dyDescent="0.25">
      <c r="A5" s="490">
        <f t="shared" si="0"/>
        <v>0</v>
      </c>
      <c r="B5" s="490">
        <f>'Phase calculation'!F156</f>
        <v>8</v>
      </c>
      <c r="C5" s="490"/>
      <c r="D5" s="490">
        <f>'Phase calculation'!F158</f>
        <v>8</v>
      </c>
      <c r="E5" s="490" t="str">
        <f>'Phase calculation'!F159</f>
        <v>Permissive</v>
      </c>
      <c r="F5" s="491" t="str">
        <f>'Phase calculation'!F160</f>
        <v>WBL</v>
      </c>
    </row>
    <row r="6" spans="1:9" x14ac:dyDescent="0.25">
      <c r="A6" s="490">
        <f t="shared" si="0"/>
        <v>0</v>
      </c>
      <c r="B6" s="490">
        <f>'Phase calculation'!G156</f>
        <v>8</v>
      </c>
      <c r="C6" s="490"/>
      <c r="D6" s="490">
        <f>'Phase calculation'!G158</f>
        <v>8</v>
      </c>
      <c r="E6" s="490" t="str">
        <f>'Phase calculation'!G159</f>
        <v>Protected</v>
      </c>
      <c r="F6" s="491" t="str">
        <f>'Phase calculation'!G160</f>
        <v>WBT</v>
      </c>
    </row>
    <row r="7" spans="1:9" x14ac:dyDescent="0.25">
      <c r="A7" s="490">
        <f t="shared" si="0"/>
        <v>0</v>
      </c>
      <c r="B7" s="490" t="str">
        <f>'Phase calculation'!H156</f>
        <v>81</v>
      </c>
      <c r="C7" s="490"/>
      <c r="D7" s="490">
        <f>'Phase calculation'!H158</f>
        <v>8</v>
      </c>
      <c r="E7" s="490" t="str">
        <f>'Phase calculation'!H159</f>
        <v>RTOR</v>
      </c>
      <c r="F7" s="491" t="str">
        <f>'Phase calculation'!H160</f>
        <v>WBR</v>
      </c>
    </row>
    <row r="8" spans="1:9" x14ac:dyDescent="0.25">
      <c r="A8" s="490">
        <f t="shared" si="0"/>
        <v>0</v>
      </c>
      <c r="B8" s="490">
        <f>'Phase calculation'!I156</f>
        <v>2</v>
      </c>
      <c r="C8" s="490"/>
      <c r="D8" s="490">
        <f>'Phase calculation'!I158</f>
        <v>2</v>
      </c>
      <c r="E8" s="490" t="str">
        <f>'Phase calculation'!I159</f>
        <v>Permissive</v>
      </c>
      <c r="F8" s="491" t="str">
        <f>'Phase calculation'!I160</f>
        <v>NBL</v>
      </c>
    </row>
    <row r="9" spans="1:9" x14ac:dyDescent="0.25">
      <c r="A9" s="490">
        <f t="shared" si="0"/>
        <v>0</v>
      </c>
      <c r="B9" s="490">
        <f>'Phase calculation'!J156</f>
        <v>2</v>
      </c>
      <c r="C9" s="490"/>
      <c r="D9" s="490">
        <f>'Phase calculation'!J158</f>
        <v>2</v>
      </c>
      <c r="E9" s="490" t="str">
        <f>'Phase calculation'!J159</f>
        <v>Protected</v>
      </c>
      <c r="F9" s="491" t="str">
        <f>'Phase calculation'!J160</f>
        <v>NBT</v>
      </c>
    </row>
    <row r="10" spans="1:9" x14ac:dyDescent="0.25">
      <c r="A10" s="490">
        <f t="shared" si="0"/>
        <v>0</v>
      </c>
      <c r="B10" s="490" t="str">
        <f>'Phase calculation'!K156</f>
        <v>21</v>
      </c>
      <c r="C10" s="490"/>
      <c r="D10" s="490">
        <f>'Phase calculation'!K158</f>
        <v>2</v>
      </c>
      <c r="E10" s="490" t="str">
        <f>'Phase calculation'!K159</f>
        <v>RTOR</v>
      </c>
      <c r="F10" s="491" t="str">
        <f>'Phase calculation'!K160</f>
        <v>NBR</v>
      </c>
    </row>
    <row r="11" spans="1:9" x14ac:dyDescent="0.25">
      <c r="A11" s="490">
        <f t="shared" si="0"/>
        <v>0</v>
      </c>
      <c r="B11" s="490">
        <f>'Phase calculation'!L156</f>
        <v>6</v>
      </c>
      <c r="C11" s="490"/>
      <c r="D11" s="490">
        <f>'Phase calculation'!L158</f>
        <v>6</v>
      </c>
      <c r="E11" s="490" t="str">
        <f>'Phase calculation'!L159</f>
        <v>Permissive</v>
      </c>
      <c r="F11" s="491" t="str">
        <f>'Phase calculation'!L160</f>
        <v>SBL</v>
      </c>
    </row>
    <row r="12" spans="1:9" x14ac:dyDescent="0.25">
      <c r="A12" s="490">
        <f t="shared" si="0"/>
        <v>0</v>
      </c>
      <c r="B12" s="490">
        <f>'Phase calculation'!M156</f>
        <v>6</v>
      </c>
      <c r="C12" s="490"/>
      <c r="D12" s="490">
        <f>'Phase calculation'!M158</f>
        <v>6</v>
      </c>
      <c r="E12" s="490" t="str">
        <f>'Phase calculation'!M159</f>
        <v>Protected</v>
      </c>
      <c r="F12" s="491" t="str">
        <f>'Phase calculation'!M160</f>
        <v>SBT</v>
      </c>
    </row>
    <row r="13" spans="1:9" x14ac:dyDescent="0.25">
      <c r="A13" s="490">
        <f t="shared" si="0"/>
        <v>0</v>
      </c>
      <c r="B13" s="490" t="str">
        <f>'Phase calculation'!N156</f>
        <v>61</v>
      </c>
      <c r="C13" s="490"/>
      <c r="D13" s="490">
        <f>'Phase calculation'!N158</f>
        <v>6</v>
      </c>
      <c r="E13" s="490" t="str">
        <f>'Phase calculation'!N159</f>
        <v>RTOR</v>
      </c>
      <c r="F13" s="491" t="str">
        <f>'Phase calculation'!N160</f>
        <v>SBR</v>
      </c>
    </row>
    <row r="14" spans="1:9" x14ac:dyDescent="0.25">
      <c r="A14" s="490"/>
      <c r="B14" s="490"/>
      <c r="C14" s="490"/>
      <c r="D14" s="490"/>
      <c r="E14" s="490"/>
      <c r="F14" s="490"/>
    </row>
    <row r="15" spans="1:9" x14ac:dyDescent="0.25">
      <c r="A15" t="s">
        <v>582</v>
      </c>
      <c r="B15" t="s">
        <v>617</v>
      </c>
      <c r="C15" t="s">
        <v>618</v>
      </c>
      <c r="D15" t="s">
        <v>619</v>
      </c>
      <c r="G15" s="1" t="s">
        <v>620</v>
      </c>
    </row>
    <row r="16" spans="1:9" x14ac:dyDescent="0.25">
      <c r="A16">
        <f>$A$2</f>
        <v>0</v>
      </c>
      <c r="B16" t="e">
        <f>IF(Phasing!D58=0,"",Phasing!D54)</f>
        <v>#N/A</v>
      </c>
      <c r="C16" t="e">
        <f>IF(B16="","",IF(B16&lt;=4,1,2))</f>
        <v>#N/A</v>
      </c>
      <c r="D16" t="e">
        <f>IF(C16="","",IF(OR(B16=1,B16=2,B16=5,B16=6),1,2))</f>
        <v>#N/A</v>
      </c>
    </row>
    <row r="17" spans="1:13" x14ac:dyDescent="0.25">
      <c r="A17">
        <f t="shared" ref="A17:A23" si="1">$A$2</f>
        <v>0</v>
      </c>
      <c r="B17" t="e">
        <f>IF(Phasing!E58=0,"",Phasing!E54)</f>
        <v>#N/A</v>
      </c>
      <c r="C17" t="e">
        <f t="shared" ref="C17:C23" si="2">IF(B17="","",IF(B17&lt;=4,1,2))</f>
        <v>#N/A</v>
      </c>
      <c r="D17" t="e">
        <f t="shared" ref="D17:D23" si="3">IF(C17="","",IF(OR(B17=1,B17=2,B17=5,B17=6),1,2))</f>
        <v>#N/A</v>
      </c>
    </row>
    <row r="18" spans="1:13" x14ac:dyDescent="0.25">
      <c r="A18">
        <f t="shared" si="1"/>
        <v>0</v>
      </c>
      <c r="B18" t="e">
        <f>IF(Phasing!F58=0,"",Phasing!F54)</f>
        <v>#N/A</v>
      </c>
      <c r="C18" t="e">
        <f t="shared" si="2"/>
        <v>#N/A</v>
      </c>
      <c r="D18" t="e">
        <f t="shared" si="3"/>
        <v>#N/A</v>
      </c>
    </row>
    <row r="19" spans="1:13" x14ac:dyDescent="0.25">
      <c r="A19">
        <f t="shared" si="1"/>
        <v>0</v>
      </c>
      <c r="B19" t="e">
        <f>IF(Phasing!G58=0,"",Phasing!G54)</f>
        <v>#N/A</v>
      </c>
      <c r="C19" t="e">
        <f t="shared" si="2"/>
        <v>#N/A</v>
      </c>
      <c r="D19" t="e">
        <f t="shared" si="3"/>
        <v>#N/A</v>
      </c>
    </row>
    <row r="20" spans="1:13" x14ac:dyDescent="0.25">
      <c r="A20">
        <f t="shared" si="1"/>
        <v>0</v>
      </c>
      <c r="B20" t="e">
        <f>IF(Phasing!H58=0,"",Phasing!H54)</f>
        <v>#N/A</v>
      </c>
      <c r="C20" t="e">
        <f t="shared" si="2"/>
        <v>#N/A</v>
      </c>
      <c r="D20" t="e">
        <f t="shared" si="3"/>
        <v>#N/A</v>
      </c>
    </row>
    <row r="21" spans="1:13" x14ac:dyDescent="0.25">
      <c r="A21">
        <f t="shared" si="1"/>
        <v>0</v>
      </c>
      <c r="B21" t="e">
        <f>IF(Phasing!I58=0,"",Phasing!I54)</f>
        <v>#N/A</v>
      </c>
      <c r="C21" t="e">
        <f t="shared" si="2"/>
        <v>#N/A</v>
      </c>
      <c r="D21" t="e">
        <f t="shared" si="3"/>
        <v>#N/A</v>
      </c>
    </row>
    <row r="22" spans="1:13" x14ac:dyDescent="0.25">
      <c r="A22">
        <f t="shared" si="1"/>
        <v>0</v>
      </c>
      <c r="B22" t="e">
        <f>IF(Phasing!J58=0,"",Phasing!J54)</f>
        <v>#N/A</v>
      </c>
      <c r="C22" t="e">
        <f t="shared" si="2"/>
        <v>#N/A</v>
      </c>
      <c r="D22" t="e">
        <f t="shared" si="3"/>
        <v>#N/A</v>
      </c>
    </row>
    <row r="23" spans="1:13" x14ac:dyDescent="0.25">
      <c r="A23">
        <f t="shared" si="1"/>
        <v>0</v>
      </c>
      <c r="B23" t="e">
        <f>IF(Phasing!K58=0,"",Phasing!K54)</f>
        <v>#N/A</v>
      </c>
      <c r="C23" t="e">
        <f t="shared" si="2"/>
        <v>#N/A</v>
      </c>
      <c r="D23" t="e">
        <f t="shared" si="3"/>
        <v>#N/A</v>
      </c>
    </row>
    <row r="25" spans="1:13" x14ac:dyDescent="0.25">
      <c r="A25" s="490" t="s">
        <v>621</v>
      </c>
      <c r="B25" s="490" t="s">
        <v>582</v>
      </c>
      <c r="C25" s="490" t="s">
        <v>622</v>
      </c>
      <c r="D25" s="490" t="s">
        <v>623</v>
      </c>
      <c r="E25" s="490" t="s">
        <v>624</v>
      </c>
      <c r="F25" s="490" t="s">
        <v>625</v>
      </c>
      <c r="G25" s="490" t="s">
        <v>626</v>
      </c>
      <c r="H25" s="490" t="s">
        <v>627</v>
      </c>
      <c r="I25" s="490" t="s">
        <v>628</v>
      </c>
      <c r="J25" t="s">
        <v>599</v>
      </c>
      <c r="K25" s="62" t="s">
        <v>602</v>
      </c>
      <c r="M25" s="1" t="s">
        <v>636</v>
      </c>
    </row>
    <row r="26" spans="1:13" x14ac:dyDescent="0.25">
      <c r="A26" s="490" t="e">
        <f t="shared" ref="A26:A33" si="4">IF(C26="","",1)</f>
        <v>#N/A</v>
      </c>
      <c r="B26" s="490">
        <f>$A$2</f>
        <v>0</v>
      </c>
      <c r="C26" s="490" t="e">
        <f t="shared" ref="C26:C33" si="5">B16</f>
        <v>#N/A</v>
      </c>
      <c r="D26" s="490" t="e">
        <f>IF(C26="","",Phasing!D31)</f>
        <v>#N/A</v>
      </c>
      <c r="E26" s="490" t="e">
        <f>IF(C26="","",Phasing!D32)</f>
        <v>#N/A</v>
      </c>
      <c r="F26" s="490" t="e">
        <f>IF(C26="","",Phasing!D33)</f>
        <v>#N/A</v>
      </c>
      <c r="G26" s="490" t="e">
        <f>IF(C26="","",INDEX(Phasing!$Y$33:$Y$40,MATCH(C26,Phasing!$W$33:$W$40,0))+INDEX(Phasing!$AA$33:$AA$40,MATCH(C26,Phasing!$W$33:$W$40,0)))</f>
        <v>#N/A</v>
      </c>
      <c r="H26" s="490"/>
      <c r="I26" s="490"/>
      <c r="J26" t="str">
        <f>IFERROR(INDEX($F$2:$F$13,MATCH(C26,$B$2:$B$13,0)),"")</f>
        <v/>
      </c>
      <c r="K26">
        <v>0</v>
      </c>
    </row>
    <row r="27" spans="1:13" x14ac:dyDescent="0.25">
      <c r="A27" s="490" t="e">
        <f t="shared" si="4"/>
        <v>#N/A</v>
      </c>
      <c r="B27" s="490">
        <f t="shared" ref="B27:B33" si="6">$A$2</f>
        <v>0</v>
      </c>
      <c r="C27" s="490" t="e">
        <f t="shared" si="5"/>
        <v>#N/A</v>
      </c>
      <c r="D27" s="490" t="e">
        <f>IF(C27="","",Phasing!E31)</f>
        <v>#N/A</v>
      </c>
      <c r="E27" s="490" t="e">
        <f>IF(C27="","",Phasing!E32)</f>
        <v>#N/A</v>
      </c>
      <c r="F27" s="490" t="e">
        <f>IF(C27="","",Phasing!E33)</f>
        <v>#N/A</v>
      </c>
      <c r="G27" s="490" t="e">
        <f>IF(C27="","",INDEX(Phasing!$Y$33:$Y$40,MATCH(C27,Phasing!$W$33:$W$40,0))+INDEX(Phasing!$AA$33:$AA$40,MATCH(C27,Phasing!$W$33:$W$40,0)))</f>
        <v>#N/A</v>
      </c>
      <c r="H27" s="490">
        <f>Phasing!E9</f>
        <v>5</v>
      </c>
      <c r="I27" s="490">
        <f>Phasing!E10</f>
        <v>0</v>
      </c>
      <c r="J27" t="str">
        <f t="shared" ref="J27:J33" si="7">IFERROR(INDEX($F$2:$F$13,MATCH(C27,$B$2:$B$13,0)),"")</f>
        <v/>
      </c>
      <c r="K27">
        <v>0</v>
      </c>
    </row>
    <row r="28" spans="1:13" x14ac:dyDescent="0.25">
      <c r="A28" s="490" t="e">
        <f t="shared" si="4"/>
        <v>#N/A</v>
      </c>
      <c r="B28" s="490">
        <f t="shared" si="6"/>
        <v>0</v>
      </c>
      <c r="C28" s="490" t="e">
        <f t="shared" si="5"/>
        <v>#N/A</v>
      </c>
      <c r="D28" s="490" t="e">
        <f>IF(C28="","",Phasing!F31)</f>
        <v>#N/A</v>
      </c>
      <c r="E28" s="490" t="e">
        <f>IF(C28="","",Phasing!F32)</f>
        <v>#N/A</v>
      </c>
      <c r="F28" s="490" t="e">
        <f>IF(C28="","",Phasing!F33)</f>
        <v>#N/A</v>
      </c>
      <c r="G28" s="490" t="e">
        <f>IF(C28="","",INDEX(Phasing!$Y$33:$Y$40,MATCH(C28,Phasing!$W$33:$W$40,0))+INDEX(Phasing!$AA$33:$AA$40,MATCH(C28,Phasing!$W$33:$W$40,0)))</f>
        <v>#N/A</v>
      </c>
      <c r="H28" s="490"/>
      <c r="I28" s="490"/>
      <c r="J28" t="str">
        <f t="shared" si="7"/>
        <v/>
      </c>
      <c r="K28">
        <v>0</v>
      </c>
    </row>
    <row r="29" spans="1:13" x14ac:dyDescent="0.25">
      <c r="A29" s="490" t="e">
        <f t="shared" si="4"/>
        <v>#N/A</v>
      </c>
      <c r="B29" s="490">
        <f t="shared" si="6"/>
        <v>0</v>
      </c>
      <c r="C29" s="490" t="e">
        <f t="shared" si="5"/>
        <v>#N/A</v>
      </c>
      <c r="D29" s="490" t="e">
        <f>IF(C29="","",Phasing!G31)</f>
        <v>#N/A</v>
      </c>
      <c r="E29" s="490" t="e">
        <f>IF(C29="","",Phasing!G32)</f>
        <v>#N/A</v>
      </c>
      <c r="F29" s="490" t="e">
        <f>IF(C29="","",Phasing!G33)</f>
        <v>#N/A</v>
      </c>
      <c r="G29" s="490" t="e">
        <f>IF(C29="","",INDEX(Phasing!$Y$33:$Y$40,MATCH(C29,Phasing!$W$33:$W$40,0))+INDEX(Phasing!$AA$33:$AA$40,MATCH(C29,Phasing!$W$33:$W$40,0)))</f>
        <v>#N/A</v>
      </c>
      <c r="H29" s="490">
        <f>Phasing!G9</f>
        <v>5</v>
      </c>
      <c r="I29" s="490">
        <f>Phasing!G10</f>
        <v>0</v>
      </c>
      <c r="J29" t="str">
        <f t="shared" si="7"/>
        <v/>
      </c>
      <c r="K29">
        <v>0</v>
      </c>
    </row>
    <row r="30" spans="1:13" x14ac:dyDescent="0.25">
      <c r="A30" s="490" t="e">
        <f t="shared" si="4"/>
        <v>#N/A</v>
      </c>
      <c r="B30" s="490">
        <f t="shared" si="6"/>
        <v>0</v>
      </c>
      <c r="C30" s="490" t="e">
        <f t="shared" si="5"/>
        <v>#N/A</v>
      </c>
      <c r="D30" s="490" t="e">
        <f>IF(C30="","",Phasing!H31)</f>
        <v>#N/A</v>
      </c>
      <c r="E30" s="490" t="e">
        <f>IF(C30="","",Phasing!H32)</f>
        <v>#N/A</v>
      </c>
      <c r="F30" s="490" t="e">
        <f>IF(C30="","",Phasing!H33)</f>
        <v>#N/A</v>
      </c>
      <c r="G30" s="490" t="e">
        <f>IF(C30="","",INDEX(Phasing!$Y$33:$Y$40,MATCH(C30,Phasing!$W$33:$W$40,0))+INDEX(Phasing!$AA$33:$AA$40,MATCH(C30,Phasing!$W$33:$W$40,0)))</f>
        <v>#N/A</v>
      </c>
      <c r="H30" s="490"/>
      <c r="I30" s="490"/>
      <c r="J30" t="str">
        <f t="shared" si="7"/>
        <v/>
      </c>
      <c r="K30">
        <v>0</v>
      </c>
    </row>
    <row r="31" spans="1:13" x14ac:dyDescent="0.25">
      <c r="A31" s="490" t="e">
        <f t="shared" si="4"/>
        <v>#N/A</v>
      </c>
      <c r="B31" s="490">
        <f t="shared" si="6"/>
        <v>0</v>
      </c>
      <c r="C31" s="490" t="e">
        <f t="shared" si="5"/>
        <v>#N/A</v>
      </c>
      <c r="D31" s="490" t="e">
        <f>IF(C31="","",Phasing!I31)</f>
        <v>#N/A</v>
      </c>
      <c r="E31" s="490" t="e">
        <f>IF(C31="","",Phasing!I32)</f>
        <v>#N/A</v>
      </c>
      <c r="F31" s="490" t="e">
        <f>IF(C31="","",Phasing!I33)</f>
        <v>#N/A</v>
      </c>
      <c r="G31" s="490" t="e">
        <f>IF(C31="","",INDEX(Phasing!$Y$33:$Y$40,MATCH(C31,Phasing!$W$33:$W$40,0))+INDEX(Phasing!$AA$33:$AA$40,MATCH(C31,Phasing!$W$33:$W$40,0)))</f>
        <v>#N/A</v>
      </c>
      <c r="H31" s="490">
        <f>Phasing!I9</f>
        <v>5</v>
      </c>
      <c r="I31" s="490">
        <f>Phasing!I10</f>
        <v>0</v>
      </c>
      <c r="J31" t="str">
        <f t="shared" si="7"/>
        <v/>
      </c>
      <c r="K31">
        <v>0</v>
      </c>
    </row>
    <row r="32" spans="1:13" x14ac:dyDescent="0.25">
      <c r="A32" s="490" t="e">
        <f t="shared" si="4"/>
        <v>#N/A</v>
      </c>
      <c r="B32" s="490">
        <f t="shared" si="6"/>
        <v>0</v>
      </c>
      <c r="C32" s="490" t="e">
        <f t="shared" si="5"/>
        <v>#N/A</v>
      </c>
      <c r="D32" s="490" t="e">
        <f>IF(C32="","",Phasing!J31)</f>
        <v>#N/A</v>
      </c>
      <c r="E32" s="490" t="e">
        <f>IF(C32="","",Phasing!J32)</f>
        <v>#N/A</v>
      </c>
      <c r="F32" s="490" t="e">
        <f>IF(C32="","",Phasing!J33)</f>
        <v>#N/A</v>
      </c>
      <c r="G32" s="490" t="e">
        <f>IF(C32="","",INDEX(Phasing!$Y$33:$Y$40,MATCH(C32,Phasing!$W$33:$W$40,0))+INDEX(Phasing!$AA$33:$AA$40,MATCH(C32,Phasing!$W$33:$W$40,0)))</f>
        <v>#N/A</v>
      </c>
      <c r="H32" s="490"/>
      <c r="I32" s="490"/>
      <c r="J32" t="str">
        <f t="shared" si="7"/>
        <v/>
      </c>
      <c r="K32">
        <v>0</v>
      </c>
    </row>
    <row r="33" spans="1:12" x14ac:dyDescent="0.25">
      <c r="A33" s="490" t="e">
        <f t="shared" si="4"/>
        <v>#N/A</v>
      </c>
      <c r="B33" s="490">
        <f t="shared" si="6"/>
        <v>0</v>
      </c>
      <c r="C33" s="490" t="e">
        <f t="shared" si="5"/>
        <v>#N/A</v>
      </c>
      <c r="D33" s="490" t="e">
        <f>IF(C33="","",Phasing!K31)</f>
        <v>#N/A</v>
      </c>
      <c r="E33" s="490" t="e">
        <f>IF(C33="","",Phasing!K32)</f>
        <v>#N/A</v>
      </c>
      <c r="F33" s="490" t="e">
        <f>IF(C33="","",Phasing!K33)</f>
        <v>#N/A</v>
      </c>
      <c r="G33" s="490" t="e">
        <f>IF(C33="","",INDEX(Phasing!$Y$33:$Y$40,MATCH(C33,Phasing!$W$33:$W$40,0))+INDEX(Phasing!$AA$33:$AA$40,MATCH(C33,Phasing!$W$33:$W$40,0)))</f>
        <v>#N/A</v>
      </c>
      <c r="H33" s="490">
        <f>Phasing!K9</f>
        <v>5</v>
      </c>
      <c r="I33" s="490">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0</v>
      </c>
      <c r="B2" t="str">
        <f>T2&amp;"_"&amp;U2</f>
        <v>000000_000000</v>
      </c>
      <c r="C2" s="1" t="s">
        <v>608</v>
      </c>
      <c r="D2" s="1" t="s">
        <v>608</v>
      </c>
      <c r="E2" t="e">
        <f>IF(Q2=0,"",'Phase calculation'!C41)</f>
        <v>#N/A</v>
      </c>
      <c r="F2" s="486" t="e">
        <f>IF(Q2=0,"",'Phase calculation'!C40)</f>
        <v>#N/A</v>
      </c>
      <c r="G2" s="1">
        <v>0</v>
      </c>
      <c r="H2">
        <f>'Phase calculation'!$C$25</f>
        <v>40</v>
      </c>
      <c r="I2" t="e">
        <f>IF(E2="","",IF('Phase calculation'!C34=0,'Phase calculation'!D34,'Phase calculation'!C34))</f>
        <v>#N/A</v>
      </c>
      <c r="J2" t="e">
        <f>IF(E2="","",H2-I2)</f>
        <v>#N/A</v>
      </c>
      <c r="K2">
        <f>IF(OR(Q2=1,Q2=2,Q2=5,Q2=6),1,2)</f>
        <v>2</v>
      </c>
      <c r="L2" t="s">
        <v>13</v>
      </c>
      <c r="M2" s="222" t="str">
        <f>T2</f>
        <v>000000</v>
      </c>
      <c r="N2" s="222" t="str">
        <f>U2</f>
        <v>000000</v>
      </c>
      <c r="O2" s="1">
        <v>0</v>
      </c>
      <c r="Q2">
        <f>IF('Phase calculation'!C33=0,'Phase calculation'!D33,'Phase calculation'!C33)</f>
        <v>4</v>
      </c>
      <c r="R2">
        <f>IFERROR(INDEX(Phasing!$D$46:$K$46,1,MATCH(Q2,Phasing!$D$54:$K$54,0)),0)</f>
        <v>0</v>
      </c>
      <c r="S2">
        <f>IFERROR(INDEX(Phasing!$D$47:$K$47,1,MATCH(Q2,Phasing!$D$54:$K$54,0)),0)</f>
        <v>0</v>
      </c>
      <c r="T2" s="487" t="str">
        <f t="shared" ref="T2:U13" si="0">IF(R2&lt;10,"00000"&amp;R2,"00"&amp;(IF(R2&lt;60,"00","0"&amp;ROUNDDOWN(R2/60,0))&amp;""&amp;IF(OR(R2=0,R2=60,R2=120,R2=180),"00",IF(R2&lt;60,R2,R2-60*ROUNDDOWN(R2/60,0)))))</f>
        <v>000000</v>
      </c>
      <c r="U2" s="487" t="str">
        <f t="shared" si="0"/>
        <v>000000</v>
      </c>
    </row>
    <row r="3" spans="1:21" x14ac:dyDescent="0.25">
      <c r="A3">
        <f>GMNS!$A$2</f>
        <v>0</v>
      </c>
      <c r="B3" t="str">
        <f t="shared" ref="B3:B13" si="1">T3&amp;"_"&amp;U3</f>
        <v>000000_000000</v>
      </c>
      <c r="C3" s="1" t="s">
        <v>608</v>
      </c>
      <c r="D3" s="1" t="s">
        <v>608</v>
      </c>
      <c r="E3" t="e">
        <f>IF(Q3=0,"",'Phase calculation'!D41)</f>
        <v>#N/A</v>
      </c>
      <c r="F3" s="486" t="e">
        <f>IF(Q3=0,"",'Phase calculation'!D40)</f>
        <v>#N/A</v>
      </c>
      <c r="G3" s="1">
        <v>0</v>
      </c>
      <c r="H3">
        <f>'Phase calculation'!$C$25</f>
        <v>40</v>
      </c>
      <c r="I3" t="e">
        <f>IF(E3="","",'Phase calculation'!D34)</f>
        <v>#N/A</v>
      </c>
      <c r="J3" t="e">
        <f t="shared" ref="J3:J13" si="2">IF(E3="","",H3-I3)</f>
        <v>#N/A</v>
      </c>
      <c r="K3">
        <f t="shared" ref="K3:K13" si="3">IF(OR(Q3=1,Q3=2,Q3=5,Q3=6),1,2)</f>
        <v>2</v>
      </c>
      <c r="L3" t="s">
        <v>14</v>
      </c>
      <c r="M3" s="222" t="str">
        <f t="shared" ref="M3:N13" si="4">T3</f>
        <v>000000</v>
      </c>
      <c r="N3" s="222" t="str">
        <f t="shared" si="4"/>
        <v>000000</v>
      </c>
      <c r="O3" s="1">
        <v>0</v>
      </c>
      <c r="Q3">
        <f>'Phase calculation'!D33</f>
        <v>4</v>
      </c>
      <c r="R3">
        <f>IFERROR(INDEX(Phasing!$D$46:$K$46,1,MATCH(Q3,Phasing!$D$54:$K$54,0)),0)</f>
        <v>0</v>
      </c>
      <c r="S3">
        <f>IFERROR(INDEX(Phasing!$D$47:$K$47,1,MATCH(Q3,Phasing!$D$54:$K$54,0)),0)</f>
        <v>0</v>
      </c>
      <c r="T3" s="487" t="str">
        <f t="shared" si="0"/>
        <v>000000</v>
      </c>
      <c r="U3" s="487" t="str">
        <f t="shared" si="0"/>
        <v>000000</v>
      </c>
    </row>
    <row r="4" spans="1:21" x14ac:dyDescent="0.25">
      <c r="A4">
        <f>GMNS!$A$2</f>
        <v>0</v>
      </c>
      <c r="B4" t="str">
        <f t="shared" si="1"/>
        <v>000000_000000</v>
      </c>
      <c r="C4" s="1" t="s">
        <v>608</v>
      </c>
      <c r="D4" s="1" t="s">
        <v>608</v>
      </c>
      <c r="E4" t="e">
        <f>IF(Q4=0,"",'Phase calculation'!E41)</f>
        <v>#N/A</v>
      </c>
      <c r="F4" s="486" t="e">
        <f>IF(Q4=0,"",'Phase calculation'!E40)</f>
        <v>#N/A</v>
      </c>
      <c r="G4" s="1">
        <v>0</v>
      </c>
      <c r="H4">
        <f>'Phase calculation'!$C$25</f>
        <v>40</v>
      </c>
      <c r="I4" t="e">
        <f>IF(E4="","",'Phase calculation'!E34)</f>
        <v>#N/A</v>
      </c>
      <c r="J4" t="e">
        <f t="shared" si="2"/>
        <v>#N/A</v>
      </c>
      <c r="K4">
        <f t="shared" si="3"/>
        <v>2</v>
      </c>
      <c r="L4" t="s">
        <v>15</v>
      </c>
      <c r="M4" s="222" t="str">
        <f t="shared" si="4"/>
        <v>000000</v>
      </c>
      <c r="N4" s="222" t="str">
        <f t="shared" si="4"/>
        <v>000000</v>
      </c>
      <c r="O4" s="1">
        <v>0</v>
      </c>
      <c r="Q4">
        <f>Q3</f>
        <v>4</v>
      </c>
      <c r="R4">
        <f>IFERROR(INDEX(Phasing!$D$46:$K$46,1,MATCH(Q4,Phasing!$D$54:$K$54,0)),0)</f>
        <v>0</v>
      </c>
      <c r="S4">
        <f>IFERROR(INDEX(Phasing!$D$47:$K$47,1,MATCH(Q4,Phasing!$D$54:$K$54,0)),0)</f>
        <v>0</v>
      </c>
      <c r="T4" s="487" t="str">
        <f t="shared" si="0"/>
        <v>000000</v>
      </c>
      <c r="U4" s="487" t="str">
        <f t="shared" si="0"/>
        <v>000000</v>
      </c>
    </row>
    <row r="5" spans="1:21" x14ac:dyDescent="0.25">
      <c r="A5">
        <f>GMNS!$A$2</f>
        <v>0</v>
      </c>
      <c r="B5" t="str">
        <f t="shared" si="1"/>
        <v>000000_000000</v>
      </c>
      <c r="C5" s="1" t="s">
        <v>608</v>
      </c>
      <c r="D5" s="1" t="s">
        <v>608</v>
      </c>
      <c r="E5" t="e">
        <f>IF(Q5=0,"",'Phase calculation'!F41)</f>
        <v>#N/A</v>
      </c>
      <c r="F5" s="486" t="e">
        <f>IF(Q5=0,"",'Phase calculation'!F40)</f>
        <v>#N/A</v>
      </c>
      <c r="G5" s="1">
        <v>0</v>
      </c>
      <c r="H5">
        <f>'Phase calculation'!$C$25</f>
        <v>40</v>
      </c>
      <c r="I5" t="e">
        <f>IF(E5="","",IF('Phase calculation'!F34=0,'Phase calculation'!G34,'Phase calculation'!F34))</f>
        <v>#N/A</v>
      </c>
      <c r="J5" t="e">
        <f t="shared" si="2"/>
        <v>#N/A</v>
      </c>
      <c r="K5">
        <f t="shared" si="3"/>
        <v>2</v>
      </c>
      <c r="L5" t="s">
        <v>18</v>
      </c>
      <c r="M5" s="222" t="str">
        <f t="shared" si="4"/>
        <v>000000</v>
      </c>
      <c r="N5" s="222" t="str">
        <f t="shared" si="4"/>
        <v>000000</v>
      </c>
      <c r="O5" s="1">
        <v>0</v>
      </c>
      <c r="Q5">
        <f>IF('Phase calculation'!F33=0,'Phase calculation'!G33,'Phase calculation'!F33)</f>
        <v>8</v>
      </c>
      <c r="R5">
        <f>IFERROR(INDEX(Phasing!$D$46:$K$46,1,MATCH(Q5,Phasing!$D$54:$K$54,0)),0)</f>
        <v>0</v>
      </c>
      <c r="S5">
        <f>IFERROR(INDEX(Phasing!$D$47:$K$47,1,MATCH(Q5,Phasing!$D$54:$K$54,0)),0)</f>
        <v>0</v>
      </c>
      <c r="T5" s="487" t="str">
        <f t="shared" si="0"/>
        <v>000000</v>
      </c>
      <c r="U5" s="487" t="str">
        <f t="shared" si="0"/>
        <v>000000</v>
      </c>
    </row>
    <row r="6" spans="1:21" x14ac:dyDescent="0.25">
      <c r="A6">
        <f>GMNS!$A$2</f>
        <v>0</v>
      </c>
      <c r="B6" t="str">
        <f t="shared" si="1"/>
        <v>000000_000000</v>
      </c>
      <c r="C6" s="1" t="s">
        <v>608</v>
      </c>
      <c r="D6" s="1" t="s">
        <v>608</v>
      </c>
      <c r="E6" t="e">
        <f>IF(Q6=0,"",'Phase calculation'!G41)</f>
        <v>#N/A</v>
      </c>
      <c r="F6" s="486" t="e">
        <f>IF(Q6=0,"",'Phase calculation'!G40)</f>
        <v>#N/A</v>
      </c>
      <c r="G6" s="1">
        <v>0</v>
      </c>
      <c r="H6">
        <f>'Phase calculation'!$C$25</f>
        <v>40</v>
      </c>
      <c r="I6" t="e">
        <f>IF(E6="","",'Phase calculation'!G34)</f>
        <v>#N/A</v>
      </c>
      <c r="J6" t="e">
        <f t="shared" si="2"/>
        <v>#N/A</v>
      </c>
      <c r="K6">
        <f t="shared" si="3"/>
        <v>2</v>
      </c>
      <c r="L6" t="s">
        <v>19</v>
      </c>
      <c r="M6" s="222" t="str">
        <f t="shared" si="4"/>
        <v>000000</v>
      </c>
      <c r="N6" s="222" t="str">
        <f t="shared" si="4"/>
        <v>000000</v>
      </c>
      <c r="O6" s="1">
        <v>0</v>
      </c>
      <c r="Q6">
        <f>'Phase calculation'!G33</f>
        <v>8</v>
      </c>
      <c r="R6">
        <f>IFERROR(INDEX(Phasing!$D$46:$K$46,1,MATCH(Q6,Phasing!$D$54:$K$54,0)),0)</f>
        <v>0</v>
      </c>
      <c r="S6">
        <f>IFERROR(INDEX(Phasing!$D$47:$K$47,1,MATCH(Q6,Phasing!$D$54:$K$54,0)),0)</f>
        <v>0</v>
      </c>
      <c r="T6" s="487" t="str">
        <f t="shared" si="0"/>
        <v>000000</v>
      </c>
      <c r="U6" s="487" t="str">
        <f t="shared" si="0"/>
        <v>000000</v>
      </c>
    </row>
    <row r="7" spans="1:21" x14ac:dyDescent="0.25">
      <c r="A7">
        <f>GMNS!$A$2</f>
        <v>0</v>
      </c>
      <c r="B7" t="str">
        <f t="shared" si="1"/>
        <v>000000_000000</v>
      </c>
      <c r="C7" s="1" t="s">
        <v>608</v>
      </c>
      <c r="D7" s="1" t="s">
        <v>608</v>
      </c>
      <c r="E7" t="e">
        <f>IF(Q7=0,"",'Phase calculation'!H41)</f>
        <v>#N/A</v>
      </c>
      <c r="F7" s="486" t="e">
        <f>IF(Q7=0,"",'Phase calculation'!H40)</f>
        <v>#N/A</v>
      </c>
      <c r="G7" s="1">
        <v>0</v>
      </c>
      <c r="H7">
        <f>'Phase calculation'!$C$25</f>
        <v>40</v>
      </c>
      <c r="I7" t="e">
        <f>IF(E7="","",'Phase calculation'!H34)</f>
        <v>#N/A</v>
      </c>
      <c r="J7" t="e">
        <f t="shared" si="2"/>
        <v>#N/A</v>
      </c>
      <c r="K7">
        <f t="shared" si="3"/>
        <v>2</v>
      </c>
      <c r="L7" t="s">
        <v>20</v>
      </c>
      <c r="M7" s="222" t="str">
        <f t="shared" si="4"/>
        <v>000000</v>
      </c>
      <c r="N7" s="222" t="str">
        <f t="shared" si="4"/>
        <v>000000</v>
      </c>
      <c r="O7" s="1">
        <v>0</v>
      </c>
      <c r="Q7">
        <f>Q6</f>
        <v>8</v>
      </c>
      <c r="R7">
        <f>IFERROR(INDEX(Phasing!$D$46:$K$46,1,MATCH(Q7,Phasing!$D$54:$K$54,0)),0)</f>
        <v>0</v>
      </c>
      <c r="S7">
        <f>IFERROR(INDEX(Phasing!$D$47:$K$47,1,MATCH(Q7,Phasing!$D$54:$K$54,0)),0)</f>
        <v>0</v>
      </c>
      <c r="T7" s="487" t="str">
        <f t="shared" si="0"/>
        <v>000000</v>
      </c>
      <c r="U7" s="487" t="str">
        <f t="shared" si="0"/>
        <v>000000</v>
      </c>
    </row>
    <row r="8" spans="1:21" x14ac:dyDescent="0.25">
      <c r="A8">
        <f>GMNS!$A$2</f>
        <v>0</v>
      </c>
      <c r="B8" t="str">
        <f t="shared" si="1"/>
        <v>000000_000000</v>
      </c>
      <c r="C8" s="1" t="s">
        <v>608</v>
      </c>
      <c r="D8" s="1" t="s">
        <v>608</v>
      </c>
      <c r="E8" t="e">
        <f>IF(Q8=0,"",'Phase calculation'!I41)</f>
        <v>#N/A</v>
      </c>
      <c r="F8" s="486" t="e">
        <f>IF(Q8=0,"",'Phase calculation'!I40)</f>
        <v>#N/A</v>
      </c>
      <c r="G8" s="1">
        <v>0</v>
      </c>
      <c r="H8">
        <f>'Phase calculation'!$C$25</f>
        <v>40</v>
      </c>
      <c r="I8" t="e">
        <f>IF(E8="","",IF('Phase calculation'!I34=0,'Phase calculation'!J34,'Phase calculation'!I34))</f>
        <v>#N/A</v>
      </c>
      <c r="J8" t="e">
        <f t="shared" si="2"/>
        <v>#N/A</v>
      </c>
      <c r="K8">
        <f t="shared" si="3"/>
        <v>1</v>
      </c>
      <c r="L8" t="s">
        <v>3</v>
      </c>
      <c r="M8" s="222" t="str">
        <f t="shared" si="4"/>
        <v>000000</v>
      </c>
      <c r="N8" s="222" t="str">
        <f t="shared" si="4"/>
        <v>000000</v>
      </c>
      <c r="O8" s="1">
        <v>0</v>
      </c>
      <c r="Q8">
        <f>IF('Phase calculation'!I33=0,'Phase calculation'!J33,'Phase calculation'!I33)</f>
        <v>2</v>
      </c>
      <c r="R8">
        <f>IFERROR(INDEX(Phasing!$D$46:$K$46,1,MATCH(Q8,Phasing!$D$54:$K$54,0)),0)</f>
        <v>0</v>
      </c>
      <c r="S8">
        <f>IFERROR(INDEX(Phasing!$D$47:$K$47,1,MATCH(Q8,Phasing!$D$54:$K$54,0)),0)</f>
        <v>0</v>
      </c>
      <c r="T8" s="487" t="str">
        <f t="shared" si="0"/>
        <v>000000</v>
      </c>
      <c r="U8" s="487" t="str">
        <f t="shared" si="0"/>
        <v>000000</v>
      </c>
    </row>
    <row r="9" spans="1:21" x14ac:dyDescent="0.25">
      <c r="A9">
        <f>GMNS!$A$2</f>
        <v>0</v>
      </c>
      <c r="B9" t="str">
        <f t="shared" si="1"/>
        <v>000000_000000</v>
      </c>
      <c r="C9" s="1" t="s">
        <v>608</v>
      </c>
      <c r="D9" s="1" t="s">
        <v>608</v>
      </c>
      <c r="E9" t="e">
        <f>IF(Q9=0,"",'Phase calculation'!J41)</f>
        <v>#N/A</v>
      </c>
      <c r="F9" s="486" t="e">
        <f>IF(Q9=0,"",'Phase calculation'!J40)</f>
        <v>#N/A</v>
      </c>
      <c r="G9" s="1">
        <v>0</v>
      </c>
      <c r="H9">
        <f>'Phase calculation'!$C$25</f>
        <v>40</v>
      </c>
      <c r="I9" t="e">
        <f>IF(E9="","",'Phase calculation'!J34)</f>
        <v>#N/A</v>
      </c>
      <c r="J9" t="e">
        <f t="shared" si="2"/>
        <v>#N/A</v>
      </c>
      <c r="K9">
        <f t="shared" si="3"/>
        <v>1</v>
      </c>
      <c r="L9" t="s">
        <v>4</v>
      </c>
      <c r="M9" s="222" t="str">
        <f t="shared" si="4"/>
        <v>000000</v>
      </c>
      <c r="N9" s="222" t="str">
        <f t="shared" si="4"/>
        <v>000000</v>
      </c>
      <c r="O9" s="1">
        <v>0</v>
      </c>
      <c r="Q9">
        <f>'Phase calculation'!J33</f>
        <v>2</v>
      </c>
      <c r="R9">
        <f>IFERROR(INDEX(Phasing!$D$46:$K$46,1,MATCH(Q9,Phasing!$D$54:$K$54,0)),0)</f>
        <v>0</v>
      </c>
      <c r="S9">
        <f>IFERROR(INDEX(Phasing!$D$47:$K$47,1,MATCH(Q9,Phasing!$D$54:$K$54,0)),0)</f>
        <v>0</v>
      </c>
      <c r="T9" s="487" t="str">
        <f t="shared" si="0"/>
        <v>000000</v>
      </c>
      <c r="U9" s="487" t="str">
        <f t="shared" si="0"/>
        <v>000000</v>
      </c>
    </row>
    <row r="10" spans="1:21" x14ac:dyDescent="0.25">
      <c r="A10">
        <f>GMNS!$A$2</f>
        <v>0</v>
      </c>
      <c r="B10" t="str">
        <f t="shared" si="1"/>
        <v>000000_000000</v>
      </c>
      <c r="C10" s="1" t="s">
        <v>608</v>
      </c>
      <c r="D10" s="1" t="s">
        <v>608</v>
      </c>
      <c r="E10" t="e">
        <f>IF(Q10=0,"",'Phase calculation'!K41)</f>
        <v>#N/A</v>
      </c>
      <c r="F10" s="486" t="e">
        <f>IF(Q10=0,"",'Phase calculation'!K40)</f>
        <v>#N/A</v>
      </c>
      <c r="G10" s="1">
        <v>0</v>
      </c>
      <c r="H10">
        <f>'Phase calculation'!$C$25</f>
        <v>40</v>
      </c>
      <c r="I10" t="e">
        <f>IF(E10="","",'Phase calculation'!K34)</f>
        <v>#N/A</v>
      </c>
      <c r="J10" t="e">
        <f t="shared" si="2"/>
        <v>#N/A</v>
      </c>
      <c r="K10">
        <f t="shared" si="3"/>
        <v>1</v>
      </c>
      <c r="L10" t="s">
        <v>5</v>
      </c>
      <c r="M10" s="222" t="str">
        <f t="shared" si="4"/>
        <v>000000</v>
      </c>
      <c r="N10" s="222" t="str">
        <f t="shared" si="4"/>
        <v>000000</v>
      </c>
      <c r="O10" s="1">
        <v>0</v>
      </c>
      <c r="Q10">
        <f>Q9</f>
        <v>2</v>
      </c>
      <c r="R10">
        <f>IFERROR(INDEX(Phasing!$D$46:$K$46,1,MATCH(Q10,Phasing!$D$54:$K$54,0)),0)</f>
        <v>0</v>
      </c>
      <c r="S10">
        <f>IFERROR(INDEX(Phasing!$D$47:$K$47,1,MATCH(Q10,Phasing!$D$54:$K$54,0)),0)</f>
        <v>0</v>
      </c>
      <c r="T10" s="487" t="str">
        <f t="shared" si="0"/>
        <v>000000</v>
      </c>
      <c r="U10" s="487" t="str">
        <f t="shared" si="0"/>
        <v>000000</v>
      </c>
    </row>
    <row r="11" spans="1:21" x14ac:dyDescent="0.25">
      <c r="A11">
        <f>GMNS!$A$2</f>
        <v>0</v>
      </c>
      <c r="B11" t="str">
        <f t="shared" si="1"/>
        <v>000000_000000</v>
      </c>
      <c r="C11" s="1" t="s">
        <v>608</v>
      </c>
      <c r="D11" s="1" t="s">
        <v>608</v>
      </c>
      <c r="E11" t="e">
        <f>IF(Q11=0,"",'Phase calculation'!L41)</f>
        <v>#N/A</v>
      </c>
      <c r="F11" s="486" t="e">
        <f>IF(Q11=0,"",'Phase calculation'!L40)</f>
        <v>#N/A</v>
      </c>
      <c r="G11" s="1">
        <v>0</v>
      </c>
      <c r="H11">
        <f>'Phase calculation'!$C$25</f>
        <v>40</v>
      </c>
      <c r="I11" t="e">
        <f>IF(E11="","",IF('Phase calculation'!L34=0,'Phase calculation'!M34,'Phase calculation'!L34))</f>
        <v>#N/A</v>
      </c>
      <c r="J11" t="e">
        <f t="shared" si="2"/>
        <v>#N/A</v>
      </c>
      <c r="K11">
        <f t="shared" si="3"/>
        <v>1</v>
      </c>
      <c r="L11" t="s">
        <v>8</v>
      </c>
      <c r="M11" s="222" t="str">
        <f t="shared" si="4"/>
        <v>000000</v>
      </c>
      <c r="N11" s="222" t="str">
        <f t="shared" si="4"/>
        <v>000000</v>
      </c>
      <c r="O11" s="1">
        <v>0</v>
      </c>
      <c r="Q11">
        <f>IF('Phase calculation'!L33=0,'Phase calculation'!M33,'Phase calculation'!L33)</f>
        <v>6</v>
      </c>
      <c r="R11">
        <f>IFERROR(INDEX(Phasing!$D$46:$K$46,1,MATCH(Q11,Phasing!$D$54:$K$54,0)),0)</f>
        <v>0</v>
      </c>
      <c r="S11">
        <f>IFERROR(INDEX(Phasing!$D$47:$K$47,1,MATCH(Q11,Phasing!$D$54:$K$54,0)),0)</f>
        <v>0</v>
      </c>
      <c r="T11" s="487" t="str">
        <f t="shared" si="0"/>
        <v>000000</v>
      </c>
      <c r="U11" s="487" t="str">
        <f t="shared" si="0"/>
        <v>000000</v>
      </c>
    </row>
    <row r="12" spans="1:21" x14ac:dyDescent="0.25">
      <c r="A12">
        <f>GMNS!$A$2</f>
        <v>0</v>
      </c>
      <c r="B12" t="str">
        <f t="shared" si="1"/>
        <v>000000_000000</v>
      </c>
      <c r="C12" s="1" t="s">
        <v>608</v>
      </c>
      <c r="D12" s="1" t="s">
        <v>608</v>
      </c>
      <c r="E12" t="e">
        <f>IF(Q12=0,"",'Phase calculation'!M41)</f>
        <v>#N/A</v>
      </c>
      <c r="F12" s="486" t="e">
        <f>IF(Q12=0,"",'Phase calculation'!M40)</f>
        <v>#N/A</v>
      </c>
      <c r="G12" s="1">
        <v>0</v>
      </c>
      <c r="H12">
        <f>'Phase calculation'!$C$25</f>
        <v>40</v>
      </c>
      <c r="I12" t="e">
        <f>IF(E12="","",'Phase calculation'!M34)</f>
        <v>#N/A</v>
      </c>
      <c r="J12" t="e">
        <f t="shared" si="2"/>
        <v>#N/A</v>
      </c>
      <c r="K12">
        <f t="shared" si="3"/>
        <v>1</v>
      </c>
      <c r="L12" t="s">
        <v>9</v>
      </c>
      <c r="M12" s="222" t="str">
        <f t="shared" si="4"/>
        <v>000000</v>
      </c>
      <c r="N12" s="222" t="str">
        <f t="shared" si="4"/>
        <v>000000</v>
      </c>
      <c r="O12" s="1">
        <v>0</v>
      </c>
      <c r="Q12">
        <f>'Phase calculation'!M33</f>
        <v>6</v>
      </c>
      <c r="R12">
        <f>IFERROR(INDEX(Phasing!$D$46:$K$46,1,MATCH(Q12,Phasing!$D$54:$K$54,0)),0)</f>
        <v>0</v>
      </c>
      <c r="S12">
        <f>IFERROR(INDEX(Phasing!$D$47:$K$47,1,MATCH(Q12,Phasing!$D$54:$K$54,0)),0)</f>
        <v>0</v>
      </c>
      <c r="T12" s="487" t="str">
        <f t="shared" si="0"/>
        <v>000000</v>
      </c>
      <c r="U12" s="487" t="str">
        <f t="shared" si="0"/>
        <v>000000</v>
      </c>
    </row>
    <row r="13" spans="1:21" x14ac:dyDescent="0.25">
      <c r="A13">
        <f>GMNS!$A$2</f>
        <v>0</v>
      </c>
      <c r="B13" t="str">
        <f t="shared" si="1"/>
        <v>000000_000000</v>
      </c>
      <c r="C13" s="1" t="s">
        <v>608</v>
      </c>
      <c r="D13" s="1" t="s">
        <v>608</v>
      </c>
      <c r="E13" t="e">
        <f>IF(Q13=0,"",'Phase calculation'!N41)</f>
        <v>#N/A</v>
      </c>
      <c r="F13" s="486" t="e">
        <f>IF(Q13=0,"",'Phase calculation'!N40)</f>
        <v>#N/A</v>
      </c>
      <c r="G13" s="1">
        <v>0</v>
      </c>
      <c r="H13">
        <f>'Phase calculation'!$C$25</f>
        <v>40</v>
      </c>
      <c r="I13" t="e">
        <f>IF(E13="","",'Phase calculation'!N34)</f>
        <v>#N/A</v>
      </c>
      <c r="J13" t="e">
        <f t="shared" si="2"/>
        <v>#N/A</v>
      </c>
      <c r="K13">
        <f t="shared" si="3"/>
        <v>1</v>
      </c>
      <c r="L13" t="s">
        <v>10</v>
      </c>
      <c r="M13" s="222" t="str">
        <f t="shared" si="4"/>
        <v>000000</v>
      </c>
      <c r="N13" s="222" t="str">
        <f t="shared" si="4"/>
        <v>000000</v>
      </c>
      <c r="O13" s="1">
        <v>0</v>
      </c>
      <c r="Q13">
        <f>Q12</f>
        <v>6</v>
      </c>
      <c r="R13">
        <f>IFERROR(INDEX(Phasing!$D$46:$K$46,1,MATCH(Q13,Phasing!$D$54:$K$54,0)),0)</f>
        <v>0</v>
      </c>
      <c r="S13">
        <f>IFERROR(INDEX(Phasing!$D$47:$K$47,1,MATCH(Q13,Phasing!$D$54:$K$54,0)),0)</f>
        <v>0</v>
      </c>
      <c r="T13" s="487" t="str">
        <f t="shared" si="0"/>
        <v>000000</v>
      </c>
      <c r="U13" s="487"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19" t="s">
        <v>281</v>
      </c>
      <c r="D2" s="519"/>
      <c r="E2" s="519"/>
      <c r="F2" s="519"/>
      <c r="G2" s="519"/>
    </row>
    <row r="3" spans="1:8" x14ac:dyDescent="0.25">
      <c r="A3" t="s">
        <v>280</v>
      </c>
      <c r="B3" s="1" t="s">
        <v>261</v>
      </c>
      <c r="C3" s="76">
        <v>30</v>
      </c>
      <c r="D3" s="76">
        <v>50</v>
      </c>
      <c r="E3" s="76">
        <v>70</v>
      </c>
      <c r="F3" s="76">
        <v>90</v>
      </c>
      <c r="G3" s="76">
        <v>110</v>
      </c>
      <c r="H3" s="47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72" t="s">
        <v>305</v>
      </c>
      <c r="C1" s="572"/>
      <c r="D1" s="572"/>
    </row>
    <row r="2" spans="2:9" x14ac:dyDescent="0.25">
      <c r="B2" s="209"/>
      <c r="C2" s="572" t="s">
        <v>293</v>
      </c>
      <c r="D2" s="572"/>
    </row>
    <row r="3" spans="2:9" x14ac:dyDescent="0.25">
      <c r="B3" s="207" t="s">
        <v>292</v>
      </c>
      <c r="C3" s="171">
        <v>3</v>
      </c>
      <c r="D3" s="207">
        <v>4</v>
      </c>
      <c r="G3" s="217" t="s">
        <v>292</v>
      </c>
      <c r="H3" s="220" t="s">
        <v>306</v>
      </c>
      <c r="I3" s="43" t="s">
        <v>307</v>
      </c>
    </row>
    <row r="4" spans="2:9" x14ac:dyDescent="0.25">
      <c r="B4" s="208">
        <v>20</v>
      </c>
      <c r="C4" s="209">
        <v>90</v>
      </c>
      <c r="D4" s="208">
        <v>115</v>
      </c>
      <c r="G4" s="218">
        <v>25</v>
      </c>
      <c r="H4" s="65">
        <v>60</v>
      </c>
      <c r="I4" s="219">
        <v>0.8</v>
      </c>
    </row>
    <row r="5" spans="2:9" x14ac:dyDescent="0.25">
      <c r="B5" s="208">
        <v>25</v>
      </c>
      <c r="C5" s="209">
        <v>110</v>
      </c>
      <c r="D5" s="208">
        <v>145</v>
      </c>
      <c r="G5" s="218">
        <v>30</v>
      </c>
      <c r="H5" s="65">
        <v>60</v>
      </c>
      <c r="I5" s="219">
        <v>2.1</v>
      </c>
    </row>
    <row r="6" spans="2:9" x14ac:dyDescent="0.25">
      <c r="B6" s="208">
        <v>30</v>
      </c>
      <c r="C6" s="209">
        <v>130</v>
      </c>
      <c r="D6" s="208">
        <v>175</v>
      </c>
      <c r="G6" s="218">
        <v>35</v>
      </c>
      <c r="H6" s="65">
        <v>55</v>
      </c>
      <c r="I6" s="219">
        <v>1</v>
      </c>
    </row>
    <row r="7" spans="2:9" x14ac:dyDescent="0.25">
      <c r="B7" s="208">
        <v>35</v>
      </c>
      <c r="C7" s="209">
        <v>155</v>
      </c>
      <c r="D7" s="208">
        <v>205</v>
      </c>
      <c r="G7" s="218">
        <v>40</v>
      </c>
      <c r="H7" s="65">
        <v>70</v>
      </c>
      <c r="I7" s="219">
        <v>1.6</v>
      </c>
    </row>
    <row r="8" spans="2:9" x14ac:dyDescent="0.25">
      <c r="B8" s="208">
        <v>40</v>
      </c>
      <c r="C8" s="209">
        <v>180</v>
      </c>
      <c r="D8" s="208">
        <v>235</v>
      </c>
      <c r="G8" s="218">
        <v>45</v>
      </c>
      <c r="H8" s="65">
        <v>75</v>
      </c>
      <c r="I8" s="219">
        <v>1</v>
      </c>
    </row>
    <row r="9" spans="2:9" x14ac:dyDescent="0.25">
      <c r="B9" s="208">
        <v>45</v>
      </c>
      <c r="C9" s="209">
        <v>200</v>
      </c>
      <c r="D9" s="208">
        <v>265</v>
      </c>
      <c r="G9" s="218">
        <v>50</v>
      </c>
      <c r="H9" s="65">
        <v>75</v>
      </c>
      <c r="I9" s="219">
        <v>1</v>
      </c>
    </row>
    <row r="10" spans="2:9" x14ac:dyDescent="0.25">
      <c r="B10" s="208">
        <v>50</v>
      </c>
      <c r="D10" s="208">
        <v>265</v>
      </c>
      <c r="G10" s="218">
        <v>55</v>
      </c>
      <c r="H10" s="65">
        <v>75</v>
      </c>
      <c r="I10" s="219">
        <v>1</v>
      </c>
    </row>
    <row r="11" spans="2:9" x14ac:dyDescent="0.25">
      <c r="B11" s="208">
        <v>55</v>
      </c>
      <c r="D11" s="208">
        <v>265</v>
      </c>
    </row>
    <row r="16" spans="2:9" x14ac:dyDescent="0.25">
      <c r="B16" s="219" t="s">
        <v>309</v>
      </c>
      <c r="C16" s="516" t="s">
        <v>310</v>
      </c>
      <c r="D16" s="516"/>
      <c r="E16" s="516"/>
      <c r="F16" s="516"/>
      <c r="G16" s="516"/>
      <c r="H16" s="516"/>
      <c r="I16" s="516"/>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16" t="s">
        <v>314</v>
      </c>
      <c r="D25" s="516"/>
      <c r="E25" s="516"/>
      <c r="F25" s="516"/>
      <c r="G25" s="516"/>
      <c r="H25" s="516"/>
      <c r="I25" s="516"/>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2022-09-06T21:57:26Z</dcterms:modified>
</cp:coreProperties>
</file>