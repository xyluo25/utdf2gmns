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5877726B-CFE1-4459-B4DC-47076821E49B}"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132" i="4" l="1"/>
  <c r="C7" i="4"/>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K83" i="7"/>
  <c r="Y36" i="4"/>
  <c r="Z36" i="4"/>
  <c r="B52" i="1"/>
  <c r="Q65" i="4"/>
  <c r="Q35" i="4"/>
  <c r="T28" i="4"/>
  <c r="F82" i="4" s="1"/>
  <c r="E48" i="2"/>
  <c r="D48" i="2"/>
  <c r="S28" i="4"/>
  <c r="D82" i="4" s="1"/>
  <c r="C48" i="2"/>
  <c r="R28" i="4"/>
  <c r="C82" i="4" s="1"/>
  <c r="N155" i="4" l="1"/>
  <c r="N158" i="4"/>
  <c r="D13"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S40" i="4"/>
  <c r="AU40" i="4"/>
  <c r="AV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C34" i="4" s="1"/>
  <c r="C39" i="4" s="1"/>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G34" i="4"/>
  <c r="H29" i="7" s="1"/>
  <c r="B29" i="7"/>
  <c r="H30" i="9"/>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l="1"/>
  <c r="H14" i="9"/>
  <c r="H34" i="9" s="1"/>
  <c r="G47" i="1" s="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19" i="9"/>
  <c r="I62" i="4" l="1"/>
  <c r="K39" i="4"/>
  <c r="K37" i="4"/>
  <c r="F35" i="7"/>
  <c r="L67" i="4"/>
  <c r="K84" i="7"/>
  <c r="H94" i="7" s="1"/>
  <c r="S8" i="9"/>
  <c r="I35"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37" i="9" l="1"/>
  <c r="G50" i="1" s="1"/>
  <c r="H56" i="9"/>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I73" i="4"/>
  <c r="I77" i="4" s="1"/>
  <c r="I103" i="4" s="1"/>
  <c r="I60" i="4" s="1"/>
  <c r="I63" i="4"/>
  <c r="Y36" i="9"/>
  <c r="AE36" i="9" s="1"/>
  <c r="H58" i="9"/>
  <c r="H21" i="9"/>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L68" i="4" l="1"/>
  <c r="L54" i="4" s="1"/>
  <c r="I39" i="1" s="1"/>
  <c r="L37" i="4"/>
  <c r="H24" i="9"/>
  <c r="H48" i="9"/>
  <c r="G61" i="1" s="1"/>
  <c r="H22" i="9"/>
  <c r="H49" i="9" s="1"/>
  <c r="G62" i="1" s="1"/>
  <c r="X36" i="9"/>
  <c r="AD36" i="9" s="1"/>
  <c r="AF36" i="9" s="1"/>
  <c r="G45" i="1"/>
  <c r="G44" i="1" s="1"/>
  <c r="B20" i="21"/>
  <c r="H63" i="9"/>
  <c r="H64" i="9" s="1"/>
  <c r="H65" i="9" s="1"/>
  <c r="I62" i="9" s="1"/>
  <c r="I96" i="4"/>
  <c r="I58" i="4" s="1"/>
  <c r="I64" i="4"/>
  <c r="I68" i="4" s="1"/>
  <c r="I54" i="4" s="1"/>
  <c r="D39" i="1" s="1"/>
  <c r="I37" i="4"/>
  <c r="AA36" i="9"/>
  <c r="H59" i="9"/>
  <c r="Z36"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C30" i="21"/>
  <c r="C20" i="21"/>
  <c r="D20" i="21" s="1"/>
  <c r="H25" i="9"/>
  <c r="H52" i="9" s="1"/>
  <c r="G65" i="1" s="1"/>
  <c r="H51" i="9"/>
  <c r="G64" i="1" s="1"/>
  <c r="J59" i="1"/>
  <c r="T35" i="1" s="1"/>
  <c r="U35" i="1" s="1"/>
  <c r="R10" i="22"/>
  <c r="T10" i="22" s="1"/>
  <c r="M10" i="22" s="1"/>
  <c r="R9" i="22"/>
  <c r="T9" i="22" s="1"/>
  <c r="M9" i="22" s="1"/>
  <c r="R8" i="22"/>
  <c r="T8" i="22" s="1"/>
  <c r="M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D30" i="21" l="1"/>
  <c r="G30" i="21"/>
  <c r="E30" i="21"/>
  <c r="J30" i="21"/>
  <c r="F30" i="21"/>
  <c r="A30"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<sst xmlns="http://schemas.openxmlformats.org/spreadsheetml/2006/main" count="4085" uniqueCount="743">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</sst>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Aztec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1224.5</v>
      </c>
      <c r="E22">
        <f>'Input sheet'!$V$3</f>
        <v>1224.5</v>
      </c>
      <c r="F22">
        <f>'Input sheet'!$V$3</f>
        <v>1224.5</v>
      </c>
      <c r="I22">
        <f>'Input sheet'!$V$3</f>
        <v>1224.5</v>
      </c>
      <c r="J22">
        <f>'Input sheet'!$V$3</f>
        <v>1224.5</v>
      </c>
      <c r="K22">
        <f>'Input sheet'!$V$3</f>
        <v>1224.5</v>
      </c>
      <c r="N22">
        <f>'Input sheet'!$V$3</f>
        <v>1224.5</v>
      </c>
      <c r="O22">
        <f>'Input sheet'!$V$3</f>
        <v>1224.5</v>
      </c>
      <c r="P22">
        <f>'Input sheet'!$V$3</f>
        <v>1224.5</v>
      </c>
      <c r="S22">
        <f>'Input sheet'!$V$3</f>
        <v>1224.5</v>
      </c>
      <c r="T22">
        <f>'Input sheet'!$V$3</f>
        <v>1224.5</v>
      </c>
      <c r="U22">
        <f>'Input sheet'!$V$3</f>
        <v>1224.5</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25">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Aztec Rd</v>
      </c>
      <c r="T38" s="81" t="str">
        <f>'Input sheet'!R13</f>
        <v>Aztec Rd</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Aztec Rd</v>
      </c>
      <c r="C43" s="2">
        <f>Phasing!D30</f>
        <v>0</v>
      </c>
      <c r="D43" s="2">
        <f>Phasing!E30</f>
        <v>112</v>
      </c>
      <c r="E43" s="2">
        <f>Phasing!F30</f>
        <v>0</v>
      </c>
      <c r="F43" s="2">
        <f>Phasing!G30</f>
        <v>211</v>
      </c>
      <c r="G43" s="2">
        <f>Phasing!H30</f>
        <v>121</v>
      </c>
      <c r="H43" s="2">
        <f>Phasing!I30</f>
        <v>122</v>
      </c>
      <c r="I43" s="2">
        <f>Phasing!J30</f>
        <v>221</v>
      </c>
      <c r="J43" s="2">
        <f>Phasing!K30</f>
        <v>222</v>
      </c>
      <c r="O43" s="269" t="s">
        <v>203</v>
      </c>
      <c r="P43" s="269"/>
      <c r="Q43" s="269"/>
      <c r="R43" s="269"/>
      <c r="S43" s="269"/>
      <c r="T43" s="269"/>
      <c r="U43" s="269"/>
      <c r="V43" s="269"/>
    </row>
    <row r="44" spans="1:31" x14ac:dyDescent="0.25">
      <c r="A44" s="2" t="s">
        <v>255</v>
      </c>
      <c r="B44" t="str">
        <f>Phasing!C31</f>
        <v>SR 95 &amp; Aztec Rd</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Aztec Rd</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Aztec Rd</v>
      </c>
      <c r="C46" s="2">
        <f>Phasing!D33</f>
        <v>0</v>
      </c>
      <c r="D46" s="2" t="e">
        <f>Phasing!E33</f>
        <v>#N/A</v>
      </c>
      <c r="E46" s="2">
        <f>Phasing!F33</f>
        <v>0</v>
      </c>
      <c r="F46" s="2" t="e">
        <f>Phasing!G33</f>
        <v>#N/A</v>
      </c>
      <c r="G46" s="2" t="e">
        <f>Phasing!H33</f>
        <v>#N/A</v>
      </c>
      <c r="H46" s="2" t="e">
        <f>Phasing!I33</f>
        <v>#N/A</v>
      </c>
      <c r="I46" s="2" t="e">
        <f>Phasing!J33</f>
        <v>#N/A</v>
      </c>
      <c r="J46" s="2" t="e">
        <f>Phasing!K33</f>
        <v>#N/A</v>
      </c>
      <c r="X46" s="267"/>
      <c r="Y46" s="267"/>
      <c r="Z46" s="267"/>
      <c r="AA46" s="267"/>
      <c r="AB46" s="267"/>
      <c r="AC46" s="267"/>
      <c r="AD46" s="267"/>
      <c r="AE46" s="267"/>
    </row>
    <row r="47" spans="1:31" ht="15" customHeight="1" x14ac:dyDescent="0.25">
      <c r="A47" s="2" t="s">
        <v>258</v>
      </c>
      <c r="B47" t="str">
        <f>Phasing!C34</f>
        <v>SR 95 &amp; Aztec Rd</v>
      </c>
      <c r="C47" s="2">
        <f>Phasing!D34</f>
        <v>0</v>
      </c>
      <c r="D47" s="2">
        <f>Phasing!E34</f>
        <v>10</v>
      </c>
      <c r="E47" s="2">
        <f>Phasing!F34</f>
        <v>0</v>
      </c>
      <c r="F47" s="2">
        <f>Phasing!G34</f>
        <v>10</v>
      </c>
      <c r="G47" s="2">
        <f>Phasing!H34</f>
        <v>10</v>
      </c>
      <c r="H47" s="2">
        <f>Phasing!I34</f>
        <v>10</v>
      </c>
      <c r="I47" s="2">
        <f>Phasing!J34</f>
        <v>10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Aztec Rd</v>
      </c>
      <c r="C48" s="2">
        <f>Phasing!D35</f>
        <v>0</v>
      </c>
      <c r="D48" s="2">
        <f>Phasing!E35</f>
        <v>8</v>
      </c>
      <c r="E48" s="2">
        <f>Phasing!F35</f>
        <v>0</v>
      </c>
      <c r="F48" s="2">
        <f>Phasing!G35</f>
        <v>13</v>
      </c>
      <c r="G48" s="2">
        <f>Phasing!H35</f>
        <v>15</v>
      </c>
      <c r="H48" s="2">
        <f>Phasing!I35</f>
        <v>18</v>
      </c>
      <c r="I48" s="2">
        <f>Phasing!J35</f>
        <v>20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Aztec Rd</v>
      </c>
      <c r="C49" s="2">
        <f>Phasing!D36</f>
        <v>0</v>
      </c>
      <c r="D49" s="2" t="e">
        <f>Phasing!E36</f>
        <v>#N/A</v>
      </c>
      <c r="E49" s="2">
        <f>Phasing!F36</f>
        <v>0</v>
      </c>
      <c r="F49" s="2" t="e">
        <f>Phasing!G36</f>
        <v>#N/A</v>
      </c>
      <c r="G49" s="2" t="e">
        <f>Phasing!H36</f>
        <v>#N/A</v>
      </c>
      <c r="H49" s="2" t="e">
        <f>Phasing!I36</f>
        <v>#N/A</v>
      </c>
      <c r="I49" s="2" t="e">
        <f>Phasing!J36</f>
        <v>#N/A</v>
      </c>
      <c r="J49" s="2" t="e">
        <f>Phasing!K36</f>
        <v>#N/A</v>
      </c>
      <c r="O49" s="268"/>
      <c r="P49" s="268"/>
      <c r="Q49" s="268"/>
      <c r="R49" s="268"/>
      <c r="S49" s="268"/>
      <c r="T49" s="268"/>
      <c r="U49" s="268"/>
      <c r="V49" s="268"/>
    </row>
    <row r="50" spans="1:22" x14ac:dyDescent="0.25">
      <c r="A50" s="2" t="s">
        <v>261</v>
      </c>
      <c r="B50" t="str">
        <f>Phasing!C37</f>
        <v>SR 95 &amp; Aztec Rd</v>
      </c>
      <c r="C50" s="2">
        <f>Phasing!D37</f>
        <v>0</v>
      </c>
      <c r="D50" s="2">
        <f>Phasing!E37</f>
        <v>5.4</v>
      </c>
      <c r="E50" s="2">
        <f>Phasing!F37</f>
        <v>0</v>
      </c>
      <c r="F50" s="2">
        <f>Phasing!G37</f>
        <v>5.4</v>
      </c>
      <c r="G50" s="2">
        <f>Phasing!H37</f>
        <v>3</v>
      </c>
      <c r="H50" s="2">
        <f>Phasing!I37</f>
        <v>5.4</v>
      </c>
      <c r="I50" s="2">
        <f>Phasing!J37</f>
        <v>3</v>
      </c>
      <c r="J50" s="2">
        <f>Phasing!K37</f>
        <v>5.4</v>
      </c>
      <c r="O50" s="268"/>
      <c r="P50" s="268"/>
      <c r="Q50" s="268"/>
      <c r="R50" s="268"/>
      <c r="S50" s="268"/>
      <c r="T50" s="268"/>
      <c r="U50" s="268"/>
      <c r="V50" s="268"/>
    </row>
    <row r="51" spans="1:22" x14ac:dyDescent="0.25">
      <c r="A51" s="2" t="s">
        <v>262</v>
      </c>
      <c r="B51" t="str">
        <f>Phasing!C38</f>
        <v>SR 95 &amp; Aztec Rd</v>
      </c>
      <c r="C51" s="2">
        <f>Phasing!D38</f>
        <v>0</v>
      </c>
      <c r="D51" s="2">
        <f>Phasing!E38</f>
        <v>1.2</v>
      </c>
      <c r="E51" s="2">
        <f>Phasing!F38</f>
        <v>0</v>
      </c>
      <c r="F51" s="2">
        <f>Phasing!G38</f>
        <v>0.8</v>
      </c>
      <c r="G51" s="2">
        <f>Phasing!H38</f>
        <v>1</v>
      </c>
      <c r="H51" s="2">
        <f>Phasing!I38</f>
        <v>1.2</v>
      </c>
      <c r="I51" s="2">
        <f>Phasing!J38</f>
        <v>1</v>
      </c>
      <c r="J51" s="2">
        <f>Phasing!K38</f>
        <v>0.8</v>
      </c>
      <c r="O51" s="268"/>
      <c r="P51" s="268"/>
      <c r="Q51" s="268"/>
      <c r="R51" s="268"/>
      <c r="S51" s="268"/>
      <c r="T51" s="268"/>
      <c r="U51" s="268"/>
      <c r="V51" s="268"/>
    </row>
    <row r="52" spans="1:22" x14ac:dyDescent="0.25">
      <c r="A52" s="2" t="s">
        <v>263</v>
      </c>
      <c r="B52" t="str">
        <f>Phasing!C39</f>
        <v>SR 95 &amp; Aztec Rd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Aztec Rd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Aztec Rd</v>
      </c>
      <c r="C54" s="2">
        <f>Phasing!D41</f>
        <v>0</v>
      </c>
      <c r="D54" s="2">
        <f>Phasing!E41</f>
        <v>14</v>
      </c>
      <c r="E54" s="2">
        <f>Phasing!F41</f>
        <v>0</v>
      </c>
      <c r="F54" s="2">
        <f>Phasing!G41</f>
        <v>21</v>
      </c>
      <c r="G54" s="2">
        <f>Phasing!H41</f>
        <v>0</v>
      </c>
      <c r="H54" s="2">
        <f>Phasing!I41</f>
        <v>14</v>
      </c>
      <c r="I54" s="2">
        <f>Phasing!J41</f>
        <v>0</v>
      </c>
      <c r="J54" s="2">
        <f>Phasing!K41</f>
        <v>21</v>
      </c>
      <c r="O54" s="268"/>
      <c r="P54" s="268"/>
      <c r="Q54" s="268"/>
      <c r="R54" s="268"/>
      <c r="S54" s="268"/>
      <c r="T54" s="268"/>
      <c r="U54" s="268"/>
      <c r="V54" s="268"/>
    </row>
    <row r="55" spans="1:22" x14ac:dyDescent="0.25">
      <c r="A55" s="2" t="s">
        <v>266</v>
      </c>
      <c r="B55" t="str">
        <f>Phasing!C42</f>
        <v>SR 95 &amp; Aztec Rd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Aztec Rd</v>
      </c>
      <c r="C56" s="2">
        <f>Phasing!D43</f>
        <v>0</v>
      </c>
      <c r="D56" s="2">
        <f>Phasing!E43</f>
        <v>26</v>
      </c>
      <c r="E56" s="2">
        <f>Phasing!F43</f>
        <v>0</v>
      </c>
      <c r="F56" s="2">
        <f>Phasing!G43</f>
        <v>33</v>
      </c>
      <c r="G56" s="2">
        <f>Phasing!H43</f>
        <v>9</v>
      </c>
      <c r="H56" s="2">
        <f>Phasing!I43</f>
        <v>26</v>
      </c>
      <c r="I56" s="2">
        <f>Phasing!J43</f>
        <v>9</v>
      </c>
      <c r="J56" s="2">
        <f>Phasing!K43</f>
        <v>33</v>
      </c>
    </row>
    <row r="57" spans="1:22" x14ac:dyDescent="0.25">
      <c r="A57" s="2" t="s">
        <v>268</v>
      </c>
      <c r="B57" t="str">
        <f>Phasing!C44</f>
        <v>SR 95 &amp; Aztec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Aztec Rd</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Aztec Rd</v>
      </c>
      <c r="C59" s="2">
        <f>Phasing!D46</f>
        <v>0</v>
      </c>
      <c r="D59" s="2">
        <f>Phasing!E46</f>
        <v>0</v>
      </c>
      <c r="E59" s="2">
        <f>Phasing!F46</f>
        <v>0</v>
      </c>
      <c r="F59" s="2">
        <f>Phasing!G46</f>
        <v>36</v>
      </c>
      <c r="G59" s="2">
        <f>Phasing!H46</f>
        <v>0</v>
      </c>
      <c r="H59" s="2">
        <f>Phasing!I46</f>
        <v>9</v>
      </c>
      <c r="I59" s="2">
        <f>Phasing!J46</f>
        <v>36</v>
      </c>
      <c r="J59" s="2">
        <f>Phasing!K46</f>
        <v>45</v>
      </c>
    </row>
    <row r="60" spans="1:22" x14ac:dyDescent="0.25">
      <c r="A60" s="2" t="s">
        <v>271</v>
      </c>
      <c r="B60" t="str">
        <f>Phasing!C47</f>
        <v>SR 95 &amp; Aztec Rd</v>
      </c>
      <c r="C60" s="2">
        <f>Phasing!D47</f>
        <v>0</v>
      </c>
      <c r="D60" s="2">
        <f>Phasing!E47</f>
        <v>36</v>
      </c>
      <c r="E60" s="2">
        <f>Phasing!F47</f>
        <v>0</v>
      </c>
      <c r="F60" s="2">
        <f>Phasing!G47</f>
        <v>80</v>
      </c>
      <c r="G60" s="2">
        <f>Phasing!H47</f>
        <v>9</v>
      </c>
      <c r="H60" s="2">
        <f>Phasing!I47</f>
        <v>36</v>
      </c>
      <c r="I60" s="2">
        <f>Phasing!J47</f>
        <v>45</v>
      </c>
      <c r="J60" s="2">
        <f>Phasing!K47</f>
        <v>80</v>
      </c>
    </row>
    <row r="61" spans="1:22" x14ac:dyDescent="0.25">
      <c r="A61" s="2" t="s">
        <v>272</v>
      </c>
      <c r="B61" t="str">
        <f>Phasing!C48</f>
        <v>SR 95 &amp; Aztec Rd</v>
      </c>
      <c r="C61" s="2">
        <f>Phasing!D48</f>
        <v>0</v>
      </c>
      <c r="D61" s="2">
        <f>Phasing!E48</f>
        <v>29</v>
      </c>
      <c r="E61" s="2">
        <f>Phasing!F48</f>
        <v>0</v>
      </c>
      <c r="F61" s="2">
        <f>Phasing!G48</f>
        <v>74</v>
      </c>
      <c r="G61" s="2">
        <f>Phasing!H48</f>
        <v>5</v>
      </c>
      <c r="H61" s="2">
        <f>Phasing!I48</f>
        <v>29</v>
      </c>
      <c r="I61" s="2">
        <f>Phasing!J48</f>
        <v>41</v>
      </c>
      <c r="J61" s="2">
        <f>Phasing!K48</f>
        <v>74</v>
      </c>
    </row>
    <row r="62" spans="1:22" x14ac:dyDescent="0.25">
      <c r="A62" s="2" t="s">
        <v>273</v>
      </c>
      <c r="B62" t="str">
        <f>Phasing!C49</f>
        <v>SR 95 &amp; Aztec Rd</v>
      </c>
      <c r="C62" s="2">
        <f>Phasing!D49</f>
        <v>0</v>
      </c>
      <c r="D62" s="2">
        <f>Phasing!E49</f>
        <v>29</v>
      </c>
      <c r="E62" s="2">
        <f>Phasing!F49</f>
        <v>0</v>
      </c>
      <c r="F62" s="2">
        <f>Phasing!G49</f>
        <v>74</v>
      </c>
      <c r="G62" s="2">
        <f>Phasing!H49</f>
        <v>5</v>
      </c>
      <c r="H62" s="2">
        <f>Phasing!I49</f>
        <v>29</v>
      </c>
      <c r="I62" s="2">
        <f>Phasing!J49</f>
        <v>41</v>
      </c>
      <c r="J62" s="2">
        <f>Phasing!K49</f>
        <v>74</v>
      </c>
    </row>
    <row r="63" spans="1:22" x14ac:dyDescent="0.25">
      <c r="A63" s="2" t="s">
        <v>274</v>
      </c>
      <c r="B63" t="str">
        <f>Phasing!C50</f>
        <v>SR 95 &amp; Aztec Rd</v>
      </c>
      <c r="C63" s="2">
        <f>Phasing!D50</f>
        <v>0</v>
      </c>
      <c r="D63" s="2">
        <f>Phasing!E50</f>
        <v>0</v>
      </c>
      <c r="E63" s="2">
        <f>Phasing!F50</f>
        <v>0</v>
      </c>
      <c r="F63" s="2">
        <f>Phasing!G50</f>
        <v>36</v>
      </c>
      <c r="G63" s="2">
        <f>Phasing!H50</f>
        <v>0</v>
      </c>
      <c r="H63" s="2">
        <f>Phasing!I50</f>
        <v>9</v>
      </c>
      <c r="I63" s="2">
        <f>Phasing!J50</f>
        <v>36</v>
      </c>
      <c r="J63" s="2">
        <f>Phasing!K50</f>
        <v>45</v>
      </c>
    </row>
    <row r="64" spans="1:22" x14ac:dyDescent="0.25">
      <c r="A64" s="2" t="s">
        <v>275</v>
      </c>
      <c r="B64" t="str">
        <f>Phasing!C51</f>
        <v>SR 95 &amp; Aztec Rd</v>
      </c>
      <c r="C64" s="2">
        <f>Phasing!D51</f>
        <v>0</v>
      </c>
      <c r="D64" s="2">
        <f>Phasing!E51</f>
        <v>29</v>
      </c>
      <c r="E64" s="2">
        <f>Phasing!F51</f>
        <v>0</v>
      </c>
      <c r="F64" s="2">
        <f>Phasing!G51</f>
        <v>74</v>
      </c>
      <c r="G64" s="2">
        <f>Phasing!H51</f>
        <v>5</v>
      </c>
      <c r="H64" s="2">
        <f>Phasing!I51</f>
        <v>29</v>
      </c>
      <c r="I64" s="2">
        <f>Phasing!J51</f>
        <v>41</v>
      </c>
      <c r="J64" s="2">
        <f>Phasing!K51</f>
        <v>74</v>
      </c>
    </row>
    <row r="65" spans="1:21" x14ac:dyDescent="0.25">
      <c r="A65" s="2" t="s">
        <v>276</v>
      </c>
      <c r="B65" t="str">
        <f>Phasing!C52</f>
        <v>SR 95 &amp; Aztec Rd</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25">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25">
      <c r="A67" s="270" t="s">
        <v>73</v>
      </c>
      <c r="B67" s="270"/>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70" t="s">
        <v>461</v>
      </c>
      <c r="B68" s="270"/>
      <c r="C68" s="2" t="str">
        <f>IF(AND(C70&gt;0,C70=H70),"X","")</f>
        <v>X</v>
      </c>
      <c r="D68" s="2"/>
      <c r="E68" s="2" t="str">
        <f>IF(AND(E70&gt;0,E70=J70),"X","")</f>
        <v>X</v>
      </c>
      <c r="F68" s="2"/>
      <c r="G68" s="2" t="str">
        <f>IF(AND(G70&gt;0,G70=D70),"X","")</f>
        <v/>
      </c>
      <c r="H68" s="2"/>
      <c r="I68" s="2" t="str">
        <f>IF(AND(I70&gt;0,I70=F70),"X","")</f>
        <v/>
      </c>
      <c r="J68" s="2"/>
    </row>
    <row r="69" spans="1:21" x14ac:dyDescent="0.25">
      <c r="A69" s="270" t="s">
        <v>459</v>
      </c>
      <c r="B69" s="270"/>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71" t="s">
        <v>463</v>
      </c>
      <c r="B72" s="271"/>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25">
      <c r="A73" s="263" t="s">
        <v>464</v>
      </c>
      <c r="B73" s="263"/>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25">
      <c r="A74" s="264" t="s">
        <v>465</v>
      </c>
      <c r="B74" s="264"/>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1224.5</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Aztec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Aztec Rd</v>
      </c>
      <c r="S13" s="209"/>
      <c r="U13" s="261" t="s">
        <v>725</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95_Aztec Rd</v>
      </c>
      <c r="K14" s="213" t="str">
        <f>IF(A13=0,R13,A13)</f>
        <v>Aztec Rd</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Aztec Rd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36</v>
      </c>
      <c r="M54" s="31">
        <f>Phasing!F47</f>
        <v>0</v>
      </c>
      <c r="N54" s="31">
        <f>Phasing!G47</f>
        <v>80</v>
      </c>
      <c r="Q54" s="2"/>
      <c r="R54" s="2"/>
      <c r="S54" s="2"/>
      <c r="T54" s="2"/>
    </row>
    <row r="55" spans="2:23" x14ac:dyDescent="0.25">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25">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0</v>
      </c>
      <c r="M64" s="2">
        <f>N60</f>
        <v>0</v>
      </c>
      <c r="N64" s="2">
        <f>P60</f>
        <v>36</v>
      </c>
      <c r="O64" s="2">
        <f>Q60</f>
        <v>80</v>
      </c>
    </row>
    <row r="65" spans="9:23" x14ac:dyDescent="0.25">
      <c r="J65" t="s">
        <v>106</v>
      </c>
      <c r="K65" s="2">
        <v>0</v>
      </c>
      <c r="L65" s="2">
        <f>L61</f>
        <v>9</v>
      </c>
      <c r="M65" s="2">
        <f>N61</f>
        <v>36</v>
      </c>
      <c r="N65" s="2">
        <f>P61</f>
        <v>45</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f>IF('Phase designation'!B22=2,MAX('Lane volumes'!D48:D50),1)</f>
        <v>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f>((C26-1)+EXP(-1*C11*0.0444))/C26</f>
        <v>1</v>
      </c>
      <c r="T50" s="265"/>
      <c r="U50" t="s">
        <v>191</v>
      </c>
      <c r="V50">
        <f>((U26-1)+EXP(-1*U11*0.0444))/U26</f>
        <v>1</v>
      </c>
      <c r="AK50" s="265"/>
      <c r="AL50" t="s">
        <v>191</v>
      </c>
      <c r="AM50">
        <f>((AL26-1)+EXP(-1*AL11*0.0444))/AL26</f>
        <v>1</v>
      </c>
      <c r="BB50" s="265"/>
      <c r="BC50" t="s">
        <v>191</v>
      </c>
      <c r="BD50">
        <f>((BC26-1)+EXP(-1*BC11*0.0444))/BC26</f>
        <v>1</v>
      </c>
    </row>
    <row r="51" spans="2:57" hidden="1" x14ac:dyDescent="0.25"/>
    <row r="52" spans="2:57" hidden="1" x14ac:dyDescent="0.25">
      <c r="B52" s="265" t="s">
        <v>194</v>
      </c>
      <c r="C52" t="s">
        <v>195</v>
      </c>
      <c r="D52">
        <f>IF(C12&lt;1220,1/(1+(C34*(235+0.435*C12)/(1400-C12))),0)</f>
        <v>0.85626911314984699</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1224.5</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25">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Protected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5</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2b</v>
      </c>
      <c r="AA21" s="270"/>
      <c r="AB21" s="270" t="str">
        <f>INDEX(AD3:AD11,AB20)</f>
        <v>2b</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4" t="s">
        <v>430</v>
      </c>
      <c r="E24" s="294"/>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80</v>
      </c>
      <c r="D25" s="103" t="s">
        <v>563</v>
      </c>
      <c r="E25" s="103">
        <f>UTDF_input!C92</f>
        <v>0</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EBWBTH</v>
      </c>
      <c r="AS33" s="3">
        <f>AL16</f>
        <v>0</v>
      </c>
    </row>
    <row r="34" spans="2:59" x14ac:dyDescent="0.25">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25">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25">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25">
      <c r="C56" s="270" t="s">
        <v>13</v>
      </c>
      <c r="D56" s="270"/>
      <c r="F56" s="270" t="s">
        <v>18</v>
      </c>
      <c r="G56" s="270"/>
      <c r="I56" s="270" t="s">
        <v>3</v>
      </c>
      <c r="J56" s="270"/>
      <c r="L56" s="270" t="s">
        <v>8</v>
      </c>
      <c r="M56" s="270"/>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75" hidden="1" thickBot="1" x14ac:dyDescent="0.3">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25">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25">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25">
      <c r="B91" s="2" t="s">
        <v>342</v>
      </c>
      <c r="C91" s="2">
        <f>C3*$C$25/3600</f>
        <v>0</v>
      </c>
      <c r="F91" s="2">
        <f>F3*$C$25/3600</f>
        <v>2.2222222222222223E-2</v>
      </c>
      <c r="I91" s="2">
        <f>I3*$C$25/3600</f>
        <v>0</v>
      </c>
      <c r="L91" s="2">
        <f>L3*$C$25/3600</f>
        <v>2.2222222222222223E-2</v>
      </c>
    </row>
    <row r="92" spans="2:21" hidden="1" x14ac:dyDescent="0.25">
      <c r="B92" s="2" t="s">
        <v>341</v>
      </c>
      <c r="C92" s="2">
        <f>MAX(C90*EXP(-0.86*(C91^0.629)-C73),0)</f>
        <v>5</v>
      </c>
      <c r="F92" s="2" t="e">
        <f>MAX(F90*EXP(-0.86*(F91^0.629)-F73),0)</f>
        <v>#N/A</v>
      </c>
      <c r="I92" s="2">
        <f>MAX(I90*EXP(-0.86*(I91^0.629)-I73),0)</f>
        <v>5</v>
      </c>
      <c r="L92" s="2" t="e">
        <f>MAX(L90*EXP(-0.86*(L91^0.629)-L73),0)</f>
        <v>#N/A</v>
      </c>
    </row>
    <row r="93" spans="2:21" hidden="1" x14ac:dyDescent="0.25">
      <c r="B93" s="2" t="s">
        <v>343</v>
      </c>
      <c r="C93" s="2">
        <f>MAX(C90*EXP(-0.882*(C91^0.717)-C73),0)</f>
        <v>5</v>
      </c>
      <c r="F93" s="2" t="e">
        <f>MAX(F90*EXP(-0.882*(F91^0.717)-F73),0)</f>
        <v>#N/A</v>
      </c>
      <c r="I93" s="2">
        <f>MAX(I90*EXP(-0.882*(I91^0.717)-I73),0)</f>
        <v>5</v>
      </c>
      <c r="L93" s="2" t="e">
        <f>MAX(L90*EXP(-0.882*(L91^0.717)-L73),0)</f>
        <v>#N/A</v>
      </c>
    </row>
    <row r="94" spans="2:21" hidden="1" x14ac:dyDescent="0.25">
      <c r="B94" s="2" t="s">
        <v>340</v>
      </c>
      <c r="C94" s="2">
        <f>IF(SUM(C6:E6)=1,C92,C93)</f>
        <v>5</v>
      </c>
      <c r="F94" s="2" t="e">
        <f>IF(SUM(F6:H6)=1,F92,F93)</f>
        <v>#N/A</v>
      </c>
      <c r="I94" s="2">
        <f>IF(SUM(I6:K6)=1,I92,I93)</f>
        <v>5</v>
      </c>
      <c r="L94" s="2" t="e">
        <f>IF(SUM(L6:N6)=1,L92,L93)</f>
        <v>#N/A</v>
      </c>
    </row>
    <row r="95" spans="2:21" hidden="1" x14ac:dyDescent="0.25"/>
    <row r="96" spans="2:21" hidden="1" x14ac:dyDescent="0.25">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0.85093815149409313</v>
      </c>
      <c r="I98" s="2">
        <f>IF(I14=0,0,$S$2/I14)</f>
        <v>0</v>
      </c>
      <c r="L98" s="2">
        <f>IF(L14=0,0,$S$2/L14)</f>
        <v>0.85093815149409313</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16.800000000000004</v>
      </c>
      <c r="G107" s="2">
        <f>G37-Phasing!R19</f>
        <v>7.8000000000000007</v>
      </c>
      <c r="J107" s="2">
        <f>J37-Phasing!T19</f>
        <v>15.400000000000002</v>
      </c>
      <c r="M107" s="24">
        <f>M37-Phasing!V19</f>
        <v>6.4000000000000021</v>
      </c>
    </row>
    <row r="108" spans="1:13" hidden="1" x14ac:dyDescent="0.25">
      <c r="A108" s="283"/>
      <c r="B108" s="2" t="s">
        <v>471</v>
      </c>
      <c r="D108" s="2">
        <f>D107+4</f>
        <v>20.800000000000004</v>
      </c>
      <c r="G108" s="2">
        <f>G107+4</f>
        <v>11.8</v>
      </c>
      <c r="J108" s="2">
        <f>J107+4</f>
        <v>19.400000000000002</v>
      </c>
      <c r="M108" s="24">
        <f>M107+4</f>
        <v>10.400000000000002</v>
      </c>
    </row>
    <row r="109" spans="1:13" hidden="1" x14ac:dyDescent="0.25">
      <c r="A109" s="283"/>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48</v>
      </c>
      <c r="H113" s="165"/>
      <c r="I113" s="165"/>
      <c r="J113" s="165">
        <f>Phasing!T3</f>
        <v>72</v>
      </c>
      <c r="K113" s="165"/>
      <c r="L113" s="165"/>
      <c r="M113" s="219">
        <f>Phasing!V3</f>
        <v>72</v>
      </c>
    </row>
    <row r="114" spans="1:58" hidden="1" x14ac:dyDescent="0.25">
      <c r="A114" s="297"/>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25">
      <c r="A118" s="283"/>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3"/>
      <c r="B119" s="2" t="s">
        <v>483</v>
      </c>
      <c r="D119" s="165">
        <f>D38</f>
        <v>40</v>
      </c>
      <c r="E119" s="165"/>
      <c r="F119" s="165"/>
      <c r="G119" s="165">
        <f>G38</f>
        <v>31</v>
      </c>
      <c r="H119" s="165"/>
      <c r="I119" s="165"/>
      <c r="J119" s="165">
        <f>J38</f>
        <v>32</v>
      </c>
      <c r="K119" s="165"/>
      <c r="L119" s="165"/>
      <c r="M119" s="219">
        <f>M38</f>
        <v>23</v>
      </c>
    </row>
    <row r="120" spans="1:58" hidden="1" x14ac:dyDescent="0.25">
      <c r="A120" s="283"/>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25">
      <c r="A121" s="297"/>
      <c r="B121" s="159" t="s">
        <v>484</v>
      </c>
      <c r="C121" s="159"/>
      <c r="D121" s="218">
        <f>(D118*D120+G118*G120+J118*J120+M118*M120)/3600</f>
        <v>1.5266883877694851E-2</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40</v>
      </c>
      <c r="E144" s="165"/>
      <c r="F144" s="165"/>
      <c r="G144" s="165">
        <f>G38</f>
        <v>31</v>
      </c>
      <c r="H144" s="165"/>
      <c r="I144" s="165"/>
      <c r="J144" s="165">
        <f>J38</f>
        <v>32</v>
      </c>
      <c r="K144" s="165"/>
      <c r="L144" s="165"/>
      <c r="M144" s="219">
        <f>M38</f>
        <v>23</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Aztec Rd</v>
      </c>
      <c r="D155" s="2" t="str">
        <f>IF(D150=0,"",Sheet1!$B$2)</f>
        <v>SR 95 &amp; Aztec Rd</v>
      </c>
      <c r="E155" s="2" t="str">
        <f>IF(E150=0,"",Sheet1!$B$2)</f>
        <v>SR 95 &amp; Aztec Rd</v>
      </c>
      <c r="F155" s="2" t="str">
        <f>IF(F150=0,"",Sheet1!$B$2)</f>
        <v>SR 95 &amp; Aztec Rd</v>
      </c>
      <c r="G155" s="2" t="str">
        <f>IF(G150=0,"",Sheet1!$B$2)</f>
        <v>SR 95 &amp; Aztec Rd</v>
      </c>
      <c r="H155" s="2" t="str">
        <f>IF(H150=0,"",Sheet1!$B$2)</f>
        <v>SR 95 &amp; Aztec Rd</v>
      </c>
      <c r="I155" s="2" t="str">
        <f>IF(I150=0,"",Sheet1!$B$2)</f>
        <v>SR 95 &amp; Aztec Rd</v>
      </c>
      <c r="J155" s="2" t="str">
        <f>IF(J150=0,"",Sheet1!$B$2)</f>
        <v>SR 95 &amp; Aztec Rd</v>
      </c>
      <c r="K155" s="2" t="str">
        <f>IF(K150=0,"",Sheet1!$B$2)</f>
        <v>SR 95 &amp; Aztec Rd</v>
      </c>
      <c r="L155" s="2" t="str">
        <f>IF(L150=0,"",Sheet1!$B$2)</f>
        <v>SR 95 &amp; Aztec Rd</v>
      </c>
      <c r="M155" s="2" t="str">
        <f>IF(M150=0,"",Sheet1!$B$2)</f>
        <v>SR 95 &amp; Aztec Rd</v>
      </c>
      <c r="N155" s="2" t="str">
        <f>IF(N150=0,"",Sheet1!$B$2)</f>
        <v>SR 95 &amp; Aztec Rd</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25">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25">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25">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Aztec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Aztec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70" t="s">
        <v>456</v>
      </c>
      <c r="X31" s="270"/>
      <c r="Y31" s="270"/>
      <c r="Z31" s="270"/>
      <c r="AA31" s="270"/>
      <c r="AB31" s="270"/>
      <c r="AC31" s="270"/>
      <c r="AD31" s="270"/>
      <c r="AE31" s="270"/>
      <c r="AF31" s="270"/>
    </row>
    <row r="32" spans="1:32" x14ac:dyDescent="0.25">
      <c r="B32" s="2" t="s">
        <v>256</v>
      </c>
      <c r="C32" s="2" t="str">
        <f t="shared" ref="C32:C52" si="18">C31</f>
        <v>SR 95 &amp; Aztec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Aztec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25">
      <c r="B34" s="2" t="s">
        <v>258</v>
      </c>
      <c r="C34" s="2" t="str">
        <f t="shared" si="18"/>
        <v>SR 95 &amp; Aztec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25">
      <c r="B35" s="123" t="s">
        <v>259</v>
      </c>
      <c r="C35" s="123" t="str">
        <f t="shared" si="18"/>
        <v>SR 95 &amp; Aztec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25">
      <c r="B36" s="2" t="s">
        <v>260</v>
      </c>
      <c r="C36" s="2" t="str">
        <f t="shared" si="18"/>
        <v>SR 95 &amp; Aztec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SR 95 &amp; Aztec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25">
      <c r="B38" s="2" t="s">
        <v>262</v>
      </c>
      <c r="C38" s="2" t="str">
        <f t="shared" si="18"/>
        <v>SR 95 &amp; Aztec Rd</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25">
      <c r="B39" s="123" t="s">
        <v>263</v>
      </c>
      <c r="C39" s="123" t="str">
        <f t="shared" si="18"/>
        <v>SR 95 &amp; Aztec Rd</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25">
      <c r="B40" s="2" t="s">
        <v>264</v>
      </c>
      <c r="C40" s="2" t="str">
        <f t="shared" si="18"/>
        <v>SR 95 &amp; Aztec Rd</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25">
      <c r="B41" s="123" t="s">
        <v>265</v>
      </c>
      <c r="C41" s="123" t="str">
        <f t="shared" si="18"/>
        <v>SR 95 &amp; Aztec Rd</v>
      </c>
      <c r="D41" s="123"/>
      <c r="E41" s="123">
        <f>E10</f>
        <v>14</v>
      </c>
      <c r="F41" s="123"/>
      <c r="G41" s="123">
        <f>G10</f>
        <v>21</v>
      </c>
      <c r="H41" s="123"/>
      <c r="I41" s="123">
        <f>I10</f>
        <v>14</v>
      </c>
      <c r="J41" s="123"/>
      <c r="K41" s="123">
        <f>K10</f>
        <v>21</v>
      </c>
    </row>
    <row r="42" spans="2:32" x14ac:dyDescent="0.25">
      <c r="B42" s="2" t="s">
        <v>266</v>
      </c>
      <c r="C42" s="2" t="str">
        <f t="shared" si="18"/>
        <v>SR 95 &amp; Aztec Rd</v>
      </c>
      <c r="E42" s="2">
        <f>IF(E40=0,0,1)</f>
        <v>1</v>
      </c>
      <c r="G42" s="2">
        <f>IF(G40=0,0,1)</f>
        <v>1</v>
      </c>
      <c r="I42" s="2">
        <f>IF(I40=0,0,1)</f>
        <v>1</v>
      </c>
      <c r="K42" s="2">
        <f>IF(K40=0,0,1)</f>
        <v>1</v>
      </c>
      <c r="AF42" s="187"/>
    </row>
    <row r="43" spans="2:32" x14ac:dyDescent="0.25">
      <c r="B43" s="123" t="s">
        <v>267</v>
      </c>
      <c r="C43" s="123" t="str">
        <f t="shared" si="18"/>
        <v>SR 95 &amp; Aztec Rd</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25">
      <c r="B44" s="2" t="s">
        <v>268</v>
      </c>
      <c r="C44" s="2" t="str">
        <f t="shared" si="18"/>
        <v>SR 95 &amp; Aztec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Aztec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Aztec Rd</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25">
      <c r="B47" s="123" t="s">
        <v>271</v>
      </c>
      <c r="C47" s="123" t="str">
        <f t="shared" si="18"/>
        <v>SR 95 &amp; Aztec Rd</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25">
      <c r="B48" s="2" t="s">
        <v>272</v>
      </c>
      <c r="C48" s="2" t="str">
        <f t="shared" si="18"/>
        <v>SR 95 &amp; Aztec Rd</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25">
      <c r="B49" s="123" t="s">
        <v>273</v>
      </c>
      <c r="C49" s="123" t="str">
        <f t="shared" si="18"/>
        <v>SR 95 &amp; Aztec Rd</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25">
      <c r="B50" s="2" t="s">
        <v>274</v>
      </c>
      <c r="C50" s="2" t="str">
        <f t="shared" si="18"/>
        <v>SR 95 &amp; Aztec Rd</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25">
      <c r="B51" s="123" t="s">
        <v>275</v>
      </c>
      <c r="C51" s="123" t="str">
        <f t="shared" si="18"/>
        <v>SR 95 &amp; Aztec Rd</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25">
      <c r="B52" s="2" t="s">
        <v>276</v>
      </c>
      <c r="C52" s="2" t="str">
        <f t="shared" si="18"/>
        <v>SR 95 &amp; Aztec Rd</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25">
      <c r="B53" s="123" t="s">
        <v>567</v>
      </c>
      <c r="C53" s="123">
        <f>UTDF_input!B123</f>
        <v>75</v>
      </c>
      <c r="D53" s="123">
        <f>UTDF_input!C123</f>
        <v>6.5</v>
      </c>
      <c r="E53" s="123">
        <f>UTDF_input!D123</f>
        <v>20.100000000000001</v>
      </c>
      <c r="F53" s="123">
        <f>UTDF_input!E123</f>
        <v>6.5</v>
      </c>
      <c r="G53" s="123">
        <f>UTDF_input!F123</f>
        <v>18</v>
      </c>
      <c r="H53" s="123">
        <f>UTDF_input!G123</f>
        <v>6.5</v>
      </c>
      <c r="I53" s="123">
        <f>UTDF_input!H123</f>
        <v>20</v>
      </c>
      <c r="J53" s="123">
        <f>UTDF_input!I123</f>
        <v>6.5</v>
      </c>
      <c r="K53" s="123">
        <f>UTDF_input!J123</f>
        <v>18.100000000000001</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25">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25">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25">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25">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25">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Aztec Rd</v>
      </c>
      <c r="B11" s="45">
        <f>IF(T15=0,0,Sheet1!O4)</f>
        <v>0</v>
      </c>
      <c r="D11" s="5"/>
      <c r="E11" s="6" t="str">
        <f>Sheet1!B2</f>
        <v>SR 95 &amp; Aztec Rd</v>
      </c>
      <c r="F11" s="5"/>
      <c r="G11" s="5"/>
      <c r="H11" s="58">
        <f>IF(Z15=0,0,Sheet1!T4)</f>
        <v>0</v>
      </c>
      <c r="I11" s="106" t="str">
        <f>Sheet1!T38</f>
        <v>Aztec Rd</v>
      </c>
      <c r="K11" s="107" t="str">
        <f>A11</f>
        <v>Aztec Rd</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25">
      <c r="I24" s="9" t="s">
        <v>76</v>
      </c>
    </row>
    <row r="27" spans="1:25" x14ac:dyDescent="0.25">
      <c r="B27" s="60">
        <f>IF(Z15=0,'Phase calculation'!D34,'Phase calculation'!C34)</f>
        <v>9</v>
      </c>
      <c r="E27" s="64"/>
      <c r="H27" s="61">
        <f>'Phase calculation'!H34</f>
        <v>35</v>
      </c>
      <c r="L27" s="23" t="e">
        <f>IF(T9=0,0,'Phase calculation'!C41)</f>
        <v>#N/A</v>
      </c>
      <c r="N27" s="64"/>
      <c r="O27" s="64"/>
      <c r="R27" s="4">
        <f>'Phase calculation'!H41</f>
        <v>0</v>
      </c>
    </row>
    <row r="28" spans="1:25" x14ac:dyDescent="0.25">
      <c r="C28" s="5"/>
      <c r="D28" s="64"/>
      <c r="E28" s="304" t="str">
        <f>IF(E22+F22+H27+H29+E35+D35+B29+B27=0,0,"C = "&amp;'Phase calculation'!C25&amp;" s")</f>
        <v>C = 80 s</v>
      </c>
      <c r="G28" s="5"/>
      <c r="H28" s="12"/>
      <c r="I28" s="5"/>
      <c r="L28" s="41"/>
      <c r="M28" s="5"/>
      <c r="N28" s="64"/>
      <c r="O28" s="64"/>
      <c r="P28" s="5"/>
    </row>
    <row r="29" spans="1:25" x14ac:dyDescent="0.25">
      <c r="A29" s="107" t="str">
        <f>A11</f>
        <v>Aztec Rd</v>
      </c>
      <c r="B29" s="36">
        <f>IF(T11=0,0,'Phase calculation'!D34)</f>
        <v>44</v>
      </c>
      <c r="C29" s="5"/>
      <c r="D29" s="5"/>
      <c r="E29" s="304"/>
      <c r="G29" s="5"/>
      <c r="H29" s="62">
        <f>IF(Z11=0,0,'Phase calculation'!G34)</f>
        <v>35</v>
      </c>
      <c r="I29" s="107" t="str">
        <f>I11</f>
        <v>Aztec Rd</v>
      </c>
      <c r="K29" s="107" t="str">
        <f>A11</f>
        <v>Aztec Rd</v>
      </c>
      <c r="L29" s="23">
        <f>IF(T11=0,0,'Phase calculation'!D41)</f>
        <v>76500</v>
      </c>
      <c r="M29" s="5"/>
      <c r="N29" s="5"/>
      <c r="O29" s="5"/>
      <c r="P29" s="5"/>
      <c r="R29" s="4">
        <f>IF(Z11=0,0,'Phase calculation'!G41)</f>
        <v>59288</v>
      </c>
    </row>
    <row r="30" spans="1:25" x14ac:dyDescent="0.25">
      <c r="C30" s="15"/>
      <c r="D30" s="8"/>
      <c r="E30" s="304"/>
      <c r="G30" s="8"/>
      <c r="H30" s="5"/>
      <c r="I30" s="7"/>
      <c r="M30" s="15"/>
      <c r="N30" s="8"/>
      <c r="O30" s="8"/>
      <c r="P30" s="8"/>
      <c r="Q30" s="5"/>
      <c r="R30" s="12"/>
    </row>
    <row r="31" spans="1:25" x14ac:dyDescent="0.25">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t="str">
        <f>A11</f>
        <v>Aztec Rd</v>
      </c>
      <c r="B49" s="72">
        <f>IF(T11=0,"N/A",'Phase calculation'!D40)</f>
        <v>0</v>
      </c>
      <c r="C49" s="74"/>
      <c r="D49" s="310" t="str">
        <f>'Phase calculation'!C52</f>
        <v>Under Capacity</v>
      </c>
      <c r="E49" s="310"/>
      <c r="F49" s="310"/>
      <c r="H49" s="73">
        <f>IF(Z11=0,"N/A",'Phase calculation'!G40)</f>
        <v>0</v>
      </c>
      <c r="I49" s="107" t="str">
        <f>I11</f>
        <v>Aztec Rd</v>
      </c>
      <c r="K49" s="107" t="str">
        <f>A11</f>
        <v>Aztec Rd</v>
      </c>
      <c r="L49" s="177">
        <f>'Phase calculation'!C46</f>
        <v>0</v>
      </c>
      <c r="M49" s="129">
        <f>IF(T11=0,"N/A",'Phase calculation'!D44)</f>
        <v>0</v>
      </c>
      <c r="N49" s="130"/>
      <c r="O49" s="303"/>
      <c r="P49" s="303"/>
      <c r="Q49" s="303"/>
      <c r="S49" s="177" t="e">
        <f>'Phase calculation'!F46</f>
        <v>#N/A</v>
      </c>
      <c r="T49" s="107" t="str">
        <f>I11</f>
        <v>Aztec Rd</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300" t="str">
        <f>D18</f>
        <v>SR 95</v>
      </c>
      <c r="E56" s="300"/>
      <c r="F56" s="300"/>
      <c r="O56" s="305">
        <f>'Phase calculation'!I46</f>
        <v>0</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t="str">
        <f>A11</f>
        <v>Aztec Rd</v>
      </c>
      <c r="F68" s="9" t="str">
        <f>'Phase calculation'!C47</f>
        <v>N/A</v>
      </c>
      <c r="G68" s="40" t="str">
        <f>'Phase calculation'!D45</f>
        <v>N/A</v>
      </c>
      <c r="H68" s="5"/>
      <c r="I68" s="309"/>
      <c r="J68" s="309"/>
      <c r="K68" s="309"/>
      <c r="M68" s="85" t="str">
        <f>'Phase calculation'!G45</f>
        <v>N/A</v>
      </c>
      <c r="N68" s="9" t="e">
        <f>'Phase calculation'!F47</f>
        <v>#N/A</v>
      </c>
      <c r="O68" s="107" t="str">
        <f>I11</f>
        <v>Aztec Rd</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25">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59" workbookViewId="0">
      <selection activeCell="A84" sqref="A84:J10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3" workbookViewId="0">
      <selection activeCell="A58" sqref="A58:AD114"/>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14" sqref="A14:C2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28" sqref="A28:R51"/>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75</v>
      </c>
      <c r="C4">
        <v>78</v>
      </c>
      <c r="D4">
        <v>39</v>
      </c>
      <c r="E4">
        <v>76</v>
      </c>
      <c r="F4">
        <v>77</v>
      </c>
    </row>
    <row r="5" spans="1:6" x14ac:dyDescent="0.25">
      <c r="A5" t="s">
        <v>36</v>
      </c>
      <c r="B5">
        <v>75</v>
      </c>
      <c r="C5">
        <v>3</v>
      </c>
      <c r="D5">
        <v>3</v>
      </c>
      <c r="E5">
        <v>2</v>
      </c>
      <c r="F5">
        <v>2</v>
      </c>
    </row>
    <row r="6" spans="1:6" x14ac:dyDescent="0.25">
      <c r="A6" t="s">
        <v>503</v>
      </c>
      <c r="B6">
        <v>75</v>
      </c>
      <c r="C6" t="s">
        <v>734</v>
      </c>
      <c r="D6" t="s">
        <v>734</v>
      </c>
      <c r="E6" t="s">
        <v>736</v>
      </c>
      <c r="F6" t="s">
        <v>736</v>
      </c>
    </row>
    <row r="7" spans="1:6" x14ac:dyDescent="0.25">
      <c r="A7" t="s">
        <v>674</v>
      </c>
      <c r="B7">
        <v>75</v>
      </c>
      <c r="C7">
        <v>2307</v>
      </c>
      <c r="D7">
        <v>2985</v>
      </c>
      <c r="E7">
        <v>182</v>
      </c>
      <c r="F7">
        <v>210</v>
      </c>
    </row>
    <row r="8" spans="1:6" x14ac:dyDescent="0.25">
      <c r="A8" t="s">
        <v>42</v>
      </c>
      <c r="B8">
        <v>75</v>
      </c>
      <c r="C8">
        <v>45</v>
      </c>
      <c r="D8">
        <v>45</v>
      </c>
      <c r="E8">
        <v>45</v>
      </c>
      <c r="F8">
        <v>45</v>
      </c>
    </row>
    <row r="9" spans="1:6" x14ac:dyDescent="0.25">
      <c r="A9" t="s">
        <v>675</v>
      </c>
      <c r="B9">
        <v>75</v>
      </c>
      <c r="C9">
        <v>35</v>
      </c>
      <c r="D9">
        <v>45.2</v>
      </c>
      <c r="E9">
        <v>2.8</v>
      </c>
      <c r="F9">
        <v>3.2</v>
      </c>
    </row>
    <row r="10" spans="1:6" x14ac:dyDescent="0.25">
      <c r="A10" t="s">
        <v>41</v>
      </c>
      <c r="B10">
        <v>75</v>
      </c>
      <c r="C10">
        <v>0</v>
      </c>
      <c r="D10">
        <v>0</v>
      </c>
      <c r="E10">
        <v>0</v>
      </c>
      <c r="F10">
        <v>0</v>
      </c>
    </row>
    <row r="11" spans="1:6" x14ac:dyDescent="0.25">
      <c r="A11" t="s">
        <v>676</v>
      </c>
      <c r="B11">
        <v>75</v>
      </c>
      <c r="C11">
        <v>12</v>
      </c>
      <c r="D11">
        <v>12</v>
      </c>
      <c r="E11">
        <v>12</v>
      </c>
      <c r="F11">
        <v>12</v>
      </c>
    </row>
    <row r="12" spans="1:6" x14ac:dyDescent="0.25">
      <c r="A12" t="s">
        <v>563</v>
      </c>
      <c r="B12">
        <v>75</v>
      </c>
      <c r="C12">
        <v>0</v>
      </c>
      <c r="D12">
        <v>0</v>
      </c>
      <c r="E12">
        <v>0</v>
      </c>
      <c r="F12">
        <v>0</v>
      </c>
    </row>
    <row r="13" spans="1:6" x14ac:dyDescent="0.25">
      <c r="A13" t="s">
        <v>677</v>
      </c>
      <c r="B13">
        <v>75</v>
      </c>
      <c r="C13">
        <v>0</v>
      </c>
      <c r="D13">
        <v>0</v>
      </c>
      <c r="E13">
        <v>0</v>
      </c>
      <c r="F13">
        <v>0</v>
      </c>
    </row>
    <row r="14" spans="1:6" x14ac:dyDescent="0.25">
      <c r="A14" t="s">
        <v>678</v>
      </c>
      <c r="B14">
        <v>75</v>
      </c>
      <c r="C14">
        <v>16</v>
      </c>
      <c r="D14">
        <v>16</v>
      </c>
      <c r="E14">
        <v>16</v>
      </c>
      <c r="F14">
        <v>16</v>
      </c>
    </row>
    <row r="15" spans="1:6" x14ac:dyDescent="0.25">
      <c r="A15" t="s">
        <v>679</v>
      </c>
      <c r="B15">
        <v>75</v>
      </c>
      <c r="C15">
        <v>292</v>
      </c>
      <c r="D15">
        <v>292</v>
      </c>
      <c r="E15">
        <v>292</v>
      </c>
      <c r="F15">
        <v>292</v>
      </c>
    </row>
    <row r="16" spans="1:6" x14ac:dyDescent="0.25">
      <c r="A16" t="s">
        <v>680</v>
      </c>
      <c r="B16">
        <v>75</v>
      </c>
      <c r="C16">
        <v>1980</v>
      </c>
      <c r="D16">
        <v>1980</v>
      </c>
      <c r="E16">
        <v>1980</v>
      </c>
      <c r="F16">
        <v>1980</v>
      </c>
    </row>
    <row r="17" spans="1:16" x14ac:dyDescent="0.25">
      <c r="A17" t="s">
        <v>681</v>
      </c>
      <c r="B17">
        <v>75</v>
      </c>
      <c r="C17">
        <v>1320</v>
      </c>
      <c r="D17">
        <v>1320</v>
      </c>
      <c r="E17">
        <v>1320</v>
      </c>
      <c r="F17">
        <v>1320</v>
      </c>
    </row>
    <row r="18" spans="1:16" x14ac:dyDescent="0.25">
      <c r="A18" t="s">
        <v>682</v>
      </c>
      <c r="B18">
        <v>75</v>
      </c>
      <c r="C18">
        <v>2640</v>
      </c>
      <c r="D18">
        <v>2640</v>
      </c>
      <c r="E18">
        <v>2640</v>
      </c>
      <c r="F18">
        <v>2640</v>
      </c>
    </row>
    <row r="19" spans="1:16" x14ac:dyDescent="0.25">
      <c r="A19" t="s">
        <v>683</v>
      </c>
      <c r="B19">
        <v>75</v>
      </c>
    </row>
    <row r="20" spans="1:16" x14ac:dyDescent="0.25">
      <c r="A20" t="s">
        <v>684</v>
      </c>
      <c r="B20">
        <v>75</v>
      </c>
    </row>
    <row r="21" spans="1:16" x14ac:dyDescent="0.25">
      <c r="A21" t="s">
        <v>685</v>
      </c>
      <c r="B21">
        <v>75</v>
      </c>
    </row>
    <row r="22" spans="1:16" x14ac:dyDescent="0.25">
      <c r="A22" t="s">
        <v>686</v>
      </c>
      <c r="B22">
        <v>75</v>
      </c>
      <c r="C22" t="b">
        <v>0</v>
      </c>
      <c r="D22" t="b">
        <v>0</v>
      </c>
      <c r="E22" t="b">
        <v>0</v>
      </c>
      <c r="F22" t="b">
        <v>0</v>
      </c>
    </row>
    <row r="23" spans="1:16" x14ac:dyDescent="0.25">
      <c r="A23" t="s">
        <v>687</v>
      </c>
      <c r="B23">
        <v>75</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75</v>
      </c>
      <c r="C27">
        <v>78</v>
      </c>
      <c r="D27">
        <v>78</v>
      </c>
      <c r="E27">
        <v>78</v>
      </c>
      <c r="F27">
        <v>39</v>
      </c>
      <c r="G27">
        <v>39</v>
      </c>
      <c r="H27">
        <v>39</v>
      </c>
      <c r="I27">
        <v>76</v>
      </c>
      <c r="J27">
        <v>76</v>
      </c>
      <c r="K27">
        <v>76</v>
      </c>
      <c r="L27">
        <v>77</v>
      </c>
      <c r="M27">
        <v>77</v>
      </c>
      <c r="N27">
        <v>77</v>
      </c>
    </row>
    <row r="28" spans="1:16" x14ac:dyDescent="0.25">
      <c r="A28" t="s">
        <v>35</v>
      </c>
      <c r="B28">
        <v>75</v>
      </c>
      <c r="C28">
        <v>76</v>
      </c>
      <c r="D28">
        <v>39</v>
      </c>
      <c r="E28">
        <v>77</v>
      </c>
      <c r="F28">
        <v>77</v>
      </c>
      <c r="G28">
        <v>78</v>
      </c>
      <c r="H28">
        <v>76</v>
      </c>
      <c r="I28">
        <v>39</v>
      </c>
      <c r="J28">
        <v>77</v>
      </c>
      <c r="K28">
        <v>78</v>
      </c>
      <c r="L28">
        <v>78</v>
      </c>
      <c r="M28">
        <v>76</v>
      </c>
      <c r="N28">
        <v>39</v>
      </c>
    </row>
    <row r="29" spans="1:16" x14ac:dyDescent="0.25">
      <c r="A29" t="s">
        <v>36</v>
      </c>
      <c r="B29">
        <v>75</v>
      </c>
      <c r="C29">
        <v>1</v>
      </c>
      <c r="D29">
        <v>2</v>
      </c>
      <c r="E29">
        <v>0</v>
      </c>
      <c r="F29">
        <v>1</v>
      </c>
      <c r="G29">
        <v>2</v>
      </c>
      <c r="H29">
        <v>0</v>
      </c>
      <c r="I29">
        <v>1</v>
      </c>
      <c r="J29">
        <v>1</v>
      </c>
      <c r="K29">
        <v>0</v>
      </c>
      <c r="L29">
        <v>1</v>
      </c>
      <c r="M29">
        <v>1</v>
      </c>
      <c r="N29">
        <v>0</v>
      </c>
    </row>
    <row r="30" spans="1:16" x14ac:dyDescent="0.25">
      <c r="A30" t="s">
        <v>37</v>
      </c>
      <c r="B30">
        <v>75</v>
      </c>
      <c r="C30">
        <v>0</v>
      </c>
      <c r="D30">
        <v>2</v>
      </c>
      <c r="F30">
        <v>0</v>
      </c>
      <c r="G30">
        <v>2</v>
      </c>
      <c r="I30">
        <v>0</v>
      </c>
      <c r="J30">
        <v>2</v>
      </c>
      <c r="L30">
        <v>0</v>
      </c>
      <c r="M30">
        <v>2</v>
      </c>
    </row>
    <row r="31" spans="1:16" x14ac:dyDescent="0.25">
      <c r="A31" t="s">
        <v>38</v>
      </c>
      <c r="B31">
        <v>75</v>
      </c>
      <c r="C31">
        <v>12</v>
      </c>
      <c r="D31">
        <v>12</v>
      </c>
      <c r="E31">
        <v>12</v>
      </c>
      <c r="F31">
        <v>12</v>
      </c>
      <c r="G31">
        <v>12</v>
      </c>
      <c r="H31">
        <v>12</v>
      </c>
      <c r="I31">
        <v>12</v>
      </c>
      <c r="J31">
        <v>12</v>
      </c>
      <c r="K31">
        <v>12</v>
      </c>
      <c r="L31">
        <v>12</v>
      </c>
      <c r="M31">
        <v>12</v>
      </c>
      <c r="N31">
        <v>12</v>
      </c>
    </row>
    <row r="32" spans="1:16" x14ac:dyDescent="0.25">
      <c r="A32" t="s">
        <v>39</v>
      </c>
      <c r="B32">
        <v>75</v>
      </c>
    </row>
    <row r="33" spans="1:14" x14ac:dyDescent="0.25">
      <c r="A33" t="s">
        <v>689</v>
      </c>
      <c r="B33">
        <v>75</v>
      </c>
    </row>
    <row r="34" spans="1:14" x14ac:dyDescent="0.25">
      <c r="A34" t="s">
        <v>40</v>
      </c>
      <c r="B34">
        <v>75</v>
      </c>
    </row>
    <row r="35" spans="1:14" x14ac:dyDescent="0.25">
      <c r="A35" t="s">
        <v>41</v>
      </c>
      <c r="B35">
        <v>75</v>
      </c>
    </row>
    <row r="36" spans="1:14" x14ac:dyDescent="0.25">
      <c r="A36" t="s">
        <v>42</v>
      </c>
      <c r="B36">
        <v>75</v>
      </c>
      <c r="D36">
        <v>45</v>
      </c>
      <c r="G36">
        <v>45</v>
      </c>
      <c r="J36">
        <v>45</v>
      </c>
      <c r="M36">
        <v>45</v>
      </c>
    </row>
    <row r="37" spans="1:14" x14ac:dyDescent="0.25">
      <c r="A37" t="s">
        <v>45</v>
      </c>
      <c r="B37">
        <v>75</v>
      </c>
      <c r="C37">
        <v>5</v>
      </c>
      <c r="D37">
        <v>2</v>
      </c>
      <c r="F37">
        <v>1</v>
      </c>
      <c r="G37">
        <v>6</v>
      </c>
      <c r="I37">
        <v>3</v>
      </c>
      <c r="J37">
        <v>8</v>
      </c>
      <c r="L37">
        <v>7</v>
      </c>
      <c r="M37">
        <v>4</v>
      </c>
    </row>
    <row r="38" spans="1:14" x14ac:dyDescent="0.25">
      <c r="A38" t="s">
        <v>49</v>
      </c>
      <c r="B38">
        <v>75</v>
      </c>
      <c r="C38">
        <v>4</v>
      </c>
      <c r="D38">
        <v>5.3</v>
      </c>
      <c r="E38">
        <v>4</v>
      </c>
      <c r="F38">
        <v>4</v>
      </c>
      <c r="G38">
        <v>5.4</v>
      </c>
      <c r="H38">
        <v>4</v>
      </c>
      <c r="I38">
        <v>4</v>
      </c>
      <c r="J38">
        <v>5.8</v>
      </c>
      <c r="K38">
        <v>4</v>
      </c>
      <c r="L38">
        <v>4</v>
      </c>
      <c r="M38">
        <v>5.9</v>
      </c>
      <c r="N38">
        <v>4</v>
      </c>
    </row>
    <row r="39" spans="1:14" x14ac:dyDescent="0.25">
      <c r="A39" t="s">
        <v>690</v>
      </c>
      <c r="B39">
        <v>75</v>
      </c>
      <c r="C39">
        <v>0</v>
      </c>
      <c r="D39">
        <v>0</v>
      </c>
      <c r="E39">
        <v>0</v>
      </c>
      <c r="F39">
        <v>0</v>
      </c>
      <c r="G39">
        <v>0</v>
      </c>
      <c r="H39">
        <v>0</v>
      </c>
      <c r="I39">
        <v>0</v>
      </c>
      <c r="J39">
        <v>0</v>
      </c>
      <c r="K39">
        <v>0</v>
      </c>
      <c r="L39">
        <v>0</v>
      </c>
      <c r="M39">
        <v>0</v>
      </c>
      <c r="N39">
        <v>0</v>
      </c>
    </row>
    <row r="40" spans="1:14" x14ac:dyDescent="0.25">
      <c r="A40" t="s">
        <v>48</v>
      </c>
      <c r="B40">
        <v>75</v>
      </c>
      <c r="C40">
        <v>1900</v>
      </c>
      <c r="D40">
        <v>1900</v>
      </c>
      <c r="E40">
        <v>1900</v>
      </c>
      <c r="F40">
        <v>1900</v>
      </c>
      <c r="G40">
        <v>1900</v>
      </c>
      <c r="H40">
        <v>1900</v>
      </c>
      <c r="I40">
        <v>1900</v>
      </c>
      <c r="J40">
        <v>1900</v>
      </c>
      <c r="K40">
        <v>1900</v>
      </c>
      <c r="L40">
        <v>1900</v>
      </c>
      <c r="M40">
        <v>1900</v>
      </c>
      <c r="N40">
        <v>1900</v>
      </c>
    </row>
    <row r="41" spans="1:14" x14ac:dyDescent="0.25">
      <c r="A41" t="s">
        <v>691</v>
      </c>
      <c r="B41">
        <v>75</v>
      </c>
      <c r="C41">
        <v>1770</v>
      </c>
      <c r="D41">
        <v>3522</v>
      </c>
      <c r="E41">
        <v>0</v>
      </c>
      <c r="F41">
        <v>1770</v>
      </c>
      <c r="G41">
        <v>3536</v>
      </c>
      <c r="H41">
        <v>0</v>
      </c>
      <c r="I41">
        <v>1770</v>
      </c>
      <c r="J41">
        <v>1690</v>
      </c>
      <c r="K41">
        <v>0</v>
      </c>
      <c r="L41">
        <v>1770</v>
      </c>
      <c r="M41">
        <v>1723</v>
      </c>
      <c r="N41">
        <v>0</v>
      </c>
    </row>
    <row r="42" spans="1:14" x14ac:dyDescent="0.25">
      <c r="A42" t="s">
        <v>50</v>
      </c>
      <c r="B42">
        <v>75</v>
      </c>
      <c r="C42">
        <v>1770</v>
      </c>
      <c r="D42">
        <v>3522</v>
      </c>
      <c r="E42">
        <v>0</v>
      </c>
      <c r="F42">
        <v>1770</v>
      </c>
      <c r="G42">
        <v>3536</v>
      </c>
      <c r="H42">
        <v>0</v>
      </c>
      <c r="I42">
        <v>1770</v>
      </c>
      <c r="J42">
        <v>1690</v>
      </c>
      <c r="K42">
        <v>0</v>
      </c>
      <c r="L42">
        <v>1770</v>
      </c>
      <c r="M42">
        <v>1723</v>
      </c>
      <c r="N42">
        <v>0</v>
      </c>
    </row>
    <row r="43" spans="1:14" x14ac:dyDescent="0.25">
      <c r="A43" t="s">
        <v>692</v>
      </c>
      <c r="B43">
        <v>75</v>
      </c>
      <c r="C43">
        <v>1</v>
      </c>
      <c r="D43">
        <v>1</v>
      </c>
      <c r="E43">
        <v>1</v>
      </c>
      <c r="F43">
        <v>1</v>
      </c>
      <c r="G43">
        <v>1</v>
      </c>
      <c r="H43">
        <v>1</v>
      </c>
      <c r="I43">
        <v>1</v>
      </c>
      <c r="J43">
        <v>1</v>
      </c>
      <c r="K43">
        <v>1</v>
      </c>
      <c r="L43">
        <v>1</v>
      </c>
      <c r="M43">
        <v>1</v>
      </c>
      <c r="N43">
        <v>1</v>
      </c>
    </row>
    <row r="44" spans="1:14" x14ac:dyDescent="0.25">
      <c r="A44" t="s">
        <v>51</v>
      </c>
      <c r="B44">
        <v>75</v>
      </c>
      <c r="C44">
        <v>0</v>
      </c>
      <c r="D44">
        <v>5</v>
      </c>
      <c r="E44">
        <v>0</v>
      </c>
      <c r="F44">
        <v>0</v>
      </c>
      <c r="G44">
        <v>0</v>
      </c>
      <c r="H44">
        <v>0</v>
      </c>
      <c r="I44">
        <v>0</v>
      </c>
      <c r="J44">
        <v>33</v>
      </c>
      <c r="K44">
        <v>0</v>
      </c>
      <c r="L44">
        <v>0</v>
      </c>
      <c r="M44">
        <v>15</v>
      </c>
      <c r="N44">
        <v>0</v>
      </c>
    </row>
    <row r="45" spans="1:14" x14ac:dyDescent="0.25">
      <c r="A45" t="s">
        <v>53</v>
      </c>
      <c r="B45">
        <v>75</v>
      </c>
      <c r="C45">
        <v>67</v>
      </c>
      <c r="D45">
        <v>649</v>
      </c>
      <c r="E45">
        <v>22</v>
      </c>
      <c r="F45">
        <v>41</v>
      </c>
      <c r="G45">
        <v>541</v>
      </c>
      <c r="H45">
        <v>2</v>
      </c>
      <c r="I45">
        <v>5</v>
      </c>
      <c r="J45">
        <v>18</v>
      </c>
      <c r="K45">
        <v>30</v>
      </c>
      <c r="L45">
        <v>17</v>
      </c>
      <c r="M45">
        <v>14</v>
      </c>
      <c r="N45">
        <v>14</v>
      </c>
    </row>
    <row r="46" spans="1:14" x14ac:dyDescent="0.25">
      <c r="A46" t="s">
        <v>54</v>
      </c>
      <c r="B46">
        <v>75</v>
      </c>
      <c r="C46">
        <v>0</v>
      </c>
      <c r="D46">
        <v>0</v>
      </c>
      <c r="E46">
        <v>0</v>
      </c>
      <c r="F46">
        <v>0</v>
      </c>
      <c r="G46">
        <v>0</v>
      </c>
      <c r="H46">
        <v>0</v>
      </c>
      <c r="I46">
        <v>0</v>
      </c>
      <c r="J46">
        <v>0</v>
      </c>
      <c r="K46">
        <v>0</v>
      </c>
      <c r="L46">
        <v>0</v>
      </c>
      <c r="M46">
        <v>0</v>
      </c>
      <c r="N46">
        <v>0</v>
      </c>
    </row>
    <row r="47" spans="1:14" x14ac:dyDescent="0.25">
      <c r="A47" t="s">
        <v>55</v>
      </c>
      <c r="B47">
        <v>75</v>
      </c>
      <c r="C47">
        <v>0</v>
      </c>
      <c r="D47">
        <v>0</v>
      </c>
      <c r="E47">
        <v>0</v>
      </c>
      <c r="F47">
        <v>0</v>
      </c>
      <c r="G47">
        <v>0</v>
      </c>
      <c r="H47">
        <v>0</v>
      </c>
      <c r="I47">
        <v>0</v>
      </c>
      <c r="J47">
        <v>0</v>
      </c>
      <c r="K47">
        <v>0</v>
      </c>
      <c r="L47">
        <v>0</v>
      </c>
      <c r="M47">
        <v>0</v>
      </c>
      <c r="N47">
        <v>0</v>
      </c>
    </row>
    <row r="48" spans="1:14" x14ac:dyDescent="0.25">
      <c r="A48" t="s">
        <v>56</v>
      </c>
      <c r="B48">
        <v>75</v>
      </c>
      <c r="C48">
        <v>0.92</v>
      </c>
      <c r="D48">
        <v>0.92</v>
      </c>
      <c r="E48">
        <v>0.92</v>
      </c>
      <c r="F48">
        <v>0.92</v>
      </c>
      <c r="G48">
        <v>0.92</v>
      </c>
      <c r="H48">
        <v>0.92</v>
      </c>
      <c r="I48">
        <v>0.92</v>
      </c>
      <c r="J48">
        <v>0.92</v>
      </c>
      <c r="K48">
        <v>0.92</v>
      </c>
      <c r="L48">
        <v>0.92</v>
      </c>
      <c r="M48">
        <v>0.92</v>
      </c>
      <c r="N48">
        <v>0.92</v>
      </c>
    </row>
    <row r="49" spans="1:14" x14ac:dyDescent="0.25">
      <c r="A49" t="s">
        <v>57</v>
      </c>
      <c r="B49">
        <v>75</v>
      </c>
      <c r="C49">
        <v>100</v>
      </c>
      <c r="D49">
        <v>100</v>
      </c>
      <c r="E49">
        <v>100</v>
      </c>
      <c r="F49">
        <v>100</v>
      </c>
      <c r="G49">
        <v>100</v>
      </c>
      <c r="H49">
        <v>100</v>
      </c>
      <c r="I49">
        <v>100</v>
      </c>
      <c r="J49">
        <v>100</v>
      </c>
      <c r="K49">
        <v>100</v>
      </c>
      <c r="L49">
        <v>100</v>
      </c>
      <c r="M49">
        <v>100</v>
      </c>
      <c r="N49">
        <v>100</v>
      </c>
    </row>
    <row r="50" spans="1:14" x14ac:dyDescent="0.25">
      <c r="A50" t="s">
        <v>58</v>
      </c>
      <c r="B50">
        <v>75</v>
      </c>
      <c r="C50">
        <v>2</v>
      </c>
      <c r="D50">
        <v>2</v>
      </c>
      <c r="E50">
        <v>2</v>
      </c>
      <c r="F50">
        <v>2</v>
      </c>
      <c r="G50">
        <v>2</v>
      </c>
      <c r="H50">
        <v>2</v>
      </c>
      <c r="I50">
        <v>2</v>
      </c>
      <c r="J50">
        <v>2</v>
      </c>
      <c r="K50">
        <v>2</v>
      </c>
      <c r="L50">
        <v>2</v>
      </c>
      <c r="M50">
        <v>2</v>
      </c>
      <c r="N50">
        <v>2</v>
      </c>
    </row>
    <row r="51" spans="1:14" x14ac:dyDescent="0.25">
      <c r="A51" t="s">
        <v>59</v>
      </c>
      <c r="B51">
        <v>75</v>
      </c>
      <c r="C51">
        <v>0</v>
      </c>
      <c r="D51">
        <v>0</v>
      </c>
      <c r="E51">
        <v>0</v>
      </c>
      <c r="F51">
        <v>0</v>
      </c>
      <c r="G51">
        <v>0</v>
      </c>
      <c r="H51">
        <v>0</v>
      </c>
      <c r="I51">
        <v>0</v>
      </c>
      <c r="J51">
        <v>0</v>
      </c>
      <c r="K51">
        <v>0</v>
      </c>
      <c r="L51">
        <v>0</v>
      </c>
      <c r="M51">
        <v>0</v>
      </c>
      <c r="N51">
        <v>0</v>
      </c>
    </row>
    <row r="52" spans="1:14" x14ac:dyDescent="0.25">
      <c r="A52" t="s">
        <v>693</v>
      </c>
      <c r="B52">
        <v>75</v>
      </c>
      <c r="D52">
        <v>0</v>
      </c>
      <c r="G52">
        <v>0</v>
      </c>
      <c r="J52">
        <v>0</v>
      </c>
      <c r="M52">
        <v>0</v>
      </c>
    </row>
    <row r="53" spans="1:14" x14ac:dyDescent="0.25">
      <c r="A53" t="s">
        <v>674</v>
      </c>
      <c r="B53">
        <v>75</v>
      </c>
      <c r="D53">
        <v>2307</v>
      </c>
      <c r="G53">
        <v>2985</v>
      </c>
      <c r="J53">
        <v>182</v>
      </c>
      <c r="M53">
        <v>210</v>
      </c>
    </row>
    <row r="54" spans="1:14" x14ac:dyDescent="0.25">
      <c r="A54" t="s">
        <v>78</v>
      </c>
      <c r="B54">
        <v>75</v>
      </c>
      <c r="D54">
        <v>35</v>
      </c>
      <c r="G54">
        <v>45.2</v>
      </c>
      <c r="J54">
        <v>2.8</v>
      </c>
      <c r="M54">
        <v>3.2</v>
      </c>
    </row>
    <row r="55" spans="1:14" x14ac:dyDescent="0.25">
      <c r="A55" t="s">
        <v>694</v>
      </c>
      <c r="B55">
        <v>75</v>
      </c>
      <c r="E55">
        <v>0</v>
      </c>
      <c r="H55">
        <v>0</v>
      </c>
      <c r="K55">
        <v>0</v>
      </c>
      <c r="N55">
        <v>0</v>
      </c>
    </row>
    <row r="56" spans="1:14" x14ac:dyDescent="0.25">
      <c r="A56" t="s">
        <v>695</v>
      </c>
      <c r="B56">
        <v>75</v>
      </c>
      <c r="C56">
        <v>0</v>
      </c>
      <c r="D56">
        <v>0</v>
      </c>
      <c r="E56">
        <v>1</v>
      </c>
      <c r="F56">
        <v>0</v>
      </c>
      <c r="G56">
        <v>0</v>
      </c>
      <c r="H56">
        <v>1</v>
      </c>
      <c r="I56">
        <v>0</v>
      </c>
      <c r="J56">
        <v>0</v>
      </c>
      <c r="K56">
        <v>1</v>
      </c>
      <c r="L56">
        <v>0</v>
      </c>
      <c r="M56">
        <v>0</v>
      </c>
      <c r="N56">
        <v>1</v>
      </c>
    </row>
    <row r="57" spans="1:14" x14ac:dyDescent="0.25">
      <c r="A57" t="s">
        <v>696</v>
      </c>
      <c r="B57">
        <v>75</v>
      </c>
      <c r="C57">
        <v>0</v>
      </c>
      <c r="D57">
        <v>0</v>
      </c>
      <c r="E57">
        <v>0</v>
      </c>
      <c r="F57">
        <v>0</v>
      </c>
      <c r="G57">
        <v>0</v>
      </c>
      <c r="H57">
        <v>0</v>
      </c>
      <c r="I57">
        <v>0</v>
      </c>
      <c r="J57">
        <v>0</v>
      </c>
      <c r="K57">
        <v>0</v>
      </c>
      <c r="L57">
        <v>0</v>
      </c>
      <c r="M57">
        <v>0</v>
      </c>
      <c r="N57">
        <v>0</v>
      </c>
    </row>
    <row r="58" spans="1:14" x14ac:dyDescent="0.25">
      <c r="A58" t="s">
        <v>52</v>
      </c>
      <c r="B58">
        <v>75</v>
      </c>
      <c r="C58">
        <v>1</v>
      </c>
      <c r="D58">
        <v>1</v>
      </c>
      <c r="E58">
        <v>1</v>
      </c>
      <c r="F58">
        <v>1</v>
      </c>
      <c r="G58">
        <v>1</v>
      </c>
      <c r="H58">
        <v>1</v>
      </c>
      <c r="I58">
        <v>1</v>
      </c>
      <c r="J58">
        <v>1</v>
      </c>
      <c r="K58">
        <v>1</v>
      </c>
      <c r="L58">
        <v>1</v>
      </c>
      <c r="M58">
        <v>1</v>
      </c>
      <c r="N58">
        <v>1</v>
      </c>
    </row>
    <row r="59" spans="1:14" x14ac:dyDescent="0.25">
      <c r="A59" t="s">
        <v>697</v>
      </c>
      <c r="B59">
        <v>75</v>
      </c>
      <c r="C59">
        <v>15</v>
      </c>
      <c r="D59">
        <v>60</v>
      </c>
      <c r="E59">
        <v>9</v>
      </c>
      <c r="F59">
        <v>15</v>
      </c>
      <c r="G59">
        <v>60</v>
      </c>
      <c r="H59">
        <v>9</v>
      </c>
      <c r="I59">
        <v>15</v>
      </c>
      <c r="J59">
        <v>60</v>
      </c>
      <c r="K59">
        <v>9</v>
      </c>
      <c r="L59">
        <v>15</v>
      </c>
      <c r="M59">
        <v>60</v>
      </c>
      <c r="N59">
        <v>9</v>
      </c>
    </row>
    <row r="60" spans="1:14" x14ac:dyDescent="0.25">
      <c r="A60" t="s">
        <v>43</v>
      </c>
      <c r="B60">
        <v>75</v>
      </c>
      <c r="C60">
        <v>20</v>
      </c>
      <c r="D60">
        <v>100</v>
      </c>
      <c r="F60">
        <v>20</v>
      </c>
      <c r="G60">
        <v>100</v>
      </c>
      <c r="I60">
        <v>20</v>
      </c>
      <c r="J60">
        <v>100</v>
      </c>
      <c r="L60">
        <v>20</v>
      </c>
      <c r="M60">
        <v>100</v>
      </c>
    </row>
    <row r="61" spans="1:14" x14ac:dyDescent="0.25">
      <c r="A61" t="s">
        <v>44</v>
      </c>
      <c r="B61">
        <v>75</v>
      </c>
      <c r="C61">
        <v>0</v>
      </c>
      <c r="D61">
        <v>0</v>
      </c>
      <c r="F61">
        <v>0</v>
      </c>
      <c r="G61">
        <v>0</v>
      </c>
      <c r="I61">
        <v>0</v>
      </c>
      <c r="J61">
        <v>0</v>
      </c>
      <c r="L61">
        <v>0</v>
      </c>
      <c r="M61">
        <v>0</v>
      </c>
    </row>
    <row r="62" spans="1:14" x14ac:dyDescent="0.25">
      <c r="A62" t="s">
        <v>47</v>
      </c>
      <c r="B62">
        <v>75</v>
      </c>
      <c r="C62">
        <v>5</v>
      </c>
      <c r="D62">
        <v>2</v>
      </c>
      <c r="F62">
        <v>1</v>
      </c>
      <c r="G62">
        <v>6</v>
      </c>
      <c r="I62">
        <v>3</v>
      </c>
      <c r="J62">
        <v>8</v>
      </c>
      <c r="L62">
        <v>7</v>
      </c>
      <c r="M62">
        <v>4</v>
      </c>
    </row>
    <row r="63" spans="1:14" x14ac:dyDescent="0.25">
      <c r="A63" t="s">
        <v>698</v>
      </c>
      <c r="B63">
        <v>75</v>
      </c>
      <c r="C63">
        <v>0</v>
      </c>
      <c r="D63">
        <v>0</v>
      </c>
      <c r="F63">
        <v>0</v>
      </c>
      <c r="G63">
        <v>0</v>
      </c>
      <c r="I63">
        <v>0</v>
      </c>
      <c r="J63">
        <v>0</v>
      </c>
      <c r="L63">
        <v>0</v>
      </c>
      <c r="M63">
        <v>0</v>
      </c>
    </row>
    <row r="64" spans="1:14" x14ac:dyDescent="0.25">
      <c r="A64" t="s">
        <v>699</v>
      </c>
      <c r="B64">
        <v>75</v>
      </c>
      <c r="C64">
        <v>0</v>
      </c>
      <c r="D64">
        <v>0</v>
      </c>
      <c r="F64">
        <v>0</v>
      </c>
      <c r="G64">
        <v>0</v>
      </c>
      <c r="I64">
        <v>0</v>
      </c>
      <c r="J64">
        <v>0</v>
      </c>
      <c r="L64">
        <v>0</v>
      </c>
      <c r="M64">
        <v>0</v>
      </c>
    </row>
    <row r="65" spans="1:14" x14ac:dyDescent="0.25">
      <c r="A65" t="s">
        <v>700</v>
      </c>
      <c r="B65">
        <v>75</v>
      </c>
      <c r="C65">
        <v>0</v>
      </c>
      <c r="D65">
        <v>0</v>
      </c>
      <c r="F65">
        <v>0</v>
      </c>
      <c r="G65">
        <v>0</v>
      </c>
      <c r="I65">
        <v>0</v>
      </c>
      <c r="J65">
        <v>0</v>
      </c>
      <c r="L65">
        <v>0</v>
      </c>
      <c r="M65">
        <v>0</v>
      </c>
    </row>
    <row r="66" spans="1:14" x14ac:dyDescent="0.25">
      <c r="A66" t="s">
        <v>701</v>
      </c>
      <c r="B66">
        <v>75</v>
      </c>
      <c r="C66">
        <v>0</v>
      </c>
      <c r="D66">
        <v>0</v>
      </c>
      <c r="F66">
        <v>0</v>
      </c>
      <c r="G66">
        <v>0</v>
      </c>
      <c r="I66">
        <v>0</v>
      </c>
      <c r="J66">
        <v>0</v>
      </c>
      <c r="L66">
        <v>0</v>
      </c>
      <c r="M66">
        <v>0</v>
      </c>
    </row>
    <row r="67" spans="1:14" x14ac:dyDescent="0.25">
      <c r="A67" t="s">
        <v>702</v>
      </c>
      <c r="B67">
        <v>75</v>
      </c>
      <c r="C67">
        <v>1</v>
      </c>
      <c r="D67">
        <v>2</v>
      </c>
      <c r="F67">
        <v>1</v>
      </c>
      <c r="G67">
        <v>2</v>
      </c>
      <c r="I67">
        <v>1</v>
      </c>
      <c r="J67">
        <v>2</v>
      </c>
      <c r="L67">
        <v>1</v>
      </c>
      <c r="M67">
        <v>2</v>
      </c>
    </row>
    <row r="68" spans="1:14" x14ac:dyDescent="0.25">
      <c r="A68" t="s">
        <v>703</v>
      </c>
      <c r="B68">
        <v>75</v>
      </c>
      <c r="C68">
        <v>0</v>
      </c>
      <c r="D68">
        <v>0</v>
      </c>
      <c r="F68">
        <v>0</v>
      </c>
      <c r="G68">
        <v>0</v>
      </c>
      <c r="I68">
        <v>0</v>
      </c>
      <c r="J68">
        <v>0</v>
      </c>
      <c r="L68">
        <v>0</v>
      </c>
      <c r="M68">
        <v>0</v>
      </c>
    </row>
    <row r="69" spans="1:14" x14ac:dyDescent="0.25">
      <c r="A69" t="s">
        <v>704</v>
      </c>
      <c r="B69">
        <v>75</v>
      </c>
      <c r="C69">
        <v>20</v>
      </c>
      <c r="D69">
        <v>6</v>
      </c>
      <c r="F69">
        <v>20</v>
      </c>
      <c r="G69">
        <v>6</v>
      </c>
      <c r="I69">
        <v>20</v>
      </c>
      <c r="J69">
        <v>6</v>
      </c>
      <c r="L69">
        <v>20</v>
      </c>
      <c r="M69">
        <v>6</v>
      </c>
    </row>
    <row r="70" spans="1:14" x14ac:dyDescent="0.25">
      <c r="A70" t="s">
        <v>705</v>
      </c>
      <c r="B70">
        <v>75</v>
      </c>
      <c r="C70">
        <v>3</v>
      </c>
      <c r="D70">
        <v>3</v>
      </c>
      <c r="F70">
        <v>3</v>
      </c>
      <c r="G70">
        <v>3</v>
      </c>
      <c r="I70">
        <v>3</v>
      </c>
      <c r="J70">
        <v>3</v>
      </c>
      <c r="L70">
        <v>3</v>
      </c>
      <c r="M70">
        <v>3</v>
      </c>
    </row>
    <row r="71" spans="1:14" x14ac:dyDescent="0.25">
      <c r="A71" t="s">
        <v>706</v>
      </c>
      <c r="B71">
        <v>75</v>
      </c>
      <c r="C71">
        <v>0</v>
      </c>
      <c r="D71">
        <v>0</v>
      </c>
      <c r="F71">
        <v>0</v>
      </c>
      <c r="G71">
        <v>0</v>
      </c>
      <c r="I71">
        <v>0</v>
      </c>
      <c r="J71">
        <v>0</v>
      </c>
      <c r="L71">
        <v>0</v>
      </c>
      <c r="M71">
        <v>0</v>
      </c>
    </row>
    <row r="72" spans="1:14" x14ac:dyDescent="0.25">
      <c r="A72" t="s">
        <v>707</v>
      </c>
      <c r="B72">
        <v>75</v>
      </c>
      <c r="C72">
        <v>0</v>
      </c>
      <c r="D72">
        <v>0</v>
      </c>
      <c r="F72">
        <v>0</v>
      </c>
      <c r="G72">
        <v>0</v>
      </c>
      <c r="I72">
        <v>0</v>
      </c>
      <c r="J72">
        <v>0</v>
      </c>
      <c r="L72">
        <v>0</v>
      </c>
      <c r="M72">
        <v>0</v>
      </c>
    </row>
    <row r="73" spans="1:14" x14ac:dyDescent="0.25">
      <c r="A73" t="s">
        <v>708</v>
      </c>
      <c r="B73">
        <v>75</v>
      </c>
      <c r="C73">
        <v>0</v>
      </c>
      <c r="D73">
        <v>0</v>
      </c>
      <c r="F73">
        <v>0</v>
      </c>
      <c r="G73">
        <v>0</v>
      </c>
      <c r="I73">
        <v>0</v>
      </c>
      <c r="J73">
        <v>0</v>
      </c>
      <c r="L73">
        <v>0</v>
      </c>
      <c r="M73">
        <v>0</v>
      </c>
    </row>
    <row r="74" spans="1:14" x14ac:dyDescent="0.25">
      <c r="A74" t="s">
        <v>709</v>
      </c>
      <c r="B74">
        <v>75</v>
      </c>
      <c r="D74">
        <v>94</v>
      </c>
      <c r="G74">
        <v>94</v>
      </c>
      <c r="J74">
        <v>94</v>
      </c>
      <c r="M74">
        <v>94</v>
      </c>
    </row>
    <row r="75" spans="1:14" x14ac:dyDescent="0.25">
      <c r="A75" t="s">
        <v>710</v>
      </c>
      <c r="B75">
        <v>75</v>
      </c>
      <c r="D75">
        <v>6</v>
      </c>
      <c r="G75">
        <v>6</v>
      </c>
      <c r="J75">
        <v>6</v>
      </c>
      <c r="M75">
        <v>6</v>
      </c>
    </row>
    <row r="76" spans="1:14" x14ac:dyDescent="0.25">
      <c r="A76" t="s">
        <v>711</v>
      </c>
      <c r="B76">
        <v>75</v>
      </c>
      <c r="D76">
        <v>3</v>
      </c>
      <c r="G76">
        <v>3</v>
      </c>
      <c r="J76">
        <v>3</v>
      </c>
      <c r="M76">
        <v>3</v>
      </c>
    </row>
    <row r="77" spans="1:14" x14ac:dyDescent="0.25">
      <c r="A77" t="s">
        <v>712</v>
      </c>
      <c r="B77">
        <v>75</v>
      </c>
      <c r="D77">
        <v>0</v>
      </c>
      <c r="G77">
        <v>0</v>
      </c>
      <c r="J77">
        <v>0</v>
      </c>
      <c r="M77">
        <v>0</v>
      </c>
    </row>
    <row r="78" spans="1:14" x14ac:dyDescent="0.25">
      <c r="A78" t="s">
        <v>713</v>
      </c>
      <c r="B78">
        <v>75</v>
      </c>
      <c r="D78">
        <v>0</v>
      </c>
      <c r="G78">
        <v>0</v>
      </c>
      <c r="J78">
        <v>0</v>
      </c>
      <c r="M78">
        <v>0</v>
      </c>
    </row>
    <row r="79" spans="1:14" x14ac:dyDescent="0.25">
      <c r="A79" t="s">
        <v>405</v>
      </c>
      <c r="B79">
        <v>75</v>
      </c>
      <c r="D79">
        <v>0</v>
      </c>
    </row>
    <row r="80" spans="1:14" x14ac:dyDescent="0.25">
      <c r="A80" t="s">
        <v>714</v>
      </c>
      <c r="B80">
        <v>75</v>
      </c>
      <c r="C80">
        <v>73</v>
      </c>
      <c r="D80">
        <v>729</v>
      </c>
      <c r="E80">
        <v>0</v>
      </c>
      <c r="F80">
        <v>45</v>
      </c>
      <c r="G80">
        <v>590</v>
      </c>
      <c r="H80">
        <v>0</v>
      </c>
      <c r="I80">
        <v>5</v>
      </c>
      <c r="J80">
        <v>53</v>
      </c>
      <c r="K80">
        <v>0</v>
      </c>
      <c r="L80">
        <v>18</v>
      </c>
      <c r="M80">
        <v>30</v>
      </c>
      <c r="N80">
        <v>0</v>
      </c>
    </row>
    <row r="81" spans="1:14" x14ac:dyDescent="0.25">
      <c r="A81" t="s">
        <v>34</v>
      </c>
      <c r="B81">
        <v>78</v>
      </c>
      <c r="D81">
        <v>80</v>
      </c>
      <c r="E81">
        <v>80</v>
      </c>
      <c r="F81">
        <v>75</v>
      </c>
      <c r="G81">
        <v>75</v>
      </c>
      <c r="L81">
        <v>79</v>
      </c>
      <c r="N81">
        <v>79</v>
      </c>
    </row>
    <row r="82" spans="1:14" x14ac:dyDescent="0.25">
      <c r="A82" t="s">
        <v>35</v>
      </c>
      <c r="B82">
        <v>78</v>
      </c>
      <c r="D82">
        <v>75</v>
      </c>
      <c r="E82">
        <v>79</v>
      </c>
      <c r="F82">
        <v>79</v>
      </c>
      <c r="G82">
        <v>80</v>
      </c>
      <c r="L82">
        <v>80</v>
      </c>
      <c r="N82">
        <v>75</v>
      </c>
    </row>
    <row r="83" spans="1:14" x14ac:dyDescent="0.25">
      <c r="A83" t="s">
        <v>36</v>
      </c>
      <c r="B83">
        <v>78</v>
      </c>
      <c r="D83">
        <v>3</v>
      </c>
      <c r="E83">
        <v>0</v>
      </c>
      <c r="F83">
        <v>1</v>
      </c>
      <c r="G83">
        <v>2</v>
      </c>
      <c r="L83">
        <v>2</v>
      </c>
      <c r="N83">
        <v>0</v>
      </c>
    </row>
    <row r="87" spans="1:14" x14ac:dyDescent="0.25">
      <c r="A87" t="s">
        <v>716</v>
      </c>
      <c r="B87">
        <v>75</v>
      </c>
      <c r="C87">
        <v>0</v>
      </c>
    </row>
    <row r="88" spans="1:14" x14ac:dyDescent="0.25">
      <c r="A88" t="s">
        <v>717</v>
      </c>
      <c r="B88">
        <v>75</v>
      </c>
      <c r="C88">
        <v>70.3</v>
      </c>
    </row>
    <row r="89" spans="1:14" x14ac:dyDescent="0.25">
      <c r="A89" t="s">
        <v>718</v>
      </c>
      <c r="B89">
        <v>75</v>
      </c>
      <c r="C89">
        <v>0</v>
      </c>
    </row>
    <row r="90" spans="1:14" x14ac:dyDescent="0.25">
      <c r="A90" t="s">
        <v>719</v>
      </c>
      <c r="B90">
        <v>75</v>
      </c>
      <c r="C90">
        <v>0</v>
      </c>
    </row>
    <row r="91" spans="1:14" x14ac:dyDescent="0.25">
      <c r="A91" t="s">
        <v>720</v>
      </c>
      <c r="B91">
        <v>75</v>
      </c>
      <c r="C91">
        <v>206</v>
      </c>
    </row>
    <row r="92" spans="1:14" x14ac:dyDescent="0.25">
      <c r="A92" t="s">
        <v>563</v>
      </c>
      <c r="B92">
        <v>75</v>
      </c>
      <c r="C92">
        <v>0</v>
      </c>
    </row>
    <row r="93" spans="1:14" x14ac:dyDescent="0.25">
      <c r="A93" t="s">
        <v>721</v>
      </c>
      <c r="B93">
        <v>75</v>
      </c>
      <c r="C93">
        <v>0</v>
      </c>
    </row>
    <row r="94" spans="1:14" x14ac:dyDescent="0.25">
      <c r="A94" t="s">
        <v>272</v>
      </c>
      <c r="B94">
        <v>75</v>
      </c>
      <c r="C94">
        <v>0</v>
      </c>
    </row>
    <row r="95" spans="1:14" x14ac:dyDescent="0.25">
      <c r="A95" t="s">
        <v>722</v>
      </c>
      <c r="B95">
        <v>75</v>
      </c>
      <c r="C95">
        <v>75</v>
      </c>
    </row>
    <row r="96" spans="1:14" x14ac:dyDescent="0.25">
      <c r="A96" t="s">
        <v>723</v>
      </c>
      <c r="B96">
        <v>75</v>
      </c>
      <c r="C96">
        <v>0</v>
      </c>
    </row>
    <row r="100" spans="1:10" x14ac:dyDescent="0.25">
      <c r="A100" t="s">
        <v>254</v>
      </c>
      <c r="B100">
        <v>75</v>
      </c>
      <c r="C100">
        <v>111</v>
      </c>
      <c r="D100">
        <v>112</v>
      </c>
      <c r="E100">
        <v>211</v>
      </c>
      <c r="F100">
        <v>212</v>
      </c>
      <c r="G100">
        <v>121</v>
      </c>
      <c r="H100">
        <v>122</v>
      </c>
      <c r="I100">
        <v>221</v>
      </c>
      <c r="J100">
        <v>222</v>
      </c>
    </row>
    <row r="101" spans="1:10" x14ac:dyDescent="0.25">
      <c r="A101" t="s">
        <v>255</v>
      </c>
      <c r="B101">
        <v>75</v>
      </c>
      <c r="C101">
        <v>6</v>
      </c>
      <c r="D101">
        <v>20</v>
      </c>
      <c r="E101">
        <v>6</v>
      </c>
      <c r="F101">
        <v>6</v>
      </c>
      <c r="G101">
        <v>6</v>
      </c>
      <c r="H101">
        <v>20</v>
      </c>
      <c r="I101">
        <v>6</v>
      </c>
      <c r="J101">
        <v>6</v>
      </c>
    </row>
    <row r="102" spans="1:10" x14ac:dyDescent="0.25">
      <c r="A102" t="s">
        <v>256</v>
      </c>
      <c r="B102">
        <v>75</v>
      </c>
      <c r="C102">
        <v>6.5</v>
      </c>
      <c r="D102">
        <v>20</v>
      </c>
      <c r="E102">
        <v>6.5</v>
      </c>
      <c r="F102">
        <v>18</v>
      </c>
      <c r="G102">
        <v>6.5</v>
      </c>
      <c r="H102">
        <v>20</v>
      </c>
      <c r="I102">
        <v>6.5</v>
      </c>
      <c r="J102">
        <v>18</v>
      </c>
    </row>
    <row r="103" spans="1:10" x14ac:dyDescent="0.25">
      <c r="A103" t="s">
        <v>257</v>
      </c>
      <c r="B103">
        <v>75</v>
      </c>
      <c r="C103">
        <v>3</v>
      </c>
      <c r="D103">
        <v>3</v>
      </c>
      <c r="E103">
        <v>3</v>
      </c>
      <c r="F103">
        <v>3</v>
      </c>
      <c r="G103">
        <v>3</v>
      </c>
      <c r="H103">
        <v>3</v>
      </c>
      <c r="I103">
        <v>3</v>
      </c>
      <c r="J103">
        <v>3</v>
      </c>
    </row>
    <row r="104" spans="1:10" x14ac:dyDescent="0.25">
      <c r="A104" t="s">
        <v>258</v>
      </c>
      <c r="B104">
        <v>75</v>
      </c>
      <c r="C104">
        <v>0</v>
      </c>
      <c r="D104">
        <v>0</v>
      </c>
      <c r="E104">
        <v>0</v>
      </c>
      <c r="F104">
        <v>0</v>
      </c>
      <c r="G104">
        <v>0</v>
      </c>
      <c r="H104">
        <v>0</v>
      </c>
      <c r="I104">
        <v>0</v>
      </c>
      <c r="J104">
        <v>0</v>
      </c>
    </row>
    <row r="105" spans="1:10" x14ac:dyDescent="0.25">
      <c r="A105" t="s">
        <v>259</v>
      </c>
      <c r="B105">
        <v>75</v>
      </c>
      <c r="C105">
        <v>0</v>
      </c>
      <c r="D105">
        <v>0</v>
      </c>
      <c r="E105">
        <v>0</v>
      </c>
      <c r="F105">
        <v>0</v>
      </c>
      <c r="G105">
        <v>0</v>
      </c>
      <c r="H105">
        <v>0</v>
      </c>
      <c r="I105">
        <v>0</v>
      </c>
      <c r="J105">
        <v>0</v>
      </c>
    </row>
    <row r="106" spans="1:10" x14ac:dyDescent="0.25">
      <c r="A106" t="s">
        <v>260</v>
      </c>
      <c r="B106">
        <v>75</v>
      </c>
      <c r="C106">
        <v>3</v>
      </c>
      <c r="D106">
        <v>3</v>
      </c>
      <c r="E106">
        <v>3</v>
      </c>
      <c r="F106">
        <v>3</v>
      </c>
      <c r="G106">
        <v>3</v>
      </c>
      <c r="H106">
        <v>3</v>
      </c>
      <c r="I106">
        <v>3</v>
      </c>
      <c r="J106">
        <v>3</v>
      </c>
    </row>
    <row r="107" spans="1:10" x14ac:dyDescent="0.25">
      <c r="A107" t="s">
        <v>261</v>
      </c>
      <c r="B107">
        <v>75</v>
      </c>
      <c r="C107">
        <v>3</v>
      </c>
      <c r="D107">
        <v>4.3</v>
      </c>
      <c r="E107">
        <v>3</v>
      </c>
      <c r="F107">
        <v>3</v>
      </c>
      <c r="G107">
        <v>3</v>
      </c>
      <c r="H107">
        <v>4.3</v>
      </c>
      <c r="I107">
        <v>3</v>
      </c>
      <c r="J107">
        <v>3</v>
      </c>
    </row>
    <row r="108" spans="1:10" x14ac:dyDescent="0.25">
      <c r="A108" t="s">
        <v>262</v>
      </c>
      <c r="B108">
        <v>75</v>
      </c>
      <c r="C108">
        <v>1</v>
      </c>
      <c r="D108">
        <v>1</v>
      </c>
      <c r="E108">
        <v>1</v>
      </c>
      <c r="F108">
        <v>2.9</v>
      </c>
      <c r="G108">
        <v>1</v>
      </c>
      <c r="H108">
        <v>1.1000000000000001</v>
      </c>
      <c r="I108">
        <v>1</v>
      </c>
      <c r="J108">
        <v>2.8</v>
      </c>
    </row>
    <row r="109" spans="1:10" x14ac:dyDescent="0.25">
      <c r="A109" t="s">
        <v>263</v>
      </c>
      <c r="B109">
        <v>75</v>
      </c>
      <c r="C109">
        <v>3</v>
      </c>
      <c r="D109">
        <v>3</v>
      </c>
      <c r="E109">
        <v>3</v>
      </c>
      <c r="F109">
        <v>3</v>
      </c>
      <c r="G109">
        <v>3</v>
      </c>
      <c r="H109">
        <v>3</v>
      </c>
      <c r="I109">
        <v>3</v>
      </c>
      <c r="J109">
        <v>3</v>
      </c>
    </row>
    <row r="110" spans="1:10" x14ac:dyDescent="0.25">
      <c r="A110" t="s">
        <v>264</v>
      </c>
      <c r="B110">
        <v>75</v>
      </c>
      <c r="D110">
        <v>7</v>
      </c>
      <c r="F110">
        <v>7</v>
      </c>
      <c r="H110">
        <v>7</v>
      </c>
      <c r="J110">
        <v>7</v>
      </c>
    </row>
    <row r="111" spans="1:10" x14ac:dyDescent="0.25">
      <c r="A111" t="s">
        <v>265</v>
      </c>
      <c r="B111">
        <v>75</v>
      </c>
      <c r="D111">
        <v>11</v>
      </c>
      <c r="F111">
        <v>11</v>
      </c>
      <c r="H111">
        <v>11</v>
      </c>
      <c r="J111">
        <v>11</v>
      </c>
    </row>
    <row r="112" spans="1:10" x14ac:dyDescent="0.25">
      <c r="A112" t="s">
        <v>266</v>
      </c>
      <c r="B112">
        <v>75</v>
      </c>
      <c r="D112">
        <v>0</v>
      </c>
      <c r="F112">
        <v>0</v>
      </c>
      <c r="H112">
        <v>0</v>
      </c>
      <c r="J112">
        <v>0</v>
      </c>
    </row>
    <row r="113" spans="1:10" x14ac:dyDescent="0.25">
      <c r="A113" t="s">
        <v>267</v>
      </c>
      <c r="B113">
        <v>75</v>
      </c>
      <c r="C113">
        <v>10.5</v>
      </c>
      <c r="D113">
        <v>25.3</v>
      </c>
      <c r="E113">
        <v>10.5</v>
      </c>
      <c r="F113">
        <v>23.9</v>
      </c>
      <c r="G113">
        <v>10.5</v>
      </c>
      <c r="H113">
        <v>25.4</v>
      </c>
      <c r="I113">
        <v>10.5</v>
      </c>
      <c r="J113">
        <v>23.8</v>
      </c>
    </row>
    <row r="114" spans="1:10" x14ac:dyDescent="0.25">
      <c r="A114" t="s">
        <v>268</v>
      </c>
      <c r="B114">
        <v>75</v>
      </c>
      <c r="C114">
        <v>0</v>
      </c>
      <c r="D114">
        <v>1</v>
      </c>
      <c r="E114">
        <v>0</v>
      </c>
      <c r="F114">
        <v>1</v>
      </c>
      <c r="G114">
        <v>0</v>
      </c>
      <c r="H114">
        <v>1</v>
      </c>
      <c r="I114">
        <v>0</v>
      </c>
      <c r="J114">
        <v>1</v>
      </c>
    </row>
    <row r="115" spans="1:10" x14ac:dyDescent="0.25">
      <c r="A115" t="s">
        <v>269</v>
      </c>
      <c r="B115">
        <v>75</v>
      </c>
      <c r="C115">
        <v>1</v>
      </c>
      <c r="D115">
        <v>1</v>
      </c>
      <c r="E115">
        <v>1</v>
      </c>
      <c r="F115">
        <v>1</v>
      </c>
      <c r="G115">
        <v>1</v>
      </c>
      <c r="H115">
        <v>1</v>
      </c>
      <c r="I115">
        <v>1</v>
      </c>
      <c r="J115">
        <v>1</v>
      </c>
    </row>
    <row r="116" spans="1:10" x14ac:dyDescent="0.25">
      <c r="A116" t="s">
        <v>270</v>
      </c>
      <c r="B116">
        <v>75</v>
      </c>
      <c r="C116">
        <v>59.8</v>
      </c>
      <c r="D116">
        <v>0</v>
      </c>
      <c r="E116">
        <v>25.4</v>
      </c>
      <c r="F116">
        <v>35.9</v>
      </c>
      <c r="G116">
        <v>59.8</v>
      </c>
      <c r="H116">
        <v>0</v>
      </c>
      <c r="I116">
        <v>25.4</v>
      </c>
      <c r="J116">
        <v>35.9</v>
      </c>
    </row>
    <row r="117" spans="1:10" x14ac:dyDescent="0.25">
      <c r="A117" t="s">
        <v>271</v>
      </c>
      <c r="B117">
        <v>75</v>
      </c>
      <c r="C117">
        <v>0</v>
      </c>
      <c r="D117">
        <v>25.4</v>
      </c>
      <c r="E117">
        <v>35.9</v>
      </c>
      <c r="F117">
        <v>59.8</v>
      </c>
      <c r="G117">
        <v>0</v>
      </c>
      <c r="H117">
        <v>25.4</v>
      </c>
      <c r="I117">
        <v>35.9</v>
      </c>
      <c r="J117">
        <v>59.8</v>
      </c>
    </row>
    <row r="118" spans="1:10" x14ac:dyDescent="0.25">
      <c r="A118" t="s">
        <v>272</v>
      </c>
      <c r="B118">
        <v>75</v>
      </c>
      <c r="C118">
        <v>66.3</v>
      </c>
      <c r="D118">
        <v>20.100000000000001</v>
      </c>
      <c r="E118">
        <v>31.9</v>
      </c>
      <c r="F118">
        <v>53.9</v>
      </c>
      <c r="G118">
        <v>66.3</v>
      </c>
      <c r="H118">
        <v>20</v>
      </c>
      <c r="I118">
        <v>31.9</v>
      </c>
      <c r="J118">
        <v>54</v>
      </c>
    </row>
    <row r="119" spans="1:10" x14ac:dyDescent="0.25">
      <c r="A119" t="s">
        <v>273</v>
      </c>
      <c r="B119">
        <v>75</v>
      </c>
      <c r="C119">
        <v>66.3</v>
      </c>
      <c r="D119">
        <v>9.1</v>
      </c>
      <c r="E119">
        <v>31.9</v>
      </c>
      <c r="F119">
        <v>42.9</v>
      </c>
      <c r="G119">
        <v>66.3</v>
      </c>
      <c r="H119">
        <v>9</v>
      </c>
      <c r="I119">
        <v>31.9</v>
      </c>
      <c r="J119">
        <v>43</v>
      </c>
    </row>
    <row r="120" spans="1:10" x14ac:dyDescent="0.25">
      <c r="A120" t="s">
        <v>274</v>
      </c>
      <c r="B120">
        <v>75</v>
      </c>
      <c r="C120">
        <v>59.8</v>
      </c>
      <c r="D120">
        <v>0</v>
      </c>
      <c r="E120">
        <v>25.4</v>
      </c>
      <c r="F120">
        <v>35.9</v>
      </c>
      <c r="G120">
        <v>59.8</v>
      </c>
      <c r="H120">
        <v>0</v>
      </c>
      <c r="I120">
        <v>25.4</v>
      </c>
      <c r="J120">
        <v>35.9</v>
      </c>
    </row>
    <row r="121" spans="1:10" x14ac:dyDescent="0.25">
      <c r="A121" t="s">
        <v>275</v>
      </c>
      <c r="B121">
        <v>75</v>
      </c>
      <c r="C121">
        <v>66.3</v>
      </c>
      <c r="D121">
        <v>20.100000000000001</v>
      </c>
      <c r="E121">
        <v>31.9</v>
      </c>
      <c r="F121">
        <v>53.9</v>
      </c>
      <c r="G121">
        <v>66.3</v>
      </c>
      <c r="H121">
        <v>20</v>
      </c>
      <c r="I121">
        <v>31.9</v>
      </c>
      <c r="J121">
        <v>54</v>
      </c>
    </row>
    <row r="122" spans="1:10" x14ac:dyDescent="0.25">
      <c r="A122" t="s">
        <v>276</v>
      </c>
      <c r="B122">
        <v>75</v>
      </c>
      <c r="C122">
        <v>66.3</v>
      </c>
      <c r="D122">
        <v>9.1</v>
      </c>
      <c r="E122">
        <v>31.9</v>
      </c>
      <c r="F122">
        <v>42.9</v>
      </c>
      <c r="G122">
        <v>66.3</v>
      </c>
      <c r="H122">
        <v>9</v>
      </c>
      <c r="I122">
        <v>31.9</v>
      </c>
      <c r="J122">
        <v>43</v>
      </c>
    </row>
    <row r="123" spans="1:10" x14ac:dyDescent="0.25">
      <c r="A123" t="s">
        <v>567</v>
      </c>
      <c r="B123">
        <v>75</v>
      </c>
      <c r="C123">
        <v>6.5</v>
      </c>
      <c r="D123">
        <v>20.100000000000001</v>
      </c>
      <c r="E123">
        <v>6.5</v>
      </c>
      <c r="F123">
        <v>18</v>
      </c>
      <c r="G123">
        <v>6.5</v>
      </c>
      <c r="H123">
        <v>20</v>
      </c>
      <c r="I123">
        <v>6.5</v>
      </c>
      <c r="J123">
        <v>18.100000000000001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75_SR 95_Aztec Rd</v>
      </c>
    </row>
    <row r="2" spans="1:9" x14ac:dyDescent="0.25">
      <c r="A2" s="162">
        <f>UTDF_input!B4</f>
        <v>75</v>
      </c>
      <c r="B2" s="162">
        <f>'Phase calculation'!C156</f>
        <v>7</v>
      </c>
      <c r="C2" s="162"/>
      <c r="D2" s="162">
        <f>'Phase calculation'!C158</f>
        <v>7</v>
      </c>
      <c r="E2" s="162" t="str">
        <f>'Phase calculation'!C159</f>
        <v>Protected</v>
      </c>
      <c r="F2" s="257" t="str">
        <f>'Phase calculation'!C160</f>
        <v>EBL</v>
      </c>
    </row>
    <row r="3" spans="1:9" x14ac:dyDescent="0.25">
      <c r="A3" s="162">
        <f>$A$2</f>
        <v>75</v>
      </c>
      <c r="B3" s="162">
        <f>'Phase calculation'!D156</f>
        <v>4</v>
      </c>
      <c r="C3" s="162"/>
      <c r="D3" s="162">
        <f>'Phase calculation'!D158</f>
        <v>4</v>
      </c>
      <c r="E3" s="162" t="str">
        <f>'Phase calculation'!D159</f>
        <v>Protected</v>
      </c>
      <c r="F3" s="257" t="str">
        <f>'Phase calculation'!D160</f>
        <v>EBT</v>
      </c>
    </row>
    <row r="4" spans="1:9" x14ac:dyDescent="0.25">
      <c r="A4" s="162">
        <f t="shared" ref="A4:A13" si="0">$A$2</f>
        <v>75</v>
      </c>
      <c r="B4" s="162" t="str">
        <f>'Phase calculation'!E156</f>
        <v>41</v>
      </c>
      <c r="C4" s="162"/>
      <c r="D4" s="162">
        <f>'Phase calculation'!E158</f>
        <v>4</v>
      </c>
      <c r="E4" s="162" t="str">
        <f>'Phase calculation'!E159</f>
        <v>RTOR</v>
      </c>
      <c r="F4" s="257" t="str">
        <f>'Phase calculation'!E160</f>
        <v>EBR</v>
      </c>
    </row>
    <row r="5" spans="1:9" x14ac:dyDescent="0.25">
      <c r="A5" s="162">
        <f t="shared" si="0"/>
        <v>75</v>
      </c>
      <c r="B5" s="162" t="str">
        <f>'Phase calculation'!F156</f>
        <v>82</v>
      </c>
      <c r="C5" s="162"/>
      <c r="D5" s="162">
        <f>'Phase calculation'!F158</f>
        <v>8</v>
      </c>
      <c r="E5" s="162" t="str">
        <f>'Phase calculation'!F159</f>
        <v>Permissive</v>
      </c>
      <c r="F5" s="257" t="str">
        <f>'Phase calculation'!F160</f>
        <v>WBL</v>
      </c>
    </row>
    <row r="6" spans="1:9" x14ac:dyDescent="0.25">
      <c r="A6" s="162">
        <f t="shared" si="0"/>
        <v>75</v>
      </c>
      <c r="B6" s="162">
        <f>'Phase calculation'!G156</f>
        <v>8</v>
      </c>
      <c r="C6" s="162"/>
      <c r="D6" s="162">
        <f>'Phase calculation'!G158</f>
        <v>8</v>
      </c>
      <c r="E6" s="162" t="str">
        <f>'Phase calculation'!G159</f>
        <v>Protected</v>
      </c>
      <c r="F6" s="257" t="str">
        <f>'Phase calculation'!G160</f>
        <v>WBT</v>
      </c>
    </row>
    <row r="7" spans="1:9" x14ac:dyDescent="0.25">
      <c r="A7" s="162">
        <f t="shared" si="0"/>
        <v>75</v>
      </c>
      <c r="B7" s="162" t="str">
        <f>'Phase calculation'!H156</f>
        <v>81</v>
      </c>
      <c r="C7" s="162"/>
      <c r="D7" s="162">
        <f>'Phase calculation'!H158</f>
        <v>8</v>
      </c>
      <c r="E7" s="162" t="str">
        <f>'Phase calculation'!H159</f>
        <v>RTOR</v>
      </c>
      <c r="F7" s="257" t="str">
        <f>'Phase calculation'!H160</f>
        <v>WBR</v>
      </c>
    </row>
    <row r="8" spans="1:9" x14ac:dyDescent="0.25">
      <c r="A8" s="162">
        <f t="shared" si="0"/>
        <v>75</v>
      </c>
      <c r="B8" s="162">
        <f>'Phase calculation'!I156</f>
        <v>5</v>
      </c>
      <c r="C8" s="162"/>
      <c r="D8" s="162">
        <f>'Phase calculation'!I158</f>
        <v>5</v>
      </c>
      <c r="E8" s="162" t="str">
        <f>'Phase calculation'!I159</f>
        <v>Protected</v>
      </c>
      <c r="F8" s="257" t="str">
        <f>'Phase calculation'!I160</f>
        <v>NBL</v>
      </c>
    </row>
    <row r="9" spans="1:9" x14ac:dyDescent="0.25">
      <c r="A9" s="162">
        <f t="shared" si="0"/>
        <v>75</v>
      </c>
      <c r="B9" s="162">
        <f>'Phase calculation'!J156</f>
        <v>2</v>
      </c>
      <c r="C9" s="162"/>
      <c r="D9" s="162">
        <f>'Phase calculation'!J158</f>
        <v>2</v>
      </c>
      <c r="E9" s="162" t="str">
        <f>'Phase calculation'!J159</f>
        <v>Protected</v>
      </c>
      <c r="F9" s="257" t="str">
        <f>'Phase calculation'!J160</f>
        <v>NBT</v>
      </c>
    </row>
    <row r="10" spans="1:9" x14ac:dyDescent="0.25">
      <c r="A10" s="162">
        <f t="shared" si="0"/>
        <v>75</v>
      </c>
      <c r="B10" s="162" t="str">
        <f>'Phase calculation'!K156</f>
        <v>21</v>
      </c>
      <c r="C10" s="162"/>
      <c r="D10" s="162">
        <f>'Phase calculation'!K158</f>
        <v>2</v>
      </c>
      <c r="E10" s="162" t="str">
        <f>'Phase calculation'!K159</f>
        <v>RTOR</v>
      </c>
      <c r="F10" s="257" t="str">
        <f>'Phase calculation'!K160</f>
        <v>NBR</v>
      </c>
    </row>
    <row r="11" spans="1:9" x14ac:dyDescent="0.25">
      <c r="A11" s="162">
        <f t="shared" si="0"/>
        <v>75</v>
      </c>
      <c r="B11" s="162" t="str">
        <f>'Phase calculation'!L156</f>
        <v>62</v>
      </c>
      <c r="C11" s="162"/>
      <c r="D11" s="162">
        <f>'Phase calculation'!L158</f>
        <v>6</v>
      </c>
      <c r="E11" s="162" t="str">
        <f>'Phase calculation'!L159</f>
        <v>Permissive</v>
      </c>
      <c r="F11" s="257" t="str">
        <f>'Phase calculation'!L160</f>
        <v>SBL</v>
      </c>
    </row>
    <row r="12" spans="1:9" x14ac:dyDescent="0.25">
      <c r="A12" s="162">
        <f t="shared" si="0"/>
        <v>75</v>
      </c>
      <c r="B12" s="162">
        <f>'Phase calculation'!M156</f>
        <v>6</v>
      </c>
      <c r="C12" s="162"/>
      <c r="D12" s="162">
        <f>'Phase calculation'!M158</f>
        <v>6</v>
      </c>
      <c r="E12" s="162" t="str">
        <f>'Phase calculation'!M159</f>
        <v>Protected</v>
      </c>
      <c r="F12" s="257" t="str">
        <f>'Phase calculation'!M160</f>
        <v>SBT</v>
      </c>
    </row>
    <row r="13" spans="1:9" x14ac:dyDescent="0.25">
      <c r="A13" s="162">
        <f t="shared" si="0"/>
        <v>75</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75</v>
      </c>
      <c r="B16" t="str">
        <f>IF(Phasing!D58=0,"",Phasing!D54)</f>
        <v/>
      </c>
      <c r="C16" t="str">
        <f>IF(B16="","",IF(B16&lt;=4,1,2))</f>
        <v/>
      </c>
      <c r="D16" t="str">
        <f>IF(C16="","",IF(OR(B16=1,B16=2,B16=5,B16=6),1,2))</f>
        <v/>
      </c>
    </row>
    <row r="17" spans="1:13" x14ac:dyDescent="0.25">
      <c r="A17">
        <f t="shared" ref="A17:A23" si="1">$A$2</f>
        <v>75</v>
      </c>
      <c r="B17">
        <f>IF(Phasing!E58=0,"",Phasing!E54)</f>
        <v>2</v>
      </c>
      <c r="C17">
        <f t="shared" ref="C17:C23" si="2">IF(B17="","",IF(B17&lt;=4,1,2))</f>
        <v>1</v>
      </c>
      <c r="D17">
        <f t="shared" ref="D17:D23" si="3">IF(C17="","",IF(OR(B17=1,B17=2,B17=5,B17=6),1,2))</f>
        <v>1</v>
      </c>
    </row>
    <row r="18" spans="1:13" x14ac:dyDescent="0.25">
      <c r="A18">
        <f t="shared" si="1"/>
        <v>75</v>
      </c>
      <c r="B18" t="str">
        <f>IF(Phasing!F58=0,"",Phasing!F54)</f>
        <v/>
      </c>
      <c r="C18" t="str">
        <f t="shared" si="2"/>
        <v/>
      </c>
      <c r="D18" t="str">
        <f t="shared" si="3"/>
        <v/>
      </c>
    </row>
    <row r="19" spans="1:13" x14ac:dyDescent="0.25">
      <c r="A19">
        <f t="shared" si="1"/>
        <v>75</v>
      </c>
      <c r="B19">
        <f>IF(Phasing!G58=0,"",Phasing!G54)</f>
        <v>4</v>
      </c>
      <c r="C19">
        <f t="shared" si="2"/>
        <v>1</v>
      </c>
      <c r="D19">
        <f t="shared" si="3"/>
        <v>2</v>
      </c>
    </row>
    <row r="20" spans="1:13" x14ac:dyDescent="0.25">
      <c r="A20">
        <f t="shared" si="1"/>
        <v>75</v>
      </c>
      <c r="B20">
        <f>IF(Phasing!H58=0,"",Phasing!H54)</f>
        <v>5</v>
      </c>
      <c r="C20">
        <f t="shared" si="2"/>
        <v>2</v>
      </c>
      <c r="D20">
        <f t="shared" si="3"/>
        <v>1</v>
      </c>
    </row>
    <row r="21" spans="1:13" x14ac:dyDescent="0.25">
      <c r="A21">
        <f t="shared" si="1"/>
        <v>75</v>
      </c>
      <c r="B21">
        <f>IF(Phasing!I58=0,"",Phasing!I54)</f>
        <v>6</v>
      </c>
      <c r="C21">
        <f t="shared" si="2"/>
        <v>2</v>
      </c>
      <c r="D21">
        <f t="shared" si="3"/>
        <v>1</v>
      </c>
    </row>
    <row r="22" spans="1:13" x14ac:dyDescent="0.25">
      <c r="A22">
        <f t="shared" si="1"/>
        <v>75</v>
      </c>
      <c r="B22">
        <f>IF(Phasing!J58=0,"",Phasing!J54)</f>
        <v>7</v>
      </c>
      <c r="C22">
        <f t="shared" si="2"/>
        <v>2</v>
      </c>
      <c r="D22">
        <f t="shared" si="3"/>
        <v>2</v>
      </c>
    </row>
    <row r="23" spans="1:13" x14ac:dyDescent="0.25">
      <c r="A23">
        <f t="shared" si="1"/>
        <v>75</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75</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75</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25">
      <c r="A28" s="162" t="str">
        <f t="shared" si="4"/>
        <v/>
      </c>
      <c r="B28" s="162">
        <f t="shared" si="6"/>
        <v>75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75</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25">
      <c r="A30" s="162">
        <f t="shared" si="4"/>
        <v>1</v>
      </c>
      <c r="B30" s="162">
        <f t="shared" si="6"/>
        <v>75</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75</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f t="shared" si="4"/>
        <v>1</v>
      </c>
      <c r="B32" s="162">
        <f t="shared" si="6"/>
        <v>75</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25">
      <c r="A33" s="162">
        <f t="shared" si="4"/>
        <v>1</v>
      </c>
      <c r="B33" s="162">
        <f t="shared" si="6"/>
        <v>75</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75</v>
      </c>
      <c r="B36">
        <v>1</v>
      </c>
      <c r="C36" t="s">
        <v>635</v>
      </c>
      <c r="D36">
        <f>'Phase calculation'!C25</f>
        <v>80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75</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25">
      <c r="A3">
        <f>GMNS!$A$2</f>
        <v>75</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25">
      <c r="A4">
        <f>GMNS!$A$2</f>
        <v>75</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25">
      <c r="A5">
        <f>GMNS!$A$2</f>
        <v>75</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25">
      <c r="A6">
        <f>GMNS!$A$2</f>
        <v>75</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25">
      <c r="A7">
        <f>GMNS!$A$2</f>
        <v>75</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25">
      <c r="A8">
        <f>GMNS!$A$2</f>
        <v>75</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75</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75</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75</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25">
      <c r="A12">
        <f>GMNS!$A$2</f>
        <v>75</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25">
      <c r="A13">
        <f>GMNS!$A$2</f>
        <v>75</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2025-02-21T15:18:36Z</dcterms:modified>
</cp:coreProperties>
</file>