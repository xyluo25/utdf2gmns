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xyluo25\anaconda3_workspace\001_GitHub\utdf2gmns\datasets\data_bullhead_seg4\utdf_to_gmns_signal_ints\"/>
    </mc:Choice>
  </mc:AlternateContent>
  <xr:revisionPtr revIDLastSave="0" documentId="13_ncr:1_{DF6FB9DA-1378-4EEB-9255-C0F100D4A08C}" xr6:coauthVersionLast="47" xr6:coauthVersionMax="47" xr10:uidLastSave="{00000000-0000-0000-0000-000000000000}"/>
  <bookViews>
    <workbookView xWindow="-108" yWindow="-108" windowWidth="41496" windowHeight="16776"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S56" i="4"/>
  <c r="V44" i="4"/>
  <c r="U55" i="4" s="1"/>
  <c r="R56" i="4" l="1"/>
  <c r="T56" i="4"/>
  <c r="X56" i="4" s="1"/>
  <c r="W56" i="4"/>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G87" i="4"/>
  <c r="I41" i="1" l="1"/>
  <c r="C87" i="4"/>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J41" i="1"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I62" i="4"/>
  <c r="I19" i="9"/>
  <c r="K39" i="4" l="1"/>
  <c r="K37" i="4"/>
  <c r="F35" i="7"/>
  <c r="L67" i="4"/>
  <c r="K84" i="7"/>
  <c r="H94" i="7" s="1"/>
  <c r="S8" i="9"/>
  <c r="S11" i="9" s="1"/>
  <c r="I36" i="4" s="1"/>
  <c r="I39" i="4"/>
  <c r="M14" i="4"/>
  <c r="J25" i="1" s="1"/>
  <c r="L39" i="4"/>
  <c r="L72" i="4"/>
  <c r="D43" i="1"/>
  <c r="L71" i="4"/>
  <c r="J68" i="2"/>
  <c r="I71" i="4"/>
  <c r="E39" i="4"/>
  <c r="N39" i="4"/>
  <c r="I72" i="4"/>
  <c r="M84" i="7"/>
  <c r="L94" i="7" s="1"/>
  <c r="H27" i="7"/>
  <c r="E28" i="7" s="1"/>
  <c r="U8" i="9"/>
  <c r="D7" i="9" s="1"/>
  <c r="I59" i="9"/>
  <c r="Z35" i="9" s="1"/>
  <c r="E11" i="4"/>
  <c r="P24" i="1" s="1"/>
  <c r="E43" i="1"/>
  <c r="C60" i="1"/>
  <c r="D107" i="4"/>
  <c r="D108" i="4" s="1"/>
  <c r="D109" i="4" s="1"/>
  <c r="D111" i="4" s="1"/>
  <c r="D126" i="4" s="1"/>
  <c r="E37" i="4"/>
  <c r="E58" i="9"/>
  <c r="D45" i="1" s="1"/>
  <c r="D44" i="1" s="1"/>
  <c r="H43" i="1"/>
  <c r="I35" i="4"/>
  <c r="I73" i="4" s="1"/>
  <c r="N11" i="4"/>
  <c r="K24" i="1" s="1"/>
  <c r="K94" i="7"/>
  <c r="G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5" i="4"/>
  <c r="N54" i="4"/>
  <c r="K39" i="1" s="1"/>
  <c r="X39" i="9"/>
  <c r="AD39" i="9"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AA38" i="9"/>
  <c r="F59" i="9"/>
  <c r="Z38" i="9" s="1"/>
  <c r="Y38" i="9"/>
  <c r="AE38" i="9" s="1"/>
  <c r="F58" i="9"/>
  <c r="F64" i="4"/>
  <c r="F68" i="4" s="1"/>
  <c r="F54" i="4" s="1"/>
  <c r="S39" i="1" s="1"/>
  <c r="D59" i="1"/>
  <c r="N35" i="1" s="1"/>
  <c r="Y36" i="9"/>
  <c r="AE36" i="9" s="1"/>
  <c r="H58" i="9"/>
  <c r="I64" i="4"/>
  <c r="I68" i="4" s="1"/>
  <c r="I54" i="4" s="1"/>
  <c r="D39" i="1" s="1"/>
  <c r="I76" i="4"/>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J19" i="9"/>
  <c r="J46" i="9" s="1"/>
  <c r="I47" i="9"/>
  <c r="I21" i="9"/>
  <c r="L36" i="4" l="1"/>
  <c r="D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D57" i="9" l="1"/>
  <c r="D21" i="9"/>
  <c r="D38" i="9"/>
  <c r="C51" i="1" s="1"/>
  <c r="L64" i="4"/>
  <c r="L96" i="4"/>
  <c r="L58" i="4" s="1"/>
  <c r="E36" i="1"/>
  <c r="F36" i="1" s="1"/>
  <c r="N36" i="1"/>
  <c r="O36" i="1"/>
  <c r="P36" i="1" s="1"/>
  <c r="D36" i="1"/>
  <c r="K19" i="9"/>
  <c r="K20" i="9" s="1"/>
  <c r="J47" i="9"/>
  <c r="J21" i="9"/>
  <c r="C32" i="21"/>
  <c r="C22" i="21"/>
  <c r="D22" i="21" s="1"/>
  <c r="G19" i="9"/>
  <c r="G20" i="9" s="1"/>
  <c r="F47" i="9"/>
  <c r="F21" i="9"/>
  <c r="C18" i="21"/>
  <c r="D18" i="21" s="1"/>
  <c r="C28" i="21"/>
  <c r="C30" i="21"/>
  <c r="C20" i="21"/>
  <c r="D20" i="21" s="1"/>
  <c r="AC35" i="9"/>
  <c r="AF35" i="9" s="1"/>
  <c r="I63" i="9"/>
  <c r="I64" i="9" s="1"/>
  <c r="I65" i="9" s="1"/>
  <c r="J62" i="9" s="1"/>
  <c r="E25" i="9"/>
  <c r="E52" i="9" s="1"/>
  <c r="D65" i="1" s="1"/>
  <c r="E51" i="9"/>
  <c r="D64" i="1" s="1"/>
  <c r="I25" i="9"/>
  <c r="I52" i="9" s="1"/>
  <c r="H65" i="1" s="1"/>
  <c r="I51" i="9"/>
  <c r="H64" i="1" s="1"/>
  <c r="L68" i="4" l="1"/>
  <c r="L54" i="4" s="1"/>
  <c r="I39" i="1" s="1"/>
  <c r="L37" i="4"/>
  <c r="D22" i="9"/>
  <c r="D49" i="9" s="1"/>
  <c r="C62" i="1" s="1"/>
  <c r="D24" i="9"/>
  <c r="D48" i="9"/>
  <c r="C61" i="1" s="1"/>
  <c r="D59" i="9"/>
  <c r="Z40" i="9" s="1"/>
  <c r="D58" i="9"/>
  <c r="AA40"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47" i="9"/>
  <c r="G21" i="9"/>
  <c r="C45" i="1" l="1"/>
  <c r="C44" i="1" s="1"/>
  <c r="X40" i="9"/>
  <c r="AD40" i="9" s="1"/>
  <c r="AF40" i="9" s="1"/>
  <c r="B16" i="21"/>
  <c r="D63" i="9"/>
  <c r="D64" i="9" s="1"/>
  <c r="D65" i="9" s="1"/>
  <c r="E62" i="9" s="1"/>
  <c r="D51" i="9"/>
  <c r="C64" i="1" s="1"/>
  <c r="D25" i="9"/>
  <c r="D52" i="9" s="1"/>
  <c r="C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E63" i="9" l="1"/>
  <c r="E64" i="9" s="1"/>
  <c r="E65" i="9" s="1"/>
  <c r="F62" i="9" s="1"/>
  <c r="AC39" i="9"/>
  <c r="AF39" i="9" s="1"/>
  <c r="C16" i="21"/>
  <c r="D16" i="21" s="1"/>
  <c r="C26"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26" i="21" l="1"/>
  <c r="J26" i="21"/>
  <c r="G26" i="21"/>
  <c r="D26" i="21"/>
  <c r="F26" i="21"/>
  <c r="E26" i="21"/>
  <c r="AC38" i="9"/>
  <c r="AF38" i="9" s="1"/>
  <c r="F63" i="9"/>
  <c r="F64" i="9" s="1"/>
  <c r="F65" i="9" s="1"/>
  <c r="G62"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G63" i="9" l="1"/>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F46" i="4"/>
  <c r="F125" i="4"/>
  <c r="I87" i="7"/>
  <c r="F124" i="4"/>
  <c r="S20" i="1"/>
  <c r="F45" i="4"/>
  <c r="L49" i="7"/>
  <c r="C47" i="4"/>
  <c r="F68" i="7" s="1"/>
  <c r="N21" i="1" l="1"/>
  <c r="G88" i="7"/>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<sst xmlns="http://schemas.openxmlformats.org/spreadsheetml/2006/main" count="4085" uniqueCount="744">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</sst>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Phasing!$AC$33:$AC$40</c:f>
              <c:numCache>
                <c:formatCode>General</c:formatCode>
                <c:ptCount val="8"/>
                <c:pt idx="0">
                  <c:v>36.000000000000007</c:v>
                </c:pt>
                <c:pt idx="1">
                  <c:v>36.000000000000007</c:v>
                </c:pt>
                <c:pt idx="2">
                  <c:v>0</c:v>
                </c:pt>
                <c:pt idx="3">
                  <c:v>0</c:v>
                </c:pt>
                <c:pt idx="4">
                  <c:v>36.000000000000007</c:v>
                </c:pt>
                <c:pt idx="5">
                  <c:v>36.000000000000007</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Phasing!$AD$33:$AD$40</c:f>
              <c:numCache>
                <c:formatCode>General</c:formatCode>
                <c:ptCount val="8"/>
                <c:pt idx="0">
                  <c:v>29.1</c:v>
                </c:pt>
                <c:pt idx="1">
                  <c:v>0</c:v>
                </c:pt>
                <c:pt idx="2">
                  <c:v>29.400000000000002</c:v>
                </c:pt>
                <c:pt idx="3">
                  <c:v>0</c:v>
                </c:pt>
                <c:pt idx="4">
                  <c:v>0</c:v>
                </c:pt>
                <c:pt idx="5">
                  <c:v>0</c:v>
                </c:pt>
                <c:pt idx="6">
                  <c:v>20.400000000000002</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&gt;</c:v>
                </c:pt>
                <c:pt idx="2">
                  <c:v>$</c:v>
                </c:pt>
                <c:pt idx="6">
                  <c:v>#</c:v>
                </c:pt>
                <c:pt idx="7">
                  <c:v>9</c:v>
                </c:pt>
              </c:strCache>
            </c:strRef>
          </c:cat>
          <c:val>
            <c:numRef>
              <c:f>Phasing!$AE$33:$AE$40</c:f>
              <c:numCache>
                <c:formatCode>General</c:formatCode>
                <c:ptCount val="8"/>
                <c:pt idx="0">
                  <c:v>3</c:v>
                </c:pt>
                <c:pt idx="1">
                  <c:v>0</c:v>
                </c:pt>
                <c:pt idx="2">
                  <c:v>5.4</c:v>
                </c:pt>
                <c:pt idx="3">
                  <c:v>0</c:v>
                </c:pt>
                <c:pt idx="4">
                  <c:v>0</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&gt;</c:v>
                </c:pt>
                <c:pt idx="2">
                  <c:v>$</c:v>
                </c:pt>
                <c:pt idx="6">
                  <c:v>#</c:v>
                </c:pt>
                <c:pt idx="7">
                  <c:v>9</c:v>
                </c:pt>
              </c:strCache>
            </c:strRef>
          </c:cat>
          <c:val>
            <c:numRef>
              <c:f>Phasing!$AF$33:$AF$40</c:f>
              <c:numCache>
                <c:formatCode>0.0</c:formatCode>
                <c:ptCount val="8"/>
                <c:pt idx="0">
                  <c:v>1.8999999999999915</c:v>
                </c:pt>
                <c:pt idx="1">
                  <c:v>33.999999999999993</c:v>
                </c:pt>
                <c:pt idx="2">
                  <c:v>35.199999999999989</c:v>
                </c:pt>
                <c:pt idx="3">
                  <c:v>70</c:v>
                </c:pt>
                <c:pt idx="4">
                  <c:v>33.999999999999993</c:v>
                </c:pt>
                <c:pt idx="5">
                  <c:v>33.999999999999993</c:v>
                </c:pt>
                <c:pt idx="6">
                  <c:v>35.199999999999989</c:v>
                </c:pt>
                <c:pt idx="7">
                  <c:v>62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320540" y="1367790"/>
          <a:ext cx="3185160" cy="190690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209800" y="5562600"/>
          <a:ext cx="2257425" cy="177165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82511" y="864054"/>
          <a:ext cx="3555546" cy="2045153"/>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721568" y="864054"/>
          <a:ext cx="2891518" cy="2045153"/>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63461" y="4176032"/>
          <a:ext cx="3555546" cy="2045154"/>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9066439" y="825954"/>
          <a:ext cx="3526972" cy="2045153"/>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9047389" y="4176032"/>
          <a:ext cx="3536497" cy="2045154"/>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39661" y="7839075"/>
          <a:ext cx="3555546" cy="2045154"/>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748157" y="7858125"/>
          <a:ext cx="3536497" cy="2045154"/>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400675" y="11383736"/>
          <a:ext cx="3536496" cy="2088696"/>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95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3">
      <c r="A4" s="28" t="s">
        <v>72</v>
      </c>
      <c r="B4" s="28">
        <v>4431</v>
      </c>
      <c r="C4" s="28">
        <v>0</v>
      </c>
      <c r="D4" s="28">
        <f>'Input sheet'!I21</f>
        <v>0</v>
      </c>
      <c r="E4" s="28">
        <f>'Input sheet'!J21</f>
        <v>1536</v>
      </c>
      <c r="F4" s="28">
        <f>'Input sheet'!K21</f>
        <v>61</v>
      </c>
      <c r="G4" s="28">
        <v>0</v>
      </c>
      <c r="H4" s="28">
        <v>0</v>
      </c>
      <c r="I4" s="28">
        <f>'Input sheet'!K7</f>
        <v>79</v>
      </c>
      <c r="J4" s="28">
        <f>'Input sheet'!J7</f>
        <v>1175</v>
      </c>
      <c r="K4" s="28">
        <f>'Input sheet'!I7</f>
        <v>0</v>
      </c>
      <c r="L4" s="28">
        <v>0</v>
      </c>
      <c r="M4" s="28">
        <v>0</v>
      </c>
      <c r="N4" s="28">
        <f>'Input sheet'!G12</f>
        <v>0</v>
      </c>
      <c r="O4" s="28">
        <f>'Input sheet'!G14</f>
        <v>0</v>
      </c>
      <c r="P4" s="28">
        <f>'Input sheet'!G16</f>
        <v>0</v>
      </c>
      <c r="Q4" s="28">
        <v>0</v>
      </c>
      <c r="R4" s="28">
        <v>0</v>
      </c>
      <c r="S4" s="28">
        <f>'Input sheet'!M16</f>
        <v>93</v>
      </c>
      <c r="T4" s="28">
        <f>'Input sheet'!M14</f>
        <v>0</v>
      </c>
      <c r="U4" s="28">
        <f>'Input sheet'!M12</f>
        <v>175</v>
      </c>
      <c r="V4" s="28">
        <v>0</v>
      </c>
      <c r="W4" s="28">
        <v>0</v>
      </c>
      <c r="X4" s="28">
        <v>0</v>
      </c>
      <c r="Y4" s="28">
        <v>0</v>
      </c>
      <c r="Z4" s="28">
        <v>0</v>
      </c>
      <c r="AA4" s="28">
        <v>0</v>
      </c>
      <c r="AB4" s="28">
        <v>0</v>
      </c>
      <c r="AC4" s="28">
        <v>0</v>
      </c>
      <c r="AD4" s="28">
        <v>0</v>
      </c>
      <c r="AE4" s="28">
        <v>0</v>
      </c>
      <c r="AF4" s="28">
        <v>0</v>
      </c>
      <c r="AG4" s="28">
        <v>0</v>
      </c>
      <c r="AH4" s="28">
        <v>0</v>
      </c>
    </row>
    <row r="5" spans="1:34" x14ac:dyDescent="0.3">
      <c r="A5" t="s">
        <v>36</v>
      </c>
      <c r="B5">
        <v>4431</v>
      </c>
      <c r="C5">
        <v>0</v>
      </c>
      <c r="D5">
        <f>'Input sheet'!I22</f>
        <v>0</v>
      </c>
      <c r="E5">
        <f>'Input sheet'!J22</f>
        <v>3</v>
      </c>
      <c r="F5">
        <f>'Input sheet'!K22</f>
        <v>0</v>
      </c>
      <c r="G5">
        <v>0</v>
      </c>
      <c r="H5">
        <v>0</v>
      </c>
      <c r="I5">
        <f>'Input sheet'!K6</f>
        <v>1</v>
      </c>
      <c r="J5">
        <f>'Input sheet'!J6</f>
        <v>2</v>
      </c>
      <c r="K5">
        <f>'Input sheet'!I6</f>
        <v>0</v>
      </c>
      <c r="L5">
        <v>0</v>
      </c>
      <c r="M5">
        <v>0</v>
      </c>
      <c r="N5">
        <f>'Input sheet'!F12</f>
        <v>0</v>
      </c>
      <c r="O5">
        <f>'Input sheet'!F14</f>
        <v>0</v>
      </c>
      <c r="P5">
        <f>'Input sheet'!F16</f>
        <v>0</v>
      </c>
      <c r="Q5">
        <v>0</v>
      </c>
      <c r="R5">
        <v>0</v>
      </c>
      <c r="S5">
        <f>'Input sheet'!N16</f>
        <v>2</v>
      </c>
      <c r="T5">
        <f>'Input sheet'!N14</f>
        <v>0</v>
      </c>
      <c r="U5">
        <f>'Input sheet'!N12</f>
        <v>0</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65</v>
      </c>
      <c r="F11">
        <v>0</v>
      </c>
      <c r="G11">
        <v>0</v>
      </c>
      <c r="H11">
        <v>0</v>
      </c>
      <c r="I11">
        <v>0</v>
      </c>
      <c r="J11">
        <f>'Input sheet'!J4</f>
        <v>65</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0</v>
      </c>
      <c r="E14" s="1">
        <f>'Phase designation'!G27</f>
        <v>2</v>
      </c>
      <c r="F14" s="1">
        <v>0</v>
      </c>
      <c r="I14" s="1">
        <f>'Phase designation'!H27</f>
        <v>1</v>
      </c>
      <c r="J14" s="1">
        <f>'Phase designation'!I27</f>
        <v>6</v>
      </c>
      <c r="K14" s="1">
        <v>0</v>
      </c>
      <c r="N14" s="1">
        <f>'Phase designation'!B27</f>
        <v>0</v>
      </c>
      <c r="O14" s="1">
        <f>'Phase designation'!C27</f>
        <v>0</v>
      </c>
      <c r="P14" s="1">
        <v>0</v>
      </c>
      <c r="S14" s="1">
        <f>'Phase designation'!D27</f>
        <v>0</v>
      </c>
      <c r="T14" s="1">
        <f>'Phase designation'!E27</f>
        <v>8</v>
      </c>
      <c r="U14" s="1">
        <v>0</v>
      </c>
    </row>
    <row r="15" spans="1:34" s="1" customFormat="1" x14ac:dyDescent="0.3">
      <c r="A15" s="1" t="s">
        <v>46</v>
      </c>
      <c r="B15" s="1">
        <v>1</v>
      </c>
      <c r="D15" s="1">
        <f>'Phase designation'!F28</f>
        <v>0</v>
      </c>
      <c r="E15" s="1">
        <f>'Phase designation'!G28</f>
        <v>0</v>
      </c>
      <c r="F15" s="1">
        <f>E14</f>
        <v>2</v>
      </c>
      <c r="I15" s="1">
        <f>'Phase designation'!H28</f>
        <v>0</v>
      </c>
      <c r="J15" s="1">
        <f>'Phase designation'!I28</f>
        <v>0</v>
      </c>
      <c r="K15" s="1">
        <f>J14</f>
        <v>6</v>
      </c>
      <c r="N15" s="1">
        <f>'Phase designation'!B28</f>
        <v>0</v>
      </c>
      <c r="O15" s="1">
        <f>'Phase designation'!C28</f>
        <v>0</v>
      </c>
      <c r="P15" s="1">
        <f>O14</f>
        <v>0</v>
      </c>
      <c r="S15" s="1">
        <f>'Phase designation'!D28</f>
        <v>8</v>
      </c>
      <c r="T15" s="1">
        <f>'Phase designation'!E28</f>
        <v>0</v>
      </c>
      <c r="U15" s="1">
        <f>T14</f>
        <v>8</v>
      </c>
    </row>
    <row r="16" spans="1:34" s="1" customFormat="1" x14ac:dyDescent="0.3">
      <c r="A16" s="1" t="s">
        <v>47</v>
      </c>
      <c r="B16" s="1">
        <v>1</v>
      </c>
      <c r="D16" s="1">
        <f>IF(D14&gt;0,D14,D15)</f>
        <v>0</v>
      </c>
      <c r="E16" s="1">
        <f>E14</f>
        <v>2</v>
      </c>
      <c r="F16" s="1">
        <f>E16</f>
        <v>2</v>
      </c>
      <c r="I16" s="1">
        <f>IF(I14&gt;0,I14,I15)</f>
        <v>1</v>
      </c>
      <c r="J16" s="1">
        <f>J14</f>
        <v>6</v>
      </c>
      <c r="K16" s="1">
        <f>J16</f>
        <v>6</v>
      </c>
      <c r="N16" s="1">
        <f>IF(N14&gt;0,N14,N15)</f>
        <v>0</v>
      </c>
      <c r="O16" s="1">
        <f>O14</f>
        <v>0</v>
      </c>
      <c r="P16" s="1">
        <f>O16</f>
        <v>0</v>
      </c>
      <c r="S16" s="1">
        <f>IF(S14&gt;0,S14,S15)</f>
        <v>8</v>
      </c>
      <c r="T16" s="1">
        <f>T14</f>
        <v>8</v>
      </c>
      <c r="U16" s="1">
        <f>T16</f>
        <v>8</v>
      </c>
    </row>
    <row r="17" spans="1:21" s="82" customFormat="1" x14ac:dyDescent="0.3">
      <c r="A17" s="82" t="s">
        <v>148</v>
      </c>
      <c r="B17" s="82">
        <v>1</v>
      </c>
      <c r="D17" s="82">
        <f>'Phase calculation'!I38</f>
        <v>0</v>
      </c>
      <c r="E17" s="82">
        <f>'Phase calculation'!J38</f>
        <v>23</v>
      </c>
      <c r="F17" s="82">
        <f>'Phase calculation'!K38</f>
        <v>23</v>
      </c>
      <c r="I17" s="82">
        <f>'Phase calculation'!L38</f>
        <v>5</v>
      </c>
      <c r="J17" s="82">
        <f>'Phase calculation'!M38</f>
        <v>32</v>
      </c>
      <c r="K17" s="82">
        <f>'Phase calculation'!N38</f>
        <v>32</v>
      </c>
      <c r="N17" s="82">
        <f>'Phase calculation'!C38</f>
        <v>0</v>
      </c>
      <c r="O17" s="82">
        <f>'Phase calculation'!D38</f>
        <v>0</v>
      </c>
      <c r="P17" s="82">
        <f>'Phase calculation'!E38</f>
        <v>0</v>
      </c>
      <c r="S17" s="82">
        <f>'Phase calculation'!F38</f>
        <v>30</v>
      </c>
      <c r="T17" s="82">
        <f>'Phase calculation'!G38</f>
        <v>30</v>
      </c>
      <c r="U17" s="82">
        <f>'Phase calculation'!H38</f>
        <v>30</v>
      </c>
    </row>
    <row r="18" spans="1:21" s="1" customFormat="1" x14ac:dyDescent="0.3">
      <c r="A18" s="1" t="s">
        <v>149</v>
      </c>
      <c r="B18" s="1">
        <v>1</v>
      </c>
      <c r="D18" s="1" t="e">
        <f>'Phase calculation'!I41</f>
        <v>#N/A</v>
      </c>
      <c r="E18" s="1">
        <f>'Phase calculation'!J41</f>
        <v>1388</v>
      </c>
      <c r="F18" s="1">
        <f>'Phase calculation'!K41</f>
        <v>11562</v>
      </c>
      <c r="I18" s="1" t="e">
        <f>'Phase calculation'!L41</f>
        <v>#N/A</v>
      </c>
      <c r="J18" s="1">
        <f>'Phase calculation'!M41</f>
        <v>1287</v>
      </c>
      <c r="K18" s="1">
        <f>'Phase calculation'!N41</f>
        <v>2574</v>
      </c>
      <c r="N18" s="1">
        <f>'Phase calculation'!C41</f>
        <v>0</v>
      </c>
      <c r="O18" s="1">
        <f>'Phase calculation'!D41</f>
        <v>0</v>
      </c>
      <c r="P18" s="1">
        <f>'Phase calculation'!E41</f>
        <v>0</v>
      </c>
      <c r="S18" s="1">
        <f>'Phase calculation'!F41</f>
        <v>4826</v>
      </c>
      <c r="T18" s="1">
        <f>'Phase calculation'!G41</f>
        <v>2413</v>
      </c>
      <c r="U18" s="1">
        <f>'Phase calculation'!H41</f>
        <v>0</v>
      </c>
    </row>
    <row r="19" spans="1:21" s="120" customFormat="1" x14ac:dyDescent="0.3">
      <c r="A19" s="120" t="s">
        <v>135</v>
      </c>
      <c r="B19" s="120">
        <v>1</v>
      </c>
      <c r="D19" s="120" t="e">
        <f>'Phase calculation'!I40</f>
        <v>#N/A</v>
      </c>
      <c r="E19" s="120">
        <f>'Phase calculation'!J40</f>
        <v>1.25</v>
      </c>
      <c r="F19" s="120">
        <f>'Phase calculation'!K40</f>
        <v>5.1029233696592282E-3</v>
      </c>
      <c r="I19" s="120" t="e">
        <f>'Phase calculation'!L40</f>
        <v>#N/A</v>
      </c>
      <c r="J19" s="120">
        <f>'Phase calculation'!M40</f>
        <v>0.99</v>
      </c>
      <c r="K19" s="120">
        <f>'Phase calculation'!N40</f>
        <v>0</v>
      </c>
      <c r="N19" s="120">
        <f>'Phase calculation'!C40</f>
        <v>0</v>
      </c>
      <c r="O19" s="120">
        <f>'Phase calculation'!D40</f>
        <v>0</v>
      </c>
      <c r="P19" s="120">
        <f>'Phase calculation'!E40</f>
        <v>0</v>
      </c>
      <c r="S19" s="120">
        <f>'Phase calculation'!F40</f>
        <v>0.02</v>
      </c>
      <c r="T19" s="120">
        <f>'Phase calculation'!G40</f>
        <v>0.08</v>
      </c>
      <c r="U19" s="120">
        <f>'Phase calculation'!H40</f>
        <v>0</v>
      </c>
    </row>
    <row r="20" spans="1:21" s="121" customFormat="1" x14ac:dyDescent="0.3">
      <c r="A20" s="121" t="s">
        <v>150</v>
      </c>
      <c r="B20" s="121">
        <v>1</v>
      </c>
      <c r="D20" s="121">
        <f>'Phase calculation'!I44</f>
        <v>0</v>
      </c>
      <c r="E20" s="121">
        <f>'Phase calculation'!J44</f>
        <v>142.15</v>
      </c>
      <c r="F20" s="121">
        <f>'Phase calculation'!K44</f>
        <v>15.81</v>
      </c>
      <c r="I20" s="121" t="e">
        <f>'Phase calculation'!L44</f>
        <v>#N/A</v>
      </c>
      <c r="J20" s="121">
        <f>'Phase calculation'!M44</f>
        <v>41.65</v>
      </c>
      <c r="K20" s="121">
        <f>'Phase calculation'!N44</f>
        <v>0</v>
      </c>
      <c r="N20" s="121">
        <f>'Phase calculation'!C44</f>
        <v>0</v>
      </c>
      <c r="O20" s="121">
        <f>'Phase calculation'!D44</f>
        <v>0</v>
      </c>
      <c r="P20" s="121">
        <f>'Phase calculation'!E44</f>
        <v>0</v>
      </c>
      <c r="S20" s="121">
        <f>'Phase calculation'!F44</f>
        <v>11.54</v>
      </c>
      <c r="T20" s="121">
        <f>'Phase calculation'!G44</f>
        <v>0</v>
      </c>
      <c r="U20" s="121">
        <f>'Phase calculation'!H44</f>
        <v>0</v>
      </c>
    </row>
    <row r="21" spans="1:21" s="1" customFormat="1" x14ac:dyDescent="0.3">
      <c r="A21" s="1" t="s">
        <v>139</v>
      </c>
      <c r="B21" s="1">
        <v>1</v>
      </c>
      <c r="D21" s="3" t="str">
        <f>'Phase calculation'!I45</f>
        <v>N/A</v>
      </c>
      <c r="E21" s="3" t="str">
        <f>'Phase calculation'!J45</f>
        <v>F</v>
      </c>
      <c r="F21" s="3" t="str">
        <f>'Phase calculation'!K45</f>
        <v>B</v>
      </c>
      <c r="G21" s="3"/>
      <c r="H21" s="3"/>
      <c r="I21" s="3" t="e">
        <f>'Phase calculation'!L45</f>
        <v>#N/A</v>
      </c>
      <c r="J21" s="3" t="str">
        <f>'Phase calculation'!M45</f>
        <v>D</v>
      </c>
      <c r="K21" s="3" t="str">
        <f>'Phase calculation'!N45</f>
        <v>N/A</v>
      </c>
      <c r="L21" s="3"/>
      <c r="M21" s="3"/>
      <c r="N21" s="3" t="str">
        <f>'Phase calculation'!C45</f>
        <v>N/A</v>
      </c>
      <c r="O21" s="3" t="str">
        <f>'Phase calculation'!D45</f>
        <v>N/A</v>
      </c>
      <c r="P21" s="3" t="str">
        <f>'Phase calculation'!E45</f>
        <v>N/A</v>
      </c>
      <c r="Q21" s="3"/>
      <c r="R21" s="3"/>
      <c r="S21" s="3" t="str">
        <f>'Phase calculation'!F45</f>
        <v>B</v>
      </c>
      <c r="T21" s="3" t="str">
        <f>'Phase calculation'!G45</f>
        <v>N/A</v>
      </c>
      <c r="U21" s="3" t="str">
        <f>'Phase calculation'!H45</f>
        <v>N/A</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460</v>
      </c>
      <c r="B24" s="1">
        <v>1</v>
      </c>
      <c r="D24" s="1">
        <f>'Phase calculation'!I11</f>
        <v>0</v>
      </c>
      <c r="E24" s="1">
        <f>'Phase calculation'!J11</f>
        <v>4223</v>
      </c>
      <c r="F24" s="1">
        <f>'Phase calculation'!K11</f>
        <v>7038</v>
      </c>
      <c r="I24" s="1">
        <f>'Phase calculation'!L11</f>
        <v>1408</v>
      </c>
      <c r="J24" s="1">
        <f>'Phase calculation'!M11</f>
        <v>2815</v>
      </c>
      <c r="K24" s="1">
        <f>'Phase calculation'!N11</f>
        <v>2815</v>
      </c>
      <c r="N24" s="1">
        <f>'Phase calculation'!C11</f>
        <v>0</v>
      </c>
      <c r="O24" s="1">
        <f>'Phase calculation'!D11</f>
        <v>0</v>
      </c>
      <c r="P24" s="1">
        <f>'Phase calculation'!E11</f>
        <v>0</v>
      </c>
      <c r="S24" s="1">
        <f>'Phase calculation'!F11</f>
        <v>2815</v>
      </c>
      <c r="T24" s="1">
        <f>'Phase calculation'!G11</f>
        <v>0</v>
      </c>
      <c r="U24" s="1">
        <f>'Phase calculation'!H11</f>
        <v>0</v>
      </c>
    </row>
    <row r="25" spans="1:21" s="1" customFormat="1" x14ac:dyDescent="0.3">
      <c r="A25" s="1" t="s">
        <v>50</v>
      </c>
      <c r="B25" s="1">
        <v>1</v>
      </c>
      <c r="D25" s="1">
        <f>'Phase calculation'!I14</f>
        <v>0</v>
      </c>
      <c r="E25" s="1">
        <f>'Phase calculation'!J14</f>
        <v>4223</v>
      </c>
      <c r="F25" s="1">
        <f>'Phase calculation'!K14</f>
        <v>7038</v>
      </c>
      <c r="I25" s="1">
        <f>'Phase calculation'!L14</f>
        <v>0</v>
      </c>
      <c r="J25" s="1">
        <f>'Phase calculation'!M14</f>
        <v>2815</v>
      </c>
      <c r="K25" s="1">
        <f>'Phase calculation'!N14</f>
        <v>2815</v>
      </c>
      <c r="N25" s="1">
        <f>'Phase calculation'!C14</f>
        <v>1205</v>
      </c>
      <c r="O25" s="1">
        <f>'Phase calculation'!D14</f>
        <v>0</v>
      </c>
      <c r="P25" s="1">
        <f>'Phase calculation'!E14</f>
        <v>0</v>
      </c>
      <c r="S25" s="1">
        <f>'Phase calculation'!F14</f>
        <v>1370</v>
      </c>
      <c r="T25" s="1">
        <f>'Phase calculation'!G14</f>
        <v>0</v>
      </c>
      <c r="U25" s="1">
        <f>'Phase calculation'!H14</f>
        <v>0</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x14ac:dyDescent="0.3">
      <c r="A29" t="s">
        <v>54</v>
      </c>
      <c r="B29">
        <v>1</v>
      </c>
      <c r="E29">
        <f>IF('Input sheet'!M22="Yes",10,0)</f>
        <v>10</v>
      </c>
      <c r="J29">
        <f>IF('Input sheet'!L5="Yes",10,0)</f>
        <v>10</v>
      </c>
      <c r="O29">
        <f>IF('Input sheet'!D16="Yes",10,0)</f>
        <v>10</v>
      </c>
      <c r="T29">
        <f>IF('Input sheet'!P16="Yes",10,0)</f>
        <v>10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3">
      <c r="A34" t="s">
        <v>59</v>
      </c>
      <c r="B34">
        <v>1</v>
      </c>
      <c r="D34">
        <v>0</v>
      </c>
      <c r="E34">
        <v>0</v>
      </c>
      <c r="F34">
        <v>0</v>
      </c>
      <c r="I34">
        <v>0</v>
      </c>
      <c r="J34">
        <v>0</v>
      </c>
      <c r="K34">
        <v>0</v>
      </c>
      <c r="N34">
        <v>0</v>
      </c>
      <c r="O34">
        <v>0</v>
      </c>
      <c r="P34">
        <v>0</v>
      </c>
      <c r="S34">
        <v>0</v>
      </c>
      <c r="T34">
        <v>0</v>
      </c>
      <c r="U34">
        <v>0</v>
      </c>
    </row>
    <row r="35" spans="1:31" x14ac:dyDescent="0.3">
      <c r="A35" s="36" t="s">
        <v>457</v>
      </c>
      <c r="B35" s="36">
        <v>1</v>
      </c>
      <c r="C35" s="36"/>
      <c r="D35" s="36">
        <f>IF(C70=0,0,INDEX($C$59:$J$59,C70))</f>
        <v>0</v>
      </c>
      <c r="E35" s="36">
        <f>IF(D70=0,0,INDEX($C$59:$J$59,D70))</f>
        <v>9</v>
      </c>
      <c r="F35" s="36">
        <f>E35</f>
        <v>9</v>
      </c>
      <c r="G35" s="36"/>
      <c r="H35" s="36"/>
      <c r="I35" s="36">
        <f>IF(E70=0,0,INDEX($C$59:$J$59,E70))</f>
        <v>36</v>
      </c>
      <c r="J35" s="36">
        <f>IF(F70=0,0,INDEX($C$59:$J$59,F70))</f>
        <v>0</v>
      </c>
      <c r="K35" s="36">
        <f>J35</f>
        <v>0</v>
      </c>
      <c r="L35" s="36"/>
      <c r="M35" s="36"/>
      <c r="N35" s="36">
        <f>IF(G70=0,0,INDEX($C$59:$J$59,G70))</f>
        <v>9</v>
      </c>
      <c r="O35" s="36">
        <f>IF(H70=0,0,INDEX($C$59:$J$59,H70))</f>
        <v>0</v>
      </c>
      <c r="P35" s="36">
        <f>O35</f>
        <v>0</v>
      </c>
      <c r="Q35" s="36"/>
      <c r="R35" s="36"/>
      <c r="S35" s="36">
        <f>IF(I70=0,0,INDEX($C$59:$J$59,I70))</f>
        <v>0</v>
      </c>
      <c r="T35" s="36">
        <f>IF(J70=0,0,INDEX($C$59:$J$59,J70))</f>
        <v>36</v>
      </c>
      <c r="U35" s="36">
        <f>T35</f>
        <v>36</v>
      </c>
      <c r="V35" s="36"/>
    </row>
    <row r="36" spans="1:31" x14ac:dyDescent="0.3">
      <c r="A36" s="28" t="s">
        <v>458</v>
      </c>
      <c r="B36" s="28">
        <v>1</v>
      </c>
      <c r="C36" s="28"/>
      <c r="D36" s="28">
        <f>IF(C70=0,0,INDEX($C$60:$J$60,C70))</f>
        <v>9</v>
      </c>
      <c r="E36" s="28">
        <f>IF(D70=0,0,INDEX($C$60:$J$60,D70))</f>
        <v>36</v>
      </c>
      <c r="F36" s="28">
        <f>E36</f>
        <v>36</v>
      </c>
      <c r="G36" s="28"/>
      <c r="H36" s="28"/>
      <c r="I36" s="28">
        <f>IF(E70=0,0,INDEX($C$60:$J$60,E70))</f>
        <v>70</v>
      </c>
      <c r="J36" s="28">
        <f>IF(F70=0,0,INDEX($C$60:$J$60,F70))</f>
        <v>0</v>
      </c>
      <c r="K36" s="28">
        <f>J36</f>
        <v>0</v>
      </c>
      <c r="L36" s="28"/>
      <c r="M36" s="28"/>
      <c r="N36" s="28">
        <f>IF(G70=0,0,INDEX($C$60:$J$60,G70))</f>
        <v>36</v>
      </c>
      <c r="O36" s="28">
        <f>IF(H70=0,0,INDEX($C$60:$J$60,H70))</f>
        <v>36</v>
      </c>
      <c r="P36" s="28">
        <f>O36</f>
        <v>36</v>
      </c>
      <c r="Q36" s="28"/>
      <c r="R36" s="28"/>
      <c r="S36" s="28">
        <f>IF(I70=0,0,INDEX($C$60:$J$60,I70))</f>
        <v>0</v>
      </c>
      <c r="T36" s="28">
        <f>IF(J70=0,0,INDEX($C$60:$J$60,J70))</f>
        <v>70</v>
      </c>
      <c r="U36" s="28">
        <f>T36</f>
        <v>70</v>
      </c>
      <c r="V36" s="28"/>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81" t="str">
        <f>'Input sheet'!I26</f>
        <v>SR 95</v>
      </c>
      <c r="J38" s="81" t="str">
        <f>'Input sheet'!I2</f>
        <v>SR 95</v>
      </c>
      <c r="O38" s="81">
        <f>'Input sheet'!A13</f>
        <v>0</v>
      </c>
      <c r="T38" s="81" t="str">
        <f>'Input sheet'!R13</f>
        <v>El Rodeo Rd</v>
      </c>
    </row>
    <row r="39" spans="1:31" s="82" customFormat="1" x14ac:dyDescent="0.3">
      <c r="A39" s="82" t="s">
        <v>354</v>
      </c>
      <c r="D39" s="82">
        <f>'Phase calculation'!I54</f>
        <v>0</v>
      </c>
      <c r="E39" s="82">
        <f>'Phase calculation'!J54</f>
        <v>4223</v>
      </c>
      <c r="F39" s="82">
        <f>'Phase calculation'!K54</f>
        <v>7038</v>
      </c>
      <c r="I39" s="82">
        <f>'Phase calculation'!L54</f>
        <v>1408</v>
      </c>
      <c r="J39" s="82">
        <f>'Phase calculation'!M54</f>
        <v>2815</v>
      </c>
      <c r="K39" s="82">
        <f>'Phase calculation'!N54</f>
        <v>2815</v>
      </c>
      <c r="N39" s="82">
        <f>'Phase calculation'!C54</f>
        <v>1205</v>
      </c>
      <c r="O39" s="82">
        <f>'Phase calculation'!D54</f>
        <v>0</v>
      </c>
      <c r="P39" s="82">
        <f>'Phase calculation'!E54</f>
        <v>0</v>
      </c>
      <c r="S39" s="82">
        <f>'Phase calculation'!F54</f>
        <v>1370</v>
      </c>
      <c r="T39" s="82">
        <f>'Phase calculation'!G54</f>
        <v>0</v>
      </c>
      <c r="U39" s="82">
        <f>'Phase calculation'!H54</f>
        <v>0</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36">
        <f>'Phase calculation'!C83</f>
        <v>9</v>
      </c>
      <c r="C41" s="36">
        <f>'Phase calculation'!D83</f>
        <v>27</v>
      </c>
      <c r="D41" s="36">
        <f>'Phase calculation'!E83</f>
        <v>0</v>
      </c>
      <c r="E41" s="36">
        <f>'Phase calculation'!F83</f>
        <v>0</v>
      </c>
      <c r="F41" s="36">
        <f>'Phase calculation'!C84</f>
        <v>0</v>
      </c>
      <c r="G41" s="36">
        <f>'Phase calculation'!D84</f>
        <v>36</v>
      </c>
      <c r="H41" s="36">
        <f>'Phase calculation'!E84</f>
        <v>0</v>
      </c>
      <c r="I41" s="36">
        <f>'Phase calculation'!F84</f>
        <v>34</v>
      </c>
      <c r="J41" s="36">
        <f>IF(SUM(B41:I41)=0,0,'Phase calculation'!C25)</f>
        <v>70</v>
      </c>
      <c r="K41">
        <v>0</v>
      </c>
      <c r="L41">
        <v>1357</v>
      </c>
      <c r="M41">
        <v>0</v>
      </c>
    </row>
    <row r="42" spans="1:31" x14ac:dyDescent="0.3">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3">
      <c r="A43" s="2" t="s">
        <v>254</v>
      </c>
      <c r="B43" t="str">
        <f>Phasing!C30</f>
        <v>SR 95 &amp; 0</v>
      </c>
      <c r="C43" s="2">
        <f>Phasing!D30</f>
        <v>111</v>
      </c>
      <c r="D43" s="2">
        <f>Phasing!E30</f>
        <v>112</v>
      </c>
      <c r="E43" s="2">
        <f>Phasing!F30</f>
        <v>0</v>
      </c>
      <c r="F43" s="2">
        <f>Phasing!G30</f>
        <v>0</v>
      </c>
      <c r="G43" s="2">
        <f>Phasing!H30</f>
        <v>0</v>
      </c>
      <c r="H43" s="2">
        <f>Phasing!I30</f>
        <v>122</v>
      </c>
      <c r="I43" s="2">
        <f>Phasing!J30</f>
        <v>0</v>
      </c>
      <c r="J43" s="2">
        <f>Phasing!K30</f>
        <v>222</v>
      </c>
      <c r="O43" s="269" t="s">
        <v>203</v>
      </c>
      <c r="P43" s="269"/>
      <c r="Q43" s="269"/>
      <c r="R43" s="269"/>
      <c r="S43" s="269"/>
      <c r="T43" s="269"/>
      <c r="U43" s="269"/>
      <c r="V43" s="269"/>
    </row>
    <row r="44" spans="1:31" x14ac:dyDescent="0.3">
      <c r="A44" s="2" t="s">
        <v>255</v>
      </c>
      <c r="B44" t="str">
        <f>Phasing!C31</f>
        <v>SR 95 &amp; 0</v>
      </c>
      <c r="C44" s="2">
        <f>C45</f>
        <v>5</v>
      </c>
      <c r="D44" s="2">
        <f t="shared" ref="D44:J44" si="0">D45</f>
        <v>20.400000000000002</v>
      </c>
      <c r="E44" s="2">
        <f t="shared" si="0"/>
        <v>0</v>
      </c>
      <c r="F44" s="2">
        <f t="shared" si="0"/>
        <v>0</v>
      </c>
      <c r="G44" s="2">
        <f t="shared" si="0"/>
        <v>0</v>
      </c>
      <c r="H44" s="2">
        <f t="shared" si="0"/>
        <v>29.400000000000002</v>
      </c>
      <c r="I44" s="2">
        <f t="shared" si="0"/>
        <v>0</v>
      </c>
      <c r="J44" s="2">
        <f t="shared" si="0"/>
        <v>29.1</v>
      </c>
      <c r="O44" s="266" t="s">
        <v>201</v>
      </c>
      <c r="P44" s="266"/>
      <c r="Q44" s="266"/>
      <c r="R44" s="266"/>
      <c r="S44" s="266"/>
      <c r="T44" s="266"/>
      <c r="U44" s="266"/>
      <c r="V44" s="266"/>
      <c r="X44" s="267" t="s">
        <v>239</v>
      </c>
      <c r="Y44" s="267"/>
      <c r="Z44" s="267"/>
      <c r="AA44" s="267"/>
      <c r="AB44" s="267"/>
      <c r="AC44" s="267"/>
      <c r="AD44" s="267"/>
      <c r="AE44" s="267"/>
    </row>
    <row r="45" spans="1:31" ht="15" customHeight="1" x14ac:dyDescent="0.3">
      <c r="A45" s="2" t="s">
        <v>256</v>
      </c>
      <c r="B45" t="str">
        <f>Phasing!C32</f>
        <v>SR 95 &amp; 0</v>
      </c>
      <c r="C45" s="2">
        <f>Phasing!D58</f>
        <v>5</v>
      </c>
      <c r="D45" s="2">
        <f>Phasing!E58</f>
        <v>20.400000000000002</v>
      </c>
      <c r="E45" s="2">
        <f>Phasing!F58</f>
        <v>0</v>
      </c>
      <c r="F45" s="2">
        <f>Phasing!G58</f>
        <v>0</v>
      </c>
      <c r="G45" s="2">
        <f>Phasing!H58</f>
        <v>0</v>
      </c>
      <c r="H45" s="2">
        <f>Phasing!I58</f>
        <v>29.400000000000002</v>
      </c>
      <c r="I45" s="2">
        <f>Phasing!J58</f>
        <v>0</v>
      </c>
      <c r="J45" s="2">
        <f>Phasing!K58</f>
        <v>29.1</v>
      </c>
      <c r="O45" s="46" t="s">
        <v>202</v>
      </c>
      <c r="P45" s="46"/>
      <c r="Q45" s="46"/>
      <c r="R45" s="46"/>
      <c r="S45" s="46"/>
      <c r="T45" s="46"/>
      <c r="U45" s="46"/>
      <c r="V45" s="46"/>
      <c r="X45" s="267"/>
      <c r="Y45" s="267"/>
      <c r="Z45" s="267"/>
      <c r="AA45" s="267"/>
      <c r="AB45" s="267"/>
      <c r="AC45" s="267"/>
      <c r="AD45" s="267"/>
      <c r="AE45" s="267"/>
    </row>
    <row r="46" spans="1:31" x14ac:dyDescent="0.3">
      <c r="A46" s="2" t="s">
        <v>257</v>
      </c>
      <c r="B46" t="str">
        <f>Phasing!C33</f>
        <v>SR 95 &amp; 0</v>
      </c>
      <c r="C46" s="2" t="e">
        <f>Phasing!D33</f>
        <v>#N/A</v>
      </c>
      <c r="D46" s="2" t="e">
        <f>Phasing!E33</f>
        <v>#N/A</v>
      </c>
      <c r="E46" s="2">
        <f>Phasing!F33</f>
        <v>0</v>
      </c>
      <c r="F46" s="2">
        <f>Phasing!G33</f>
        <v>0</v>
      </c>
      <c r="G46" s="2">
        <f>Phasing!H33</f>
        <v>0</v>
      </c>
      <c r="H46" s="2" t="e">
        <f>Phasing!I33</f>
        <v>#N/A</v>
      </c>
      <c r="I46" s="2">
        <f>Phasing!J33</f>
        <v>0</v>
      </c>
      <c r="J46" s="2">
        <f>Phasing!K33</f>
        <v>1.5</v>
      </c>
      <c r="X46" s="267"/>
      <c r="Y46" s="267"/>
      <c r="Z46" s="267"/>
      <c r="AA46" s="267"/>
      <c r="AB46" s="267"/>
      <c r="AC46" s="267"/>
      <c r="AD46" s="267"/>
      <c r="AE46" s="267"/>
    </row>
    <row r="47" spans="1:31" ht="15" customHeight="1" x14ac:dyDescent="0.3">
      <c r="A47" s="2" t="s">
        <v>258</v>
      </c>
      <c r="B47" t="str">
        <f>Phasing!C34</f>
        <v>SR 95 &amp; 0</v>
      </c>
      <c r="C47" s="2">
        <f>Phasing!D34</f>
        <v>10</v>
      </c>
      <c r="D47" s="2">
        <f>Phasing!E34</f>
        <v>10</v>
      </c>
      <c r="E47" s="2">
        <f>Phasing!F34</f>
        <v>0</v>
      </c>
      <c r="F47" s="2">
        <f>Phasing!G34</f>
        <v>0</v>
      </c>
      <c r="G47" s="2">
        <f>Phasing!H34</f>
        <v>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3">
      <c r="A48" s="2" t="s">
        <v>259</v>
      </c>
      <c r="B48" t="str">
        <f>Phasing!C35</f>
        <v>SR 95 &amp; 0</v>
      </c>
      <c r="C48" s="2">
        <f>Phasing!D35</f>
        <v>8</v>
      </c>
      <c r="D48" s="2">
        <f>Phasing!E35</f>
        <v>8</v>
      </c>
      <c r="E48" s="2">
        <f>Phasing!F35</f>
        <v>0</v>
      </c>
      <c r="F48" s="2">
        <f>Phasing!G35</f>
        <v>0</v>
      </c>
      <c r="G48" s="2">
        <f>Phasing!H35</f>
        <v>0</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3">
      <c r="A49" s="2" t="s">
        <v>260</v>
      </c>
      <c r="B49" t="str">
        <f>Phasing!C36</f>
        <v>SR 95 &amp; 0</v>
      </c>
      <c r="C49" s="2" t="e">
        <f>Phasing!D36</f>
        <v>#N/A</v>
      </c>
      <c r="D49" s="2" t="e">
        <f>Phasing!E36</f>
        <v>#N/A</v>
      </c>
      <c r="E49" s="2">
        <f>Phasing!F36</f>
        <v>0</v>
      </c>
      <c r="F49" s="2">
        <f>Phasing!G36</f>
        <v>0</v>
      </c>
      <c r="G49" s="2">
        <f>Phasing!H36</f>
        <v>0</v>
      </c>
      <c r="H49" s="2" t="e">
        <f>Phasing!I36</f>
        <v>#N/A</v>
      </c>
      <c r="I49" s="2">
        <f>Phasing!J36</f>
        <v>0</v>
      </c>
      <c r="J49" s="2">
        <f>Phasing!K36</f>
        <v>0</v>
      </c>
      <c r="O49" s="268"/>
      <c r="P49" s="268"/>
      <c r="Q49" s="268"/>
      <c r="R49" s="268"/>
      <c r="S49" s="268"/>
      <c r="T49" s="268"/>
      <c r="U49" s="268"/>
      <c r="V49" s="268"/>
    </row>
    <row r="50" spans="1:22" x14ac:dyDescent="0.3">
      <c r="A50" s="2" t="s">
        <v>261</v>
      </c>
      <c r="B50" t="str">
        <f>Phasing!C37</f>
        <v>SR 95 &amp; 0</v>
      </c>
      <c r="C50" s="2">
        <f>Phasing!D37</f>
        <v>3</v>
      </c>
      <c r="D50" s="2">
        <f>Phasing!E37</f>
        <v>5.4</v>
      </c>
      <c r="E50" s="2">
        <f>Phasing!F37</f>
        <v>0</v>
      </c>
      <c r="F50" s="2">
        <f>Phasing!G37</f>
        <v>0</v>
      </c>
      <c r="G50" s="2">
        <f>Phasing!H37</f>
        <v>0</v>
      </c>
      <c r="H50" s="2">
        <f>Phasing!I37</f>
        <v>5.4</v>
      </c>
      <c r="I50" s="2">
        <f>Phasing!J37</f>
        <v>0</v>
      </c>
      <c r="J50" s="2">
        <f>Phasing!K37</f>
        <v>3</v>
      </c>
      <c r="O50" s="268"/>
      <c r="P50" s="268"/>
      <c r="Q50" s="268"/>
      <c r="R50" s="268"/>
      <c r="S50" s="268"/>
      <c r="T50" s="268"/>
      <c r="U50" s="268"/>
      <c r="V50" s="268"/>
    </row>
    <row r="51" spans="1:22" x14ac:dyDescent="0.3">
      <c r="A51" s="2" t="s">
        <v>262</v>
      </c>
      <c r="B51" t="str">
        <f>Phasing!C38</f>
        <v>SR 95 &amp; 0</v>
      </c>
      <c r="C51" s="2">
        <f>Phasing!D38</f>
        <v>1</v>
      </c>
      <c r="D51" s="2">
        <f>Phasing!E38</f>
        <v>1.2</v>
      </c>
      <c r="E51" s="2">
        <f>Phasing!F38</f>
        <v>0</v>
      </c>
      <c r="F51" s="2">
        <f>Phasing!G38</f>
        <v>0</v>
      </c>
      <c r="G51" s="2">
        <f>Phasing!H38</f>
        <v>0</v>
      </c>
      <c r="H51" s="2">
        <f>Phasing!I38</f>
        <v>1.2</v>
      </c>
      <c r="I51" s="2">
        <f>Phasing!J38</f>
        <v>0</v>
      </c>
      <c r="J51" s="2">
        <f>Phasing!K38</f>
        <v>1.9</v>
      </c>
      <c r="O51" s="268"/>
      <c r="P51" s="268"/>
      <c r="Q51" s="268"/>
      <c r="R51" s="268"/>
      <c r="S51" s="268"/>
      <c r="T51" s="268"/>
      <c r="U51" s="268"/>
      <c r="V51" s="268"/>
    </row>
    <row r="52" spans="1:22" x14ac:dyDescent="0.3">
      <c r="A52" s="2" t="s">
        <v>263</v>
      </c>
      <c r="B52" t="str">
        <f>Phasing!C39</f>
        <v>SR 95 &amp; 0</v>
      </c>
      <c r="C52" s="2">
        <f>Phasing!D39</f>
        <v>0</v>
      </c>
      <c r="D52" s="2">
        <f>Phasing!E39</f>
        <v>1</v>
      </c>
      <c r="E52" s="2">
        <f>Phasing!F39</f>
        <v>0</v>
      </c>
      <c r="F52" s="2">
        <f>Phasing!G39</f>
        <v>0</v>
      </c>
      <c r="G52" s="2">
        <f>Phasing!H39</f>
        <v>0</v>
      </c>
      <c r="H52" s="2">
        <f>Phasing!I39</f>
        <v>1</v>
      </c>
      <c r="I52" s="2">
        <f>Phasing!J39</f>
        <v>0</v>
      </c>
      <c r="J52" s="2">
        <f>Phasing!K39</f>
        <v>1</v>
      </c>
      <c r="O52" s="268"/>
      <c r="P52" s="268"/>
      <c r="Q52" s="268"/>
      <c r="R52" s="268"/>
      <c r="S52" s="268"/>
      <c r="T52" s="268"/>
      <c r="U52" s="268"/>
      <c r="V52" s="268"/>
    </row>
    <row r="53" spans="1:22" x14ac:dyDescent="0.3">
      <c r="A53" s="2" t="s">
        <v>264</v>
      </c>
      <c r="B53" t="str">
        <f>Phasing!C40</f>
        <v>SR 95 &amp; 0</v>
      </c>
      <c r="C53" s="2">
        <f>Phasing!D40</f>
        <v>0</v>
      </c>
      <c r="D53" s="2">
        <f>Phasing!E40</f>
        <v>5</v>
      </c>
      <c r="E53" s="2">
        <f>Phasing!F40</f>
        <v>0</v>
      </c>
      <c r="F53" s="2">
        <f>Phasing!G40</f>
        <v>0</v>
      </c>
      <c r="G53" s="2">
        <f>Phasing!H40</f>
        <v>0</v>
      </c>
      <c r="H53" s="2">
        <f>Phasing!I40</f>
        <v>5</v>
      </c>
      <c r="I53" s="2">
        <f>Phasing!J40</f>
        <v>0</v>
      </c>
      <c r="J53" s="2">
        <f>Phasing!K40</f>
        <v>5</v>
      </c>
      <c r="O53" s="268"/>
      <c r="P53" s="268"/>
      <c r="Q53" s="268"/>
      <c r="R53" s="268"/>
      <c r="S53" s="268"/>
      <c r="T53" s="268"/>
      <c r="U53" s="268"/>
      <c r="V53" s="268"/>
    </row>
    <row r="54" spans="1:22" x14ac:dyDescent="0.3">
      <c r="A54" s="2" t="s">
        <v>265</v>
      </c>
      <c r="B54" t="str">
        <f>Phasing!C41</f>
        <v>SR 95 &amp; 0</v>
      </c>
      <c r="C54" s="2">
        <f>Phasing!D41</f>
        <v>0</v>
      </c>
      <c r="D54" s="2">
        <f>Phasing!E41</f>
        <v>10</v>
      </c>
      <c r="E54" s="2">
        <f>Phasing!F41</f>
        <v>0</v>
      </c>
      <c r="F54" s="2">
        <f>Phasing!G41</f>
        <v>0</v>
      </c>
      <c r="G54" s="2">
        <f>Phasing!H41</f>
        <v>0</v>
      </c>
      <c r="H54" s="2">
        <f>Phasing!I41</f>
        <v>0</v>
      </c>
      <c r="I54" s="2">
        <f>Phasing!J41</f>
        <v>0</v>
      </c>
      <c r="J54" s="2">
        <f>Phasing!K41</f>
        <v>24</v>
      </c>
      <c r="O54" s="268"/>
      <c r="P54" s="268"/>
      <c r="Q54" s="268"/>
      <c r="R54" s="268"/>
      <c r="S54" s="268"/>
      <c r="T54" s="268"/>
      <c r="U54" s="268"/>
      <c r="V54" s="268"/>
    </row>
    <row r="55" spans="1:22" x14ac:dyDescent="0.3">
      <c r="A55" s="2" t="s">
        <v>266</v>
      </c>
      <c r="B55" t="str">
        <f>Phasing!C42</f>
        <v>SR 95 &amp; 0</v>
      </c>
      <c r="C55" s="2">
        <f>Phasing!D42</f>
        <v>0</v>
      </c>
      <c r="D55" s="2">
        <f>Phasing!E42</f>
        <v>1</v>
      </c>
      <c r="E55" s="2">
        <f>Phasing!F42</f>
        <v>0</v>
      </c>
      <c r="F55" s="2">
        <f>Phasing!G42</f>
        <v>0</v>
      </c>
      <c r="G55" s="2">
        <f>Phasing!H42</f>
        <v>0</v>
      </c>
      <c r="H55" s="2">
        <f>Phasing!I42</f>
        <v>1</v>
      </c>
      <c r="I55" s="2">
        <f>Phasing!J42</f>
        <v>0</v>
      </c>
      <c r="J55" s="2">
        <f>Phasing!K42</f>
        <v>1</v>
      </c>
      <c r="O55" s="268"/>
      <c r="P55" s="268"/>
      <c r="Q55" s="268"/>
      <c r="R55" s="268"/>
      <c r="S55" s="268"/>
      <c r="T55" s="268"/>
      <c r="U55" s="268"/>
      <c r="V55" s="268"/>
    </row>
    <row r="56" spans="1:22" x14ac:dyDescent="0.3">
      <c r="A56" s="2" t="s">
        <v>267</v>
      </c>
      <c r="B56" t="str">
        <f>Phasing!C43</f>
        <v>SR 95 &amp; 0</v>
      </c>
      <c r="C56" s="2">
        <f>Phasing!D43</f>
        <v>9</v>
      </c>
      <c r="D56" s="2">
        <f>Phasing!E43</f>
        <v>22</v>
      </c>
      <c r="E56" s="2">
        <f>Phasing!F43</f>
        <v>0</v>
      </c>
      <c r="F56" s="2">
        <f>Phasing!G43</f>
        <v>0</v>
      </c>
      <c r="G56" s="2">
        <f>Phasing!H43</f>
        <v>0</v>
      </c>
      <c r="H56" s="2">
        <f>Phasing!I43</f>
        <v>12</v>
      </c>
      <c r="I56" s="2">
        <f>Phasing!J43</f>
        <v>0</v>
      </c>
      <c r="J56" s="2">
        <f>Phasing!K43</f>
        <v>34</v>
      </c>
    </row>
    <row r="57" spans="1:22" x14ac:dyDescent="0.3">
      <c r="A57" s="2" t="s">
        <v>268</v>
      </c>
      <c r="B57" t="str">
        <f>Phasing!C44</f>
        <v>SR 95 &amp; 0</v>
      </c>
      <c r="C57" s="2">
        <f>Phasing!D44</f>
        <v>0</v>
      </c>
      <c r="D57" s="2">
        <f>Phasing!E44</f>
        <v>1</v>
      </c>
      <c r="E57" s="2">
        <f>Phasing!F44</f>
        <v>0</v>
      </c>
      <c r="F57" s="2">
        <f>Phasing!G44</f>
        <v>0</v>
      </c>
      <c r="G57" s="2">
        <f>Phasing!H44</f>
        <v>0</v>
      </c>
      <c r="H57" s="2">
        <f>Phasing!I44</f>
        <v>1</v>
      </c>
      <c r="I57" s="2">
        <f>Phasing!J44</f>
        <v>0</v>
      </c>
      <c r="J57" s="2">
        <f>Phasing!K44</f>
        <v>1</v>
      </c>
    </row>
    <row r="58" spans="1:22" x14ac:dyDescent="0.3">
      <c r="A58" s="2" t="s">
        <v>269</v>
      </c>
      <c r="B58" t="str">
        <f>Phasing!C45</f>
        <v>SR 95 &amp; 0</v>
      </c>
      <c r="C58" s="2">
        <f>Phasing!D45</f>
        <v>1</v>
      </c>
      <c r="D58" s="2">
        <f>Phasing!E45</f>
        <v>1</v>
      </c>
      <c r="E58" s="2">
        <f>Phasing!F45</f>
        <v>0</v>
      </c>
      <c r="F58" s="2">
        <f>Phasing!G45</f>
        <v>0</v>
      </c>
      <c r="G58" s="2">
        <f>Phasing!H45</f>
        <v>0</v>
      </c>
      <c r="H58" s="2">
        <f>Phasing!I45</f>
        <v>1</v>
      </c>
      <c r="I58" s="2">
        <f>Phasing!J45</f>
        <v>0</v>
      </c>
      <c r="J58" s="2">
        <f>Phasing!K45</f>
        <v>1</v>
      </c>
    </row>
    <row r="59" spans="1:22" x14ac:dyDescent="0.3">
      <c r="A59" s="2" t="s">
        <v>270</v>
      </c>
      <c r="B59" t="str">
        <f>Phasing!C46</f>
        <v>SR 95 &amp; 0</v>
      </c>
      <c r="C59" s="2">
        <f>Phasing!D46</f>
        <v>0</v>
      </c>
      <c r="D59" s="2">
        <f>Phasing!E46</f>
        <v>9</v>
      </c>
      <c r="E59" s="2">
        <f>Phasing!F46</f>
        <v>0</v>
      </c>
      <c r="F59" s="2">
        <f>Phasing!G46</f>
        <v>0</v>
      </c>
      <c r="G59" s="2">
        <f>Phasing!H46</f>
        <v>0</v>
      </c>
      <c r="H59" s="2">
        <f>Phasing!I46</f>
        <v>0</v>
      </c>
      <c r="I59" s="2">
        <f>Phasing!J46</f>
        <v>0</v>
      </c>
      <c r="J59" s="2">
        <f>Phasing!K46</f>
        <v>36</v>
      </c>
    </row>
    <row r="60" spans="1:22" x14ac:dyDescent="0.3">
      <c r="A60" s="2" t="s">
        <v>271</v>
      </c>
      <c r="B60" t="str">
        <f>Phasing!C47</f>
        <v>SR 95 &amp; 0</v>
      </c>
      <c r="C60" s="2">
        <f>Phasing!D47</f>
        <v>9</v>
      </c>
      <c r="D60" s="2">
        <f>Phasing!E47</f>
        <v>36</v>
      </c>
      <c r="E60" s="2">
        <f>Phasing!F47</f>
        <v>0</v>
      </c>
      <c r="F60" s="2">
        <f>Phasing!G47</f>
        <v>0</v>
      </c>
      <c r="G60" s="2">
        <f>Phasing!H47</f>
        <v>0</v>
      </c>
      <c r="H60" s="2">
        <f>Phasing!I47</f>
        <v>36</v>
      </c>
      <c r="I60" s="2">
        <f>Phasing!J47</f>
        <v>0</v>
      </c>
      <c r="J60" s="2">
        <f>Phasing!K47</f>
        <v>70</v>
      </c>
    </row>
    <row r="61" spans="1:22" x14ac:dyDescent="0.3">
      <c r="A61" s="2" t="s">
        <v>272</v>
      </c>
      <c r="B61" t="str">
        <f>Phasing!C48</f>
        <v>SR 95 &amp; 0</v>
      </c>
      <c r="C61" s="2">
        <f>Phasing!D48</f>
        <v>5</v>
      </c>
      <c r="D61" s="2">
        <f>Phasing!E48</f>
        <v>29</v>
      </c>
      <c r="E61" s="2">
        <f>Phasing!F48</f>
        <v>0</v>
      </c>
      <c r="F61" s="2">
        <f>Phasing!G48</f>
        <v>0</v>
      </c>
      <c r="G61" s="2">
        <f>Phasing!H48</f>
        <v>0</v>
      </c>
      <c r="H61" s="2">
        <f>Phasing!I48</f>
        <v>29</v>
      </c>
      <c r="I61" s="2">
        <f>Phasing!J48</f>
        <v>0</v>
      </c>
      <c r="J61" s="2">
        <f>Phasing!K48</f>
        <v>65</v>
      </c>
    </row>
    <row r="62" spans="1:22" x14ac:dyDescent="0.3">
      <c r="A62" s="2" t="s">
        <v>273</v>
      </c>
      <c r="B62" t="str">
        <f>Phasing!C49</f>
        <v>SR 95 &amp; 0</v>
      </c>
      <c r="C62" s="2">
        <f>Phasing!D49</f>
        <v>5</v>
      </c>
      <c r="D62" s="2">
        <f>Phasing!E49</f>
        <v>29</v>
      </c>
      <c r="E62" s="2">
        <f>Phasing!F49</f>
        <v>0</v>
      </c>
      <c r="F62" s="2">
        <f>Phasing!G49</f>
        <v>0</v>
      </c>
      <c r="G62" s="2">
        <f>Phasing!H49</f>
        <v>0</v>
      </c>
      <c r="H62" s="2">
        <f>Phasing!I49</f>
        <v>29</v>
      </c>
      <c r="I62" s="2">
        <f>Phasing!J49</f>
        <v>0</v>
      </c>
      <c r="J62" s="2">
        <f>Phasing!K49</f>
        <v>65</v>
      </c>
    </row>
    <row r="63" spans="1:22" x14ac:dyDescent="0.3">
      <c r="A63" s="2" t="s">
        <v>274</v>
      </c>
      <c r="B63" t="str">
        <f>Phasing!C50</f>
        <v>SR 95 &amp; 0</v>
      </c>
      <c r="C63" s="2">
        <f>Phasing!D50</f>
        <v>0</v>
      </c>
      <c r="D63" s="2">
        <f>Phasing!E50</f>
        <v>9</v>
      </c>
      <c r="E63" s="2">
        <f>Phasing!F50</f>
        <v>0</v>
      </c>
      <c r="F63" s="2">
        <f>Phasing!G50</f>
        <v>0</v>
      </c>
      <c r="G63" s="2">
        <f>Phasing!H50</f>
        <v>0</v>
      </c>
      <c r="H63" s="2">
        <f>Phasing!I50</f>
        <v>0</v>
      </c>
      <c r="I63" s="2">
        <f>Phasing!J50</f>
        <v>0</v>
      </c>
      <c r="J63" s="2">
        <f>Phasing!K50</f>
        <v>36</v>
      </c>
    </row>
    <row r="64" spans="1:22" x14ac:dyDescent="0.3">
      <c r="A64" s="2" t="s">
        <v>275</v>
      </c>
      <c r="B64" t="str">
        <f>Phasing!C51</f>
        <v>SR 95 &amp; 0</v>
      </c>
      <c r="C64" s="2">
        <f>Phasing!D51</f>
        <v>5</v>
      </c>
      <c r="D64" s="2">
        <f>Phasing!E51</f>
        <v>29</v>
      </c>
      <c r="E64" s="2">
        <f>Phasing!F51</f>
        <v>0</v>
      </c>
      <c r="F64" s="2">
        <f>Phasing!G51</f>
        <v>0</v>
      </c>
      <c r="G64" s="2">
        <f>Phasing!H51</f>
        <v>0</v>
      </c>
      <c r="H64" s="2">
        <f>Phasing!I51</f>
        <v>29</v>
      </c>
      <c r="I64" s="2">
        <f>Phasing!J51</f>
        <v>0</v>
      </c>
      <c r="J64" s="2">
        <f>Phasing!K51</f>
        <v>65</v>
      </c>
    </row>
    <row r="65" spans="1:21" x14ac:dyDescent="0.3">
      <c r="A65" s="2" t="s">
        <v>276</v>
      </c>
      <c r="B65" t="str">
        <f>Phasing!C52</f>
        <v>SR 95 &amp; 0</v>
      </c>
      <c r="C65" s="2">
        <f>Phasing!D52</f>
        <v>5</v>
      </c>
      <c r="D65" s="2">
        <f>Phasing!E52</f>
        <v>29</v>
      </c>
      <c r="E65" s="2">
        <f>Phasing!F52</f>
        <v>0</v>
      </c>
      <c r="F65" s="2">
        <f>Phasing!G52</f>
        <v>0</v>
      </c>
      <c r="G65" s="2">
        <f>Phasing!H52</f>
        <v>0</v>
      </c>
      <c r="H65" s="2">
        <f>Phasing!I52</f>
        <v>29</v>
      </c>
      <c r="I65" s="2">
        <f>Phasing!J52</f>
        <v>0</v>
      </c>
      <c r="J65" s="2">
        <f>Phasing!K52</f>
        <v>65</v>
      </c>
    </row>
    <row r="66" spans="1:21" s="82" customFormat="1" x14ac:dyDescent="0.3">
      <c r="A66" s="147" t="s">
        <v>355</v>
      </c>
      <c r="D66" s="82">
        <f>'Phase calculation'!I55</f>
        <v>0</v>
      </c>
      <c r="E66" s="82">
        <f>'Phase calculation'!J55</f>
        <v>0.32857142857142857</v>
      </c>
      <c r="F66" s="82">
        <f>'Phase calculation'!K55</f>
        <v>0.32857142857142857</v>
      </c>
      <c r="I66" s="82">
        <f>'Phase calculation'!L55</f>
        <v>7.1428571428571425E-2</v>
      </c>
      <c r="J66" s="82">
        <f>'Phase calculation'!M55</f>
        <v>0.45714285714285713</v>
      </c>
      <c r="K66" s="82">
        <f>'Phase calculation'!N55</f>
        <v>0.45714285714285713</v>
      </c>
      <c r="N66" s="82">
        <f>'Phase calculation'!C55</f>
        <v>0</v>
      </c>
      <c r="O66" s="82">
        <f>'Phase calculation'!D55</f>
        <v>0</v>
      </c>
      <c r="P66" s="82">
        <f>'Phase calculation'!E55</f>
        <v>0</v>
      </c>
      <c r="S66" s="82">
        <f>'Phase calculation'!F55</f>
        <v>0.42857142857142855</v>
      </c>
      <c r="T66" s="82">
        <f>'Phase calculation'!G55</f>
        <v>0.42857142857142855</v>
      </c>
      <c r="U66" s="82">
        <f>'Phase calculation'!H55</f>
        <v>0.42857142857142855</v>
      </c>
    </row>
    <row r="67" spans="1:21" x14ac:dyDescent="0.3">
      <c r="A67" s="270" t="s">
        <v>73</v>
      </c>
      <c r="B67" s="270"/>
      <c r="C67" s="2" t="str">
        <f>'Summary sheet'!G92</f>
        <v>SBL</v>
      </c>
      <c r="D67" s="2" t="str">
        <f>'Summary sheet'!H92</f>
        <v>NBT</v>
      </c>
      <c r="E67" s="2" t="str">
        <f>'Summary sheet'!I92</f>
        <v>Not used</v>
      </c>
      <c r="F67" s="2" t="str">
        <f>'Summary sheet'!J92</f>
        <v>Not used</v>
      </c>
      <c r="G67" s="2" t="str">
        <f>'Summary sheet'!K92</f>
        <v>Not used</v>
      </c>
      <c r="H67" s="2" t="str">
        <f>'Summary sheet'!L92</f>
        <v>SBT</v>
      </c>
      <c r="I67" s="2" t="str">
        <f>'Summary sheet'!M92</f>
        <v>Not used</v>
      </c>
      <c r="J67" s="2" t="str">
        <f>'Summary sheet'!N92</f>
        <v>WBL</v>
      </c>
    </row>
    <row r="68" spans="1:21" x14ac:dyDescent="0.3">
      <c r="A68" s="270" t="s">
        <v>461</v>
      </c>
      <c r="B68" s="270"/>
      <c r="C68" s="2" t="str">
        <f>IF(AND(C70&gt;0,C70=H70),"X","")</f>
        <v/>
      </c>
      <c r="D68" s="2"/>
      <c r="E68" s="2" t="str">
        <f>IF(AND(E70&gt;0,E70=J70),"X","")</f>
        <v>X</v>
      </c>
      <c r="F68" s="2"/>
      <c r="G68" s="2" t="str">
        <f>IF(AND(G70&gt;0,G70=D70),"X","")</f>
        <v>X</v>
      </c>
      <c r="H68" s="2"/>
      <c r="I68" s="2" t="str">
        <f>IF(AND(I70&gt;0,I70=F70),"X","")</f>
        <v>X</v>
      </c>
      <c r="J68" s="2"/>
    </row>
    <row r="69" spans="1:21" x14ac:dyDescent="0.3">
      <c r="A69" s="270" t="s">
        <v>459</v>
      </c>
      <c r="B69" s="270"/>
      <c r="C69" s="2" t="str">
        <f>IF(C67="Not used",H67,C67)</f>
        <v>SBL</v>
      </c>
      <c r="D69" s="2" t="str">
        <f>D67</f>
        <v>NBT</v>
      </c>
      <c r="E69" s="2" t="str">
        <f>IF(E67="Not used",J67,E67)</f>
        <v>WBL</v>
      </c>
      <c r="F69" s="2" t="str">
        <f>F67</f>
        <v>Not used</v>
      </c>
      <c r="G69" s="2" t="str">
        <f>IF(G67="Not used",D67,G67)</f>
        <v>NBT</v>
      </c>
      <c r="H69" s="2" t="str">
        <f>H67</f>
        <v>SBT</v>
      </c>
      <c r="I69" s="2" t="str">
        <f>IF(I67="Not used",F67,I67)</f>
        <v>Not used</v>
      </c>
      <c r="J69" s="2" t="str">
        <f>J67</f>
        <v>WBL</v>
      </c>
      <c r="O69" t="s">
        <v>4</v>
      </c>
      <c r="P69" t="s">
        <v>3</v>
      </c>
    </row>
    <row r="70" spans="1:21" x14ac:dyDescent="0.3">
      <c r="C70" s="2">
        <f t="shared" ref="C70:J70" si="1">IFERROR(MATCH(C69,$C$67:$J$67,0),0)</f>
        <v>1</v>
      </c>
      <c r="D70" s="2">
        <f t="shared" si="1"/>
        <v>2</v>
      </c>
      <c r="E70" s="2">
        <f t="shared" si="1"/>
        <v>8</v>
      </c>
      <c r="F70" s="2">
        <f t="shared" si="1"/>
        <v>3</v>
      </c>
      <c r="G70" s="2">
        <f t="shared" si="1"/>
        <v>2</v>
      </c>
      <c r="H70" s="2">
        <f t="shared" si="1"/>
        <v>6</v>
      </c>
      <c r="I70" s="2">
        <f t="shared" si="1"/>
        <v>3</v>
      </c>
      <c r="J70" s="2">
        <f t="shared" si="1"/>
        <v>8</v>
      </c>
      <c r="O70" t="s">
        <v>9</v>
      </c>
      <c r="P70" t="s">
        <v>8</v>
      </c>
    </row>
    <row r="71" spans="1:21" x14ac:dyDescent="0.3">
      <c r="A71" t="s">
        <v>462</v>
      </c>
      <c r="C71" s="2">
        <f t="shared" ref="C71:J71" si="2">IF(C67="Not used",0,MATCH(C77,$D$1:$U$1,0))</f>
        <v>6</v>
      </c>
      <c r="D71" s="2">
        <f t="shared" si="2"/>
        <v>2</v>
      </c>
      <c r="E71" s="2">
        <f t="shared" si="2"/>
        <v>0</v>
      </c>
      <c r="F71" s="2">
        <f t="shared" si="2"/>
        <v>0</v>
      </c>
      <c r="G71" s="2">
        <f t="shared" si="2"/>
        <v>0</v>
      </c>
      <c r="H71" s="2">
        <f t="shared" si="2"/>
        <v>7</v>
      </c>
      <c r="I71" s="2">
        <f t="shared" si="2"/>
        <v>0</v>
      </c>
      <c r="J71" s="2">
        <f t="shared" si="2"/>
        <v>16</v>
      </c>
      <c r="O71" t="s">
        <v>14</v>
      </c>
      <c r="P71" t="s">
        <v>13</v>
      </c>
    </row>
    <row r="72" spans="1:21" x14ac:dyDescent="0.3">
      <c r="A72" s="271" t="s">
        <v>463</v>
      </c>
      <c r="B72" s="271"/>
      <c r="C72" s="147">
        <f>IF(C71=0,0,INDEX($D$17:$U$17,1,C71))</f>
        <v>5</v>
      </c>
      <c r="D72" s="147">
        <f t="shared" ref="D72:J72" si="3">IF(D71=0,0,INDEX($D$17:$U$17,1,D71))</f>
        <v>23</v>
      </c>
      <c r="E72" s="147">
        <f t="shared" si="3"/>
        <v>0</v>
      </c>
      <c r="F72" s="147">
        <f t="shared" si="3"/>
        <v>0</v>
      </c>
      <c r="G72" s="147">
        <f t="shared" si="3"/>
        <v>0</v>
      </c>
      <c r="H72" s="147">
        <f t="shared" si="3"/>
        <v>32</v>
      </c>
      <c r="I72" s="147">
        <f t="shared" si="3"/>
        <v>0</v>
      </c>
      <c r="J72" s="147">
        <f t="shared" si="3"/>
        <v>30</v>
      </c>
      <c r="O72" t="s">
        <v>19</v>
      </c>
      <c r="P72" t="s">
        <v>18</v>
      </c>
    </row>
    <row r="73" spans="1:21" x14ac:dyDescent="0.3">
      <c r="A73" s="263" t="s">
        <v>464</v>
      </c>
      <c r="B73" s="263"/>
      <c r="C73" s="38">
        <f>C59</f>
        <v>0</v>
      </c>
      <c r="D73" s="38">
        <f t="shared" ref="D73:J73" si="4">D59</f>
        <v>9</v>
      </c>
      <c r="E73" s="38">
        <f t="shared" si="4"/>
        <v>0</v>
      </c>
      <c r="F73" s="38">
        <f t="shared" si="4"/>
        <v>0</v>
      </c>
      <c r="G73" s="38">
        <f t="shared" si="4"/>
        <v>0</v>
      </c>
      <c r="H73" s="38">
        <f t="shared" si="4"/>
        <v>0</v>
      </c>
      <c r="I73" s="38">
        <f t="shared" si="4"/>
        <v>0</v>
      </c>
      <c r="J73" s="38">
        <f t="shared" si="4"/>
        <v>36</v>
      </c>
      <c r="O73" t="s">
        <v>467</v>
      </c>
      <c r="P73">
        <v>0</v>
      </c>
    </row>
    <row r="74" spans="1:21" x14ac:dyDescent="0.3">
      <c r="A74" s="264" t="s">
        <v>465</v>
      </c>
      <c r="B74" s="264"/>
      <c r="C74" s="31">
        <f>C73+C72</f>
        <v>5</v>
      </c>
      <c r="D74" s="31">
        <f t="shared" ref="D74:J74" si="5">D73+D72</f>
        <v>32</v>
      </c>
      <c r="E74" s="31">
        <f t="shared" si="5"/>
        <v>0</v>
      </c>
      <c r="F74" s="31">
        <f t="shared" si="5"/>
        <v>0</v>
      </c>
      <c r="G74" s="31">
        <f t="shared" si="5"/>
        <v>0</v>
      </c>
      <c r="H74" s="31">
        <f t="shared" si="5"/>
        <v>32</v>
      </c>
      <c r="I74" s="31">
        <f t="shared" si="5"/>
        <v>0</v>
      </c>
      <c r="J74" s="31">
        <f t="shared" si="5"/>
        <v>66</v>
      </c>
      <c r="O74" t="s">
        <v>3</v>
      </c>
      <c r="P74" t="s">
        <v>3</v>
      </c>
    </row>
    <row r="75" spans="1:21" x14ac:dyDescent="0.3">
      <c r="C75" s="2">
        <v>1</v>
      </c>
      <c r="D75" s="2">
        <v>2</v>
      </c>
      <c r="E75" s="2">
        <v>3</v>
      </c>
      <c r="F75" s="2">
        <v>4</v>
      </c>
      <c r="G75" s="2">
        <v>5</v>
      </c>
      <c r="H75" s="2">
        <v>6</v>
      </c>
      <c r="I75" s="2">
        <v>7</v>
      </c>
      <c r="J75" s="2">
        <v>8</v>
      </c>
      <c r="O75" t="s">
        <v>8</v>
      </c>
      <c r="P75" t="s">
        <v>8</v>
      </c>
    </row>
    <row r="76" spans="1:21" x14ac:dyDescent="0.3">
      <c r="A76" s="265" t="s">
        <v>466</v>
      </c>
      <c r="B76" s="265"/>
      <c r="C76" s="2">
        <f>IF(C69=H69,MATCH(C69,$O$69:$O$77,0),0)</f>
        <v>0</v>
      </c>
      <c r="D76" s="2"/>
      <c r="E76" s="2">
        <f>IF(E69=J69,MATCH(E69,$O$69:$O$77,0),0)</f>
        <v>9</v>
      </c>
      <c r="F76" s="2"/>
      <c r="G76" s="2">
        <f>IF(G69=D69,MATCH(G69,$O$69:$O$77,0),0)</f>
        <v>1</v>
      </c>
      <c r="H76" s="2"/>
      <c r="I76" s="2">
        <f>IF(I69=F69,MATCH(I69,$O$69:$O$77,0),0)</f>
        <v>5</v>
      </c>
      <c r="J76" s="2"/>
      <c r="K76" s="2"/>
      <c r="L76" s="2"/>
      <c r="M76" s="2"/>
      <c r="N76" s="2"/>
      <c r="O76" t="s">
        <v>13</v>
      </c>
      <c r="P76" t="s">
        <v>13</v>
      </c>
    </row>
    <row r="77" spans="1:21" x14ac:dyDescent="0.3">
      <c r="A77" s="265"/>
      <c r="B77" s="265"/>
      <c r="C77" s="2" t="str">
        <f>IF(C69=H69,INDEX(P69:P77,C76),C69)</f>
        <v>SBL</v>
      </c>
      <c r="D77" s="2" t="str">
        <f>D69</f>
        <v>NBT</v>
      </c>
      <c r="E77" s="2" t="str">
        <f>IF(E69=J69,INDEX(P69:P77,E76),E69)</f>
        <v>WBL</v>
      </c>
      <c r="F77" s="2" t="str">
        <f>F69</f>
        <v>Not used</v>
      </c>
      <c r="G77" s="2" t="str">
        <f>IF(G69=D69,INDEX(P69:P77,G76),G69)</f>
        <v>NBL</v>
      </c>
      <c r="H77" s="2" t="str">
        <f>H69</f>
        <v>SBT</v>
      </c>
      <c r="I77" s="2">
        <f>IF(I69=F69,INDEX(P69:P77,I76),I69)</f>
        <v>0</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09375" defaultRowHeight="13.2" x14ac:dyDescent="0.25"/>
  <cols>
    <col min="1" max="1" width="9.109375" style="190"/>
    <col min="2" max="2" width="9.109375" style="190" customWidth="1"/>
    <col min="3" max="3" width="4.6640625" style="190" customWidth="1"/>
    <col min="4" max="4" width="10.5546875" style="190" customWidth="1"/>
    <col min="5" max="7" width="9.109375" style="190"/>
    <col min="8" max="8" width="11.5546875" style="190" bestFit="1" customWidth="1"/>
    <col min="9" max="9" width="10.5546875" style="190" bestFit="1" customWidth="1"/>
    <col min="10" max="12" width="9.109375" style="190"/>
    <col min="13" max="13" width="11.109375" style="190" customWidth="1"/>
    <col min="14" max="14" width="10.33203125" style="190" customWidth="1"/>
    <col min="15" max="15" width="11.5546875" style="190" customWidth="1"/>
    <col min="16" max="16" width="9.88671875" style="190" bestFit="1" customWidth="1"/>
    <col min="17" max="17" width="4.6640625" style="190" customWidth="1"/>
    <col min="18" max="18" width="9.109375" style="190"/>
    <col min="19" max="20" width="9.109375" style="190" customWidth="1"/>
    <col min="21" max="21" width="13.5546875" style="190" customWidth="1"/>
    <col min="22" max="23" width="9.109375" style="190" customWidth="1"/>
    <col min="24" max="26" width="9.109375" style="240" hidden="1" customWidth="1"/>
    <col min="27" max="16384" width="9.109375" style="190"/>
  </cols>
  <sheetData>
    <row r="1" spans="1:26" ht="15" customHeight="1" thickBot="1" x14ac:dyDescent="0.3">
      <c r="A1" s="224" t="s">
        <v>488</v>
      </c>
      <c r="B1" s="225"/>
      <c r="C1" s="197"/>
      <c r="D1" s="197"/>
      <c r="T1" s="213"/>
      <c r="U1" s="213"/>
      <c r="V1" s="213"/>
      <c r="W1" s="213"/>
    </row>
    <row r="2" spans="1:26" ht="15" customHeight="1" thickBot="1" x14ac:dyDescent="0.3">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8" thickBot="1" x14ac:dyDescent="0.3">
      <c r="A3" s="226" t="s">
        <v>490</v>
      </c>
      <c r="B3" s="227">
        <v>31.5</v>
      </c>
      <c r="C3" s="197"/>
      <c r="D3" s="197"/>
      <c r="E3" s="222"/>
      <c r="F3" s="191"/>
      <c r="U3" s="192" t="s">
        <v>236</v>
      </c>
      <c r="V3" s="193">
        <f>IFERROR(AVERAGE(UTDF_input!D41:F41,UTDF_input!H41:P41),1900)</f>
        <v>1900</v>
      </c>
    </row>
    <row r="4" spans="1:26" ht="13.8" thickBot="1" x14ac:dyDescent="0.3">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4.4" thickBot="1" x14ac:dyDescent="0.35">
      <c r="A5" s="197"/>
      <c r="B5" s="197"/>
      <c r="C5" s="197"/>
      <c r="D5" s="197"/>
      <c r="E5" s="222"/>
      <c r="F5" s="191"/>
      <c r="L5" s="195" t="s">
        <v>473</v>
      </c>
      <c r="M5" s="214" t="s">
        <v>474</v>
      </c>
      <c r="N5" s="214" t="s">
        <v>475</v>
      </c>
      <c r="U5" s="192" t="s">
        <v>235</v>
      </c>
      <c r="V5" s="193">
        <f>B4</f>
        <v>2</v>
      </c>
      <c r="X5" s="241"/>
      <c r="Y5" s="241"/>
    </row>
    <row r="6" spans="1:26" ht="15" customHeight="1" x14ac:dyDescent="0.25">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3">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1175</v>
      </c>
      <c r="K7" s="201">
        <f>IFERROR(INDEX(UTDF_input!A46:AC46,1,MATCH("SBL",UTDF_input!A26:AC26,0)),0)+IFERROR(INDEX(UTDF_input!A46:AC46,1,MATCH("SWL",UTDF_input!A26:AC26,0)),0)</f>
        <v>79</v>
      </c>
      <c r="L7" s="275" t="str">
        <f>IF($B$21="Yes","SB LT Treatment","")</f>
        <v/>
      </c>
      <c r="M7" s="275"/>
      <c r="U7" s="200" t="s">
        <v>468</v>
      </c>
      <c r="V7" s="193" t="str">
        <f>IF(UTDF_input!E82=1,"CBD","Other")</f>
        <v>Other</v>
      </c>
      <c r="W7" s="213">
        <f>IF(V7="CBD",0.9,1)</f>
        <v>1</v>
      </c>
      <c r="X7" s="242"/>
      <c r="Y7" s="242"/>
    </row>
    <row r="8" spans="1:26" ht="13.8" thickBot="1" x14ac:dyDescent="0.3">
      <c r="A8" s="197"/>
      <c r="B8" s="197"/>
      <c r="C8" s="197"/>
      <c r="D8" s="197"/>
      <c r="F8" s="275" t="str">
        <f>IF($B$21="Yes","EB LT Treatment","")</f>
        <v/>
      </c>
      <c r="G8" s="275"/>
      <c r="L8" s="276"/>
      <c r="M8" s="277"/>
      <c r="U8" s="156" t="s">
        <v>407</v>
      </c>
      <c r="V8" s="196">
        <v>40</v>
      </c>
    </row>
    <row r="9" spans="1:26" ht="13.8" thickBot="1" x14ac:dyDescent="0.3">
      <c r="A9" s="197"/>
      <c r="B9" s="197"/>
      <c r="C9" s="197"/>
      <c r="D9" s="197"/>
      <c r="F9" s="276"/>
      <c r="G9" s="277"/>
      <c r="L9" s="213">
        <f>IF(L8="",0,VLOOKUP(L8,$Y$12:$Z$14,2,FALSE))</f>
        <v>0</v>
      </c>
      <c r="M9" s="203"/>
      <c r="O9" s="204"/>
      <c r="P9" s="205"/>
      <c r="U9" s="192" t="s">
        <v>408</v>
      </c>
      <c r="V9" s="202">
        <v>150</v>
      </c>
    </row>
    <row r="10" spans="1:26" x14ac:dyDescent="0.25">
      <c r="F10" s="213">
        <f>IF(F9="",0,VLOOKUP(F9,$Y$12:$Z$14,2,FALSE))</f>
        <v>0</v>
      </c>
      <c r="M10" s="190" t="s">
        <v>53</v>
      </c>
      <c r="N10" s="190" t="s">
        <v>228</v>
      </c>
      <c r="U10" s="239" t="s">
        <v>525</v>
      </c>
      <c r="V10" s="190">
        <v>3.5</v>
      </c>
      <c r="X10" s="240" t="s">
        <v>473</v>
      </c>
      <c r="Y10" s="240" t="s">
        <v>295</v>
      </c>
    </row>
    <row r="11" spans="1:26" x14ac:dyDescent="0.25">
      <c r="F11" s="190" t="s">
        <v>228</v>
      </c>
      <c r="G11" s="190" t="s">
        <v>53</v>
      </c>
      <c r="M11" s="198" t="s">
        <v>357</v>
      </c>
      <c r="N11" s="198">
        <f>IF(N12=0,10,50)</f>
        <v>10</v>
      </c>
    </row>
    <row r="12" spans="1:26" ht="13.8" thickBot="1" x14ac:dyDescent="0.3">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175</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8" thickBot="1" x14ac:dyDescent="0.3">
      <c r="A13" s="207">
        <f>IF(UTDF_input!E6="",UTDF_input!I6,UTDF_input!E6)</f>
        <v>0</v>
      </c>
      <c r="B13" s="209"/>
      <c r="D13" s="194">
        <f>IFERROR(INDEX(UTDF_input!A36:AC36,1,MATCH("EBT",UTDF_input!A26:AC26,0)),20)+IFERROR(INDEX(UTDF_input!A36:AC36,1,MATCH("SET",UTDF_input!A26:AC26,0)),20)</f>
        <v>20</v>
      </c>
      <c r="F13" s="203"/>
      <c r="G13" s="203"/>
      <c r="J13" s="213" t="str">
        <f>IF(I2=0,I26,I2)</f>
        <v>SR 95</v>
      </c>
      <c r="M13" s="203"/>
      <c r="N13" s="203"/>
      <c r="P13" s="194">
        <f>IFERROR(INDEX(UTDF_input!A36:AC36,1,MATCH("WBT",UTDF_input!A26:AC26,0)),20)+IFERROR(INDEX(UTDF_input!A36:AC36,1,MATCH("NWT",UTDF_input!A26:AC26,0)),20)</f>
        <v>20</v>
      </c>
      <c r="R13" s="207" t="str">
        <f>IF(UTDF_input!F6="",UTDF_input!H6,UTDF_input!F6)</f>
        <v>El Rodeo Rd</v>
      </c>
      <c r="S13" s="209"/>
      <c r="U13" s="261" t="s">
        <v>725</v>
      </c>
      <c r="Y13" s="156" t="s">
        <v>83</v>
      </c>
      <c r="Z13" s="240">
        <v>2</v>
      </c>
    </row>
    <row r="14" spans="1:26" x14ac:dyDescent="0.25">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SR 95_El Rodeo Rd</v>
      </c>
      <c r="K14" s="213" t="str">
        <f>IF(A13=0,R13,A13)</f>
        <v>El Rodeo Rd</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726</v>
      </c>
      <c r="V14" s="156"/>
      <c r="Y14" s="156" t="s">
        <v>526</v>
      </c>
      <c r="Z14" s="240">
        <v>3</v>
      </c>
    </row>
    <row r="15" spans="1:26" ht="13.8" thickBot="1" x14ac:dyDescent="0.3">
      <c r="A15" s="215">
        <v>0</v>
      </c>
      <c r="B15" s="190" t="s">
        <v>519</v>
      </c>
      <c r="D15" s="190" t="s">
        <v>514</v>
      </c>
      <c r="F15" s="203"/>
      <c r="G15" s="203"/>
      <c r="M15" s="203"/>
      <c r="N15" s="203"/>
      <c r="P15" s="190" t="s">
        <v>515</v>
      </c>
      <c r="R15" s="215">
        <v>0</v>
      </c>
      <c r="U15" s="261" t="s">
        <v>727</v>
      </c>
    </row>
    <row r="16" spans="1:26" ht="13.8" thickBot="1" x14ac:dyDescent="0.3">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93</v>
      </c>
      <c r="N16" s="199">
        <f>IFERROR(INDEX(UTDF_input!A29:AC29,1,MATCH("WBL",UTDF_input!A26:AC26,0)),0)+IFERROR(INDEX(UTDF_input!A29:AC29,1,MATCH("NWL",UTDF_input!A26:AC26,0)),0)</f>
        <v>2</v>
      </c>
      <c r="P16" s="195" t="s">
        <v>473</v>
      </c>
      <c r="R16" s="190" t="s">
        <v>519</v>
      </c>
      <c r="U16" s="261" t="s">
        <v>728</v>
      </c>
    </row>
    <row r="17" spans="1:24" x14ac:dyDescent="0.25">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8" thickBot="1" x14ac:dyDescent="0.3">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8" thickBot="1" x14ac:dyDescent="0.3">
      <c r="M19" s="276"/>
      <c r="N19" s="277"/>
    </row>
    <row r="20" spans="1:24" ht="13.8" thickBot="1" x14ac:dyDescent="0.3">
      <c r="B20" s="211" t="s">
        <v>516</v>
      </c>
      <c r="C20" s="212"/>
      <c r="D20" s="212"/>
      <c r="E20" s="223"/>
      <c r="M20" s="213">
        <f>IF(M19="",0,VLOOKUP(M19,$Y$12:$Z$14,2,FALSE))</f>
        <v>0</v>
      </c>
    </row>
    <row r="21" spans="1:24" ht="13.8" thickBot="1" x14ac:dyDescent="0.3">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1536</v>
      </c>
      <c r="K21" s="201">
        <f>IFERROR(INDEX(UTDF_input!A46:AC46,1,MATCH("NBR",UTDF_input!A26:AC26,0)),0)+IFERROR(INDEX(UTDF_input!A46:AC46,1,MATCH("NER",UTDF_input!A26:AC26,0)),0)</f>
        <v>61</v>
      </c>
      <c r="L21" s="198" t="s">
        <v>357</v>
      </c>
      <c r="M21" s="190" t="s">
        <v>517</v>
      </c>
      <c r="O21" s="215">
        <f>IFERROR(INDEX(UTDF_input!A47:AC47,1,MATCH("NBT",UTDF_input!A26:AC26,0)),0)</f>
        <v>0</v>
      </c>
      <c r="P21" s="215">
        <f>IFERROR(INDEX(UTDF_input!A48:AC48,1,MATCH("NBT",UTDF_input!A26:AC26,0)),0)</f>
        <v>0</v>
      </c>
    </row>
    <row r="22" spans="1:24" ht="13.8" thickBot="1" x14ac:dyDescent="0.3">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8" thickBot="1" x14ac:dyDescent="0.3">
      <c r="B23" s="211" t="s">
        <v>554</v>
      </c>
      <c r="C23" s="245"/>
      <c r="D23" s="246"/>
      <c r="F23" s="275" t="str">
        <f>IF($B$21="Yes","NB LT Treatment","")</f>
        <v/>
      </c>
      <c r="G23" s="275"/>
      <c r="O23" s="203"/>
      <c r="P23" s="203"/>
    </row>
    <row r="24" spans="1:24" ht="13.8" thickBot="1" x14ac:dyDescent="0.3">
      <c r="B24" s="244" t="s">
        <v>295</v>
      </c>
      <c r="F24" s="276"/>
      <c r="G24" s="277"/>
      <c r="I24" s="190" t="s">
        <v>232</v>
      </c>
      <c r="J24" s="194">
        <f>IFERROR(INDEX(UTDF_input!A36:AC36,1,MATCH("NBT",UTDF_input!A26:AC26,0)),20)+IFERROR(INDEX(UTDF_input!A36:AC36,1,MATCH("NET",UTDF_input!A26:AC26,0)),20)</f>
        <v>65</v>
      </c>
      <c r="O24" s="203"/>
      <c r="P24" s="203"/>
    </row>
    <row r="25" spans="1:24" ht="13.8" thickBot="1" x14ac:dyDescent="0.3">
      <c r="F25" s="213">
        <f>IF(F24="",0,VLOOKUP(F24,$Y$12:$Z$14,2,FALSE))</f>
        <v>0</v>
      </c>
      <c r="O25" s="203"/>
      <c r="P25" s="203"/>
    </row>
    <row r="26" spans="1:24" ht="13.8" thickBot="1" x14ac:dyDescent="0.3">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5">
      <c r="J28" s="190" t="str">
        <f>IF(AND(I2="",A13=""),"",I2&amp;" &amp; "&amp;A13)</f>
        <v>SR 95 &amp; 0</v>
      </c>
    </row>
    <row r="30" spans="1:24" ht="14.4" x14ac:dyDescent="0.3">
      <c r="A30" s="273" t="s">
        <v>203</v>
      </c>
      <c r="B30" s="273"/>
      <c r="C30" s="273"/>
      <c r="D30" s="273"/>
      <c r="E30" s="273"/>
      <c r="F30" s="273"/>
      <c r="G30" s="273"/>
      <c r="H30" s="273"/>
    </row>
    <row r="31" spans="1:24" ht="14.4" x14ac:dyDescent="0.3">
      <c r="A31" s="274" t="s">
        <v>527</v>
      </c>
      <c r="B31" s="274"/>
      <c r="C31" s="274"/>
      <c r="D31" s="274"/>
      <c r="E31" s="274"/>
      <c r="F31" s="274"/>
      <c r="G31" s="274"/>
      <c r="H31" s="274"/>
    </row>
    <row r="32" spans="1:24" ht="14.4" x14ac:dyDescent="0.3">
      <c r="A32" s="206" t="s">
        <v>730</v>
      </c>
      <c r="B32" s="206"/>
      <c r="C32" s="206"/>
      <c r="D32" s="206"/>
      <c r="E32" s="42"/>
      <c r="F32" s="206"/>
      <c r="G32" s="206"/>
      <c r="H32" s="206"/>
    </row>
    <row r="33" spans="1:8" ht="14.4" x14ac:dyDescent="0.3">
      <c r="A33" s="206" t="s">
        <v>734</v>
      </c>
      <c r="B33" s="206"/>
      <c r="C33" s="206"/>
      <c r="D33" s="206"/>
      <c r="E33" s="42"/>
      <c r="F33" s="206"/>
      <c r="G33" s="206"/>
      <c r="H33" s="206"/>
    </row>
    <row r="34" spans="1:8" ht="14.4" x14ac:dyDescent="0.3">
      <c r="A34" s="5"/>
      <c r="B34" s="5"/>
      <c r="C34" s="5"/>
      <c r="D34" s="5"/>
      <c r="E34" s="5"/>
      <c r="F34" s="5"/>
      <c r="G34" s="5"/>
      <c r="H34" s="5"/>
    </row>
    <row r="35" spans="1:8" ht="12.75" customHeight="1" x14ac:dyDescent="0.25">
      <c r="A35" s="272" t="s">
        <v>553</v>
      </c>
      <c r="B35" s="272"/>
      <c r="C35" s="272"/>
      <c r="D35" s="272"/>
      <c r="E35" s="272"/>
      <c r="F35" s="272"/>
      <c r="G35" s="272"/>
      <c r="H35" s="272"/>
    </row>
    <row r="36" spans="1:8" ht="12.75" customHeight="1" x14ac:dyDescent="0.25">
      <c r="A36" s="272"/>
      <c r="B36" s="272"/>
      <c r="C36" s="272"/>
      <c r="D36" s="272"/>
      <c r="E36" s="272"/>
      <c r="F36" s="272"/>
      <c r="G36" s="272"/>
      <c r="H36" s="272"/>
    </row>
    <row r="37" spans="1:8" ht="12.75" customHeight="1" x14ac:dyDescent="0.25">
      <c r="A37" s="272"/>
      <c r="B37" s="272"/>
      <c r="C37" s="272"/>
      <c r="D37" s="272"/>
      <c r="E37" s="272"/>
      <c r="F37" s="272"/>
      <c r="G37" s="272"/>
      <c r="H37" s="272"/>
    </row>
    <row r="38" spans="1:8" ht="12.75" customHeight="1" x14ac:dyDescent="0.25">
      <c r="A38" s="272"/>
      <c r="B38" s="272"/>
      <c r="C38" s="272"/>
      <c r="D38" s="272"/>
      <c r="E38" s="272"/>
      <c r="F38" s="272"/>
      <c r="G38" s="272"/>
      <c r="H38" s="272"/>
    </row>
    <row r="39" spans="1:8" ht="12.75" customHeight="1" x14ac:dyDescent="0.25">
      <c r="A39" s="272"/>
      <c r="B39" s="272"/>
      <c r="C39" s="272"/>
      <c r="D39" s="272"/>
      <c r="E39" s="272"/>
      <c r="F39" s="272"/>
      <c r="G39" s="272"/>
      <c r="H39" s="272"/>
    </row>
    <row r="40" spans="1:8" ht="12.75" customHeight="1" x14ac:dyDescent="0.25">
      <c r="A40" s="272"/>
      <c r="B40" s="272"/>
      <c r="C40" s="272"/>
      <c r="D40" s="272"/>
      <c r="E40" s="272"/>
      <c r="F40" s="272"/>
      <c r="G40" s="272"/>
      <c r="H40" s="272"/>
    </row>
    <row r="41" spans="1:8" ht="12.75" customHeight="1" x14ac:dyDescent="0.25">
      <c r="A41" s="272"/>
      <c r="B41" s="272"/>
      <c r="C41" s="272"/>
      <c r="D41" s="272"/>
      <c r="E41" s="272"/>
      <c r="F41" s="272"/>
      <c r="G41" s="272"/>
      <c r="H41" s="272"/>
    </row>
    <row r="42" spans="1:8" ht="12.75" customHeight="1" x14ac:dyDescent="0.25">
      <c r="A42" s="272"/>
      <c r="B42" s="272"/>
      <c r="C42" s="272"/>
      <c r="D42" s="272"/>
      <c r="E42" s="272"/>
      <c r="F42" s="272"/>
      <c r="G42" s="272"/>
      <c r="H42" s="272"/>
    </row>
    <row r="43" spans="1:8" ht="12.75" customHeight="1" x14ac:dyDescent="0.25">
      <c r="A43" s="272"/>
      <c r="B43" s="272"/>
      <c r="C43" s="272"/>
      <c r="D43" s="272"/>
      <c r="E43" s="272"/>
      <c r="F43" s="272"/>
      <c r="G43" s="272"/>
      <c r="H43" s="272"/>
    </row>
    <row r="44" spans="1:8" x14ac:dyDescent="0.25">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09375" defaultRowHeight="14.4" x14ac:dyDescent="0.3"/>
  <cols>
    <col min="1" max="1" width="21" bestFit="1" customWidth="1"/>
    <col min="10" max="11" width="9.6640625" customWidth="1"/>
    <col min="12" max="34" width="9.109375" customWidth="1"/>
  </cols>
  <sheetData>
    <row r="1" spans="1:27" x14ac:dyDescent="0.3">
      <c r="A1" s="281" t="s">
        <v>204</v>
      </c>
      <c r="B1" s="281"/>
      <c r="C1" s="281"/>
      <c r="L1" s="270" t="s">
        <v>75</v>
      </c>
      <c r="M1" s="270"/>
      <c r="N1" s="270" t="s">
        <v>115</v>
      </c>
      <c r="O1" s="270"/>
      <c r="Q1" t="s">
        <v>91</v>
      </c>
      <c r="R1" t="s">
        <v>92</v>
      </c>
      <c r="W1" t="s">
        <v>91</v>
      </c>
      <c r="X1" t="s">
        <v>92</v>
      </c>
    </row>
    <row r="2" spans="1:27" x14ac:dyDescent="0.3">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3">
      <c r="A3" t="s">
        <v>74</v>
      </c>
      <c r="B3" s="2">
        <f>Sheet1!N4</f>
        <v>0</v>
      </c>
      <c r="C3" s="2">
        <f>IF(Sheet1!P5=0,Sheet1!O4+Sheet1!P4,Sheet1!O4)</f>
        <v>0</v>
      </c>
      <c r="D3" s="2">
        <f>IF(Sheet1!N4=Sheet1!S4, Sheet1!S4+1,Sheet1!S4)</f>
        <v>93</v>
      </c>
      <c r="E3" s="2">
        <f>IF(Sheet1!U5=0,Sheet1!T4+Sheet1!U4,Sheet1!T4)</f>
        <v>175</v>
      </c>
      <c r="F3" s="2">
        <f>Sheet1!D4+Sheet1!W4+Sheet1!Z4</f>
        <v>0</v>
      </c>
      <c r="G3" s="2">
        <f>IF(Sheet1!F5=0,Sheet1!E4+Sheet1!F4+Sheet1!X4+Sheet1!AA4,Sheet1!E4+Sheet1!X4+Sheet1!AA4)</f>
        <v>1597</v>
      </c>
      <c r="H3" s="2">
        <f>IF(Sheet1!D4+Sheet1!W4+Sheet1!Z4=Sheet1!I4+Sheet1!AC4+Sheet1!AF4,Sheet1!I4+Sheet1!AC4+Sheet1!AF4+1,Sheet1!I4+Sheet1!AC4+Sheet1!AF4)</f>
        <v>79</v>
      </c>
      <c r="I3" s="2">
        <f>IF(Sheet1!K5=0,Sheet1!J4+Sheet1!K4+Sheet1!AD4+Sheet1!AG4,Sheet1!J4+Sheet1!AD4+Sheet1!AG4)</f>
        <v>1175</v>
      </c>
      <c r="L3" t="s">
        <v>14</v>
      </c>
      <c r="M3">
        <v>4</v>
      </c>
      <c r="N3" t="s">
        <v>14</v>
      </c>
      <c r="O3">
        <v>2</v>
      </c>
      <c r="Q3">
        <v>2</v>
      </c>
      <c r="R3">
        <v>90000</v>
      </c>
      <c r="W3">
        <v>2</v>
      </c>
      <c r="X3">
        <v>300000</v>
      </c>
    </row>
    <row r="4" spans="1:27" x14ac:dyDescent="0.3">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3">
      <c r="A5" t="s">
        <v>97</v>
      </c>
      <c r="B5" s="2">
        <f>IF(B6=0,0,B4)</f>
        <v>0</v>
      </c>
      <c r="C5" s="2">
        <f>IF(AND(B6=0,C6=0),0,C4)</f>
        <v>0</v>
      </c>
      <c r="D5" s="2">
        <f>IF(D6=0,0,D4)</f>
        <v>3</v>
      </c>
      <c r="E5" s="2">
        <f>IF(AND(D6=0,E6=0),0,E4)</f>
        <v>8</v>
      </c>
      <c r="F5" s="2">
        <f>IF(F6=0,0,F4)</f>
        <v>0</v>
      </c>
      <c r="G5" s="2">
        <f>IF(AND(F6=0,G6=0),0,G4)</f>
        <v>2</v>
      </c>
      <c r="H5" s="2">
        <f>IF(H6=0,0,H4)</f>
        <v>1</v>
      </c>
      <c r="I5" s="2">
        <f>IF(AND(H6=0,I6=0),0,I4)</f>
        <v>6</v>
      </c>
      <c r="L5" t="s">
        <v>19</v>
      </c>
      <c r="M5">
        <v>8</v>
      </c>
      <c r="N5" t="s">
        <v>19</v>
      </c>
      <c r="O5">
        <v>6</v>
      </c>
    </row>
    <row r="6" spans="1:27" x14ac:dyDescent="0.3">
      <c r="A6" s="139" t="s">
        <v>79</v>
      </c>
      <c r="B6" s="123">
        <f>Sheet1!N5</f>
        <v>0</v>
      </c>
      <c r="C6" s="123">
        <f>Sheet1!O5</f>
        <v>0</v>
      </c>
      <c r="D6" s="123">
        <f>Sheet1!S5</f>
        <v>2</v>
      </c>
      <c r="E6" s="123">
        <f>Sheet1!T5</f>
        <v>0</v>
      </c>
      <c r="F6" s="123">
        <f>Sheet1!D5+Sheet1!W5+Sheet1!Z5</f>
        <v>0</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3">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2</v>
      </c>
      <c r="U7" s="2">
        <f>G6</f>
        <v>3</v>
      </c>
      <c r="W7" t="s">
        <v>88</v>
      </c>
      <c r="X7" s="2">
        <f t="shared" ref="X7:AA8" si="0">R7</f>
        <v>0</v>
      </c>
      <c r="Y7" s="2">
        <f t="shared" si="0"/>
        <v>0</v>
      </c>
      <c r="Z7" s="2">
        <f t="shared" si="0"/>
        <v>2</v>
      </c>
      <c r="AA7" s="2">
        <f t="shared" si="0"/>
        <v>3</v>
      </c>
    </row>
    <row r="8" spans="1:27" x14ac:dyDescent="0.3">
      <c r="A8" s="139" t="s">
        <v>291</v>
      </c>
      <c r="B8" s="139"/>
      <c r="C8" s="123">
        <f>Phasing!P6</f>
        <v>25</v>
      </c>
      <c r="D8" s="123"/>
      <c r="E8" s="123">
        <f>Phasing!R6</f>
        <v>25</v>
      </c>
      <c r="F8" s="123"/>
      <c r="G8" s="123">
        <f>Phasing!T6</f>
        <v>65</v>
      </c>
      <c r="H8" s="123"/>
      <c r="I8" s="123">
        <f>Phasing!V6</f>
        <v>65</v>
      </c>
      <c r="L8" t="s">
        <v>8</v>
      </c>
      <c r="M8">
        <v>1</v>
      </c>
      <c r="N8" t="s">
        <v>8</v>
      </c>
      <c r="O8">
        <v>7</v>
      </c>
      <c r="Q8" t="s">
        <v>92</v>
      </c>
      <c r="R8" s="2">
        <f>B3*E3</f>
        <v>0</v>
      </c>
      <c r="S8" s="2">
        <f>D3*C3</f>
        <v>0</v>
      </c>
      <c r="T8" s="2">
        <f>F3*I3</f>
        <v>0</v>
      </c>
      <c r="U8" s="2">
        <f>H3*G3</f>
        <v>126163</v>
      </c>
      <c r="W8" t="s">
        <v>92</v>
      </c>
      <c r="X8" s="2">
        <f t="shared" si="0"/>
        <v>0</v>
      </c>
      <c r="Y8" s="2">
        <f t="shared" si="0"/>
        <v>0</v>
      </c>
      <c r="Z8" s="2">
        <f t="shared" si="0"/>
        <v>0</v>
      </c>
      <c r="AA8" s="2">
        <f t="shared" si="0"/>
        <v>126163</v>
      </c>
    </row>
    <row r="9" spans="1:27" x14ac:dyDescent="0.3">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3">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3">
      <c r="A11" t="s">
        <v>87</v>
      </c>
      <c r="B11" s="2">
        <f>IF(B6&gt;=2,1,0)</f>
        <v>0</v>
      </c>
      <c r="C11" s="2"/>
      <c r="D11" s="2">
        <f>IF(D6&gt;=2,1,0)</f>
        <v>1</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1</v>
      </c>
      <c r="W11" s="2">
        <v>3</v>
      </c>
      <c r="X11" s="2">
        <f>IF(AND(X7=3,X8&gt;=300000),1,0)</f>
        <v>0</v>
      </c>
      <c r="Y11" s="2">
        <f>IF(AND(Y7=3,Y8&gt;=300000),1,0)</f>
        <v>0</v>
      </c>
      <c r="Z11" s="2">
        <f>IF(AND(Z7=3,Z8&gt;=300000),1,0)</f>
        <v>0</v>
      </c>
      <c r="AA11" s="2">
        <f>IF(AND(AA7=3,AA8&gt;=300000),1,0)</f>
        <v>0</v>
      </c>
    </row>
    <row r="12" spans="1:27" x14ac:dyDescent="0.3">
      <c r="A12" s="139" t="s">
        <v>88</v>
      </c>
      <c r="B12" s="123">
        <f>IF(E6&gt;=4,1,0)</f>
        <v>0</v>
      </c>
      <c r="C12" s="123"/>
      <c r="D12" s="123">
        <f>IF(C6&gt;=4,1,0)</f>
        <v>0</v>
      </c>
      <c r="E12" s="123"/>
      <c r="F12" s="123">
        <f>IF(I6&gt;=4,1,0)</f>
        <v>0</v>
      </c>
      <c r="G12" s="123"/>
      <c r="H12" s="123">
        <f>IF(G6&gt;=4,1,0)</f>
        <v>0</v>
      </c>
      <c r="I12" s="285"/>
      <c r="J12" s="5"/>
      <c r="K12" s="5"/>
      <c r="L12" s="5" t="s">
        <v>20</v>
      </c>
      <c r="M12" s="5">
        <f>Sheet1!U4</f>
        <v>175</v>
      </c>
      <c r="N12" s="5">
        <v>2</v>
      </c>
      <c r="O12" s="5" t="s">
        <v>83</v>
      </c>
      <c r="Q12" s="3" t="s">
        <v>93</v>
      </c>
      <c r="R12" s="3">
        <f>MAX(R9:S11)</f>
        <v>0</v>
      </c>
      <c r="S12" s="3">
        <f>MAX(R9:S11)</f>
        <v>0</v>
      </c>
      <c r="T12" s="3">
        <f>MAX(T9:U11)</f>
        <v>1</v>
      </c>
      <c r="U12" s="3">
        <f>MAX(T9:U11)</f>
        <v>1</v>
      </c>
      <c r="W12" s="3" t="s">
        <v>93</v>
      </c>
      <c r="X12" s="3">
        <f>MAX(X9:X11)</f>
        <v>0</v>
      </c>
      <c r="Y12" s="3">
        <f>MAX(Y9:Y11)</f>
        <v>0</v>
      </c>
      <c r="Z12" s="3">
        <f>MAX(Z9:Z11)</f>
        <v>0</v>
      </c>
      <c r="AA12" s="3">
        <f>MAX(AA9:AA11)</f>
        <v>0</v>
      </c>
    </row>
    <row r="13" spans="1:27" x14ac:dyDescent="0.3">
      <c r="A13" t="s">
        <v>81</v>
      </c>
      <c r="B13" s="2">
        <f>IF(E8&gt;45,1,0)</f>
        <v>0</v>
      </c>
      <c r="C13" s="2"/>
      <c r="D13" s="2">
        <f>IF(C8&gt;45,1,0)</f>
        <v>0</v>
      </c>
      <c r="E13" s="2"/>
      <c r="F13" s="2">
        <f>IF(I8&gt;45,1,0)</f>
        <v>1</v>
      </c>
      <c r="G13" s="2"/>
      <c r="H13" s="2">
        <f>IF(G8&gt;45,1,0)</f>
        <v>1</v>
      </c>
      <c r="I13" s="285"/>
      <c r="J13" s="6"/>
      <c r="K13" s="6"/>
      <c r="L13" s="5" t="s">
        <v>5</v>
      </c>
      <c r="M13" s="5">
        <f>Sheet1!F4+Sheet1!Y4+Sheet1!AB4</f>
        <v>61</v>
      </c>
      <c r="N13" s="5">
        <v>3</v>
      </c>
      <c r="O13" s="5" t="s">
        <v>84</v>
      </c>
      <c r="Q13" s="270" t="s">
        <v>94</v>
      </c>
      <c r="R13" s="270"/>
      <c r="S13" s="270"/>
      <c r="T13" s="270"/>
      <c r="U13" s="270"/>
    </row>
    <row r="14" spans="1:27" x14ac:dyDescent="0.3">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3">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3">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1</v>
      </c>
      <c r="I16" s="136"/>
      <c r="J16" s="6"/>
      <c r="K16" s="284"/>
      <c r="L16" s="5" t="s">
        <v>398</v>
      </c>
      <c r="M16" s="5">
        <f>D3+E3+M12</f>
        <v>443</v>
      </c>
      <c r="N16" s="5"/>
      <c r="O16" s="5"/>
      <c r="P16" s="286" t="s">
        <v>108</v>
      </c>
      <c r="Q16" s="286"/>
      <c r="R16" s="286"/>
      <c r="S16" s="286"/>
      <c r="T16" s="286"/>
      <c r="U16" s="2"/>
    </row>
    <row r="17" spans="1:24" x14ac:dyDescent="0.3">
      <c r="A17" s="20" t="s">
        <v>92</v>
      </c>
      <c r="B17" s="137">
        <f>IF(OR(D16=3,R12=1),3,2)</f>
        <v>2</v>
      </c>
      <c r="C17" s="137"/>
      <c r="D17" s="137">
        <f>IF(OR(B16=3,S12=1),3,2)</f>
        <v>2</v>
      </c>
      <c r="E17" s="137"/>
      <c r="F17" s="137">
        <f>IF(OR(H16=3,T12=1),3,2)</f>
        <v>3</v>
      </c>
      <c r="G17" s="137"/>
      <c r="H17" s="137">
        <f>IF(OR(F16=3,U12=1),3,2)</f>
        <v>3</v>
      </c>
      <c r="I17" s="21" t="s">
        <v>96</v>
      </c>
      <c r="J17" s="8"/>
      <c r="K17" s="284"/>
      <c r="L17" s="8" t="s">
        <v>399</v>
      </c>
      <c r="M17" s="8">
        <f>F3+G3+M13</f>
        <v>1658</v>
      </c>
      <c r="N17" s="9"/>
      <c r="O17" s="5"/>
      <c r="P17" s="8"/>
      <c r="Q17" s="282" t="s">
        <v>107</v>
      </c>
      <c r="R17" s="282"/>
      <c r="S17" s="282"/>
      <c r="T17" s="282"/>
      <c r="U17" s="8"/>
      <c r="V17" s="8"/>
    </row>
    <row r="18" spans="1:24" x14ac:dyDescent="0.3">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1254</v>
      </c>
      <c r="N18" s="11"/>
      <c r="O18" s="5"/>
      <c r="P18" t="s">
        <v>105</v>
      </c>
      <c r="Q18" s="2">
        <v>1</v>
      </c>
      <c r="R18" s="24">
        <v>2</v>
      </c>
      <c r="S18" s="2">
        <v>3</v>
      </c>
      <c r="T18" s="2">
        <v>4</v>
      </c>
      <c r="V18" s="8"/>
    </row>
    <row r="19" spans="1:24" x14ac:dyDescent="0.3">
      <c r="A19" s="20" t="s">
        <v>97</v>
      </c>
      <c r="B19" s="138">
        <f>IF(E5=0,2,0)</f>
        <v>0</v>
      </c>
      <c r="C19" s="138"/>
      <c r="D19" s="138">
        <f>IF(C5=0,2,0)</f>
        <v>2</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3">
      <c r="I20" s="8"/>
      <c r="J20" s="8"/>
      <c r="K20" s="8"/>
      <c r="L20" s="8"/>
      <c r="M20" s="8"/>
      <c r="N20" s="11"/>
      <c r="O20" s="5"/>
      <c r="V20" s="8"/>
    </row>
    <row r="21" spans="1:24" x14ac:dyDescent="0.3">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3">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3">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3">
      <c r="C24" s="8"/>
      <c r="D24" s="8"/>
      <c r="E24" s="10"/>
      <c r="F24" s="8"/>
      <c r="G24" s="8"/>
      <c r="H24" s="8"/>
      <c r="I24" s="8"/>
      <c r="J24" s="8"/>
      <c r="K24" s="8"/>
      <c r="L24" s="10"/>
      <c r="M24" s="10"/>
      <c r="N24" s="11"/>
      <c r="O24" s="5"/>
      <c r="V24" s="8"/>
    </row>
    <row r="25" spans="1:24" x14ac:dyDescent="0.3">
      <c r="L25" s="10"/>
      <c r="M25" s="10"/>
      <c r="N25" s="11"/>
      <c r="O25" s="7"/>
      <c r="Q25" s="270" t="s">
        <v>111</v>
      </c>
      <c r="R25" s="270"/>
      <c r="S25" s="270"/>
      <c r="V25" s="8"/>
    </row>
    <row r="26" spans="1:24" x14ac:dyDescent="0.3">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3">
      <c r="A27" s="22" t="s">
        <v>102</v>
      </c>
      <c r="B27" s="84">
        <f>IF(OR(B22=1,B22=3),B5,0)</f>
        <v>0</v>
      </c>
      <c r="C27" s="84">
        <f>IF(AND(C5=0,$I$9=1),C4,C5)</f>
        <v>0</v>
      </c>
      <c r="D27" s="84">
        <f>IF(OR(D22=1,D22=3),D5,0)</f>
        <v>0</v>
      </c>
      <c r="E27" s="84">
        <f>IF(AND(E5=0,$I$9=1),E4,E5)</f>
        <v>8</v>
      </c>
      <c r="F27" s="84">
        <f>IF(OR(F22=1,F22=3),F5,0)</f>
        <v>0</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3">
      <c r="A28" s="142" t="s">
        <v>103</v>
      </c>
      <c r="B28" s="126">
        <f>IF(OR(B22=2,B22=3,B22=4),C27,0)</f>
        <v>0</v>
      </c>
      <c r="C28" s="126"/>
      <c r="D28" s="126">
        <f>IF(OR(D22=2,D22=3,D22=4),E27,0)</f>
        <v>8</v>
      </c>
      <c r="E28" s="126"/>
      <c r="F28" s="126">
        <f>IF(OR(F22=2,F22=3,F22=4),G27,0)</f>
        <v>0</v>
      </c>
      <c r="G28" s="126"/>
      <c r="H28" s="126">
        <f>IF(OR(H22=2,H22=3,H22=4),I27,0)</f>
        <v>0</v>
      </c>
      <c r="I28" s="126"/>
      <c r="L28" s="8"/>
      <c r="M28" s="8"/>
      <c r="N28" s="11"/>
      <c r="O28" s="6"/>
      <c r="V28" s="5"/>
    </row>
    <row r="29" spans="1:24" x14ac:dyDescent="0.3">
      <c r="L29" s="11"/>
      <c r="M29" s="11"/>
      <c r="N29" s="11"/>
      <c r="O29" s="7"/>
      <c r="P29" t="s">
        <v>105</v>
      </c>
      <c r="Q29" s="24">
        <v>2</v>
      </c>
      <c r="R29" s="25"/>
      <c r="S29" s="2">
        <v>4</v>
      </c>
      <c r="U29" t="s">
        <v>105</v>
      </c>
      <c r="V29" s="24" t="str">
        <f>IF(AND(D22=4,F22&lt;&gt;4),Q29,"")</f>
        <v/>
      </c>
      <c r="W29" s="25"/>
      <c r="X29" s="2" t="str">
        <f>IF(AND(D22=4,F22&lt;&gt;4),S29,"")</f>
        <v/>
      </c>
    </row>
    <row r="30" spans="1:24" x14ac:dyDescent="0.3">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3">
      <c r="L31" s="14"/>
      <c r="M31" s="14"/>
      <c r="N31" s="11"/>
      <c r="O31" s="5"/>
    </row>
    <row r="32" spans="1:24" x14ac:dyDescent="0.3">
      <c r="H32" s="9" t="s">
        <v>76</v>
      </c>
      <c r="L32" s="5"/>
      <c r="M32" s="5"/>
      <c r="N32" s="5"/>
      <c r="O32" s="5"/>
      <c r="P32" t="s">
        <v>105</v>
      </c>
      <c r="Q32" s="24">
        <v>2</v>
      </c>
      <c r="R32" s="25"/>
      <c r="S32" s="25">
        <v>4</v>
      </c>
      <c r="U32" t="s">
        <v>105</v>
      </c>
      <c r="V32" s="24" t="str">
        <f>IF(AND(D22=4,F22=4),Q32,"")</f>
        <v/>
      </c>
      <c r="W32" s="25"/>
      <c r="X32" s="25" t="str">
        <f>IF(AND(D22=4,F22=4),S32,"")</f>
        <v/>
      </c>
    </row>
    <row r="33" spans="2:33" x14ac:dyDescent="0.3">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3">
      <c r="J34" s="27"/>
      <c r="K34" s="279" t="s">
        <v>113</v>
      </c>
      <c r="L34" s="279"/>
      <c r="M34" s="279"/>
      <c r="N34" s="279"/>
      <c r="O34" s="40"/>
    </row>
    <row r="35" spans="2:33" x14ac:dyDescent="0.3">
      <c r="B35" s="23" t="str">
        <f>B27&amp;"  "&amp;B28</f>
        <v>0  0</v>
      </c>
      <c r="G35" s="4">
        <f>E27</f>
        <v>8</v>
      </c>
      <c r="J35" s="28"/>
      <c r="K35" s="29" t="str">
        <f>IF($U$41=0,"b","")</f>
        <v/>
      </c>
      <c r="L35" s="29" t="str">
        <f>IF(OR($U$41=0,$U$41=1),"b","")</f>
        <v>b</v>
      </c>
      <c r="M35" s="29" t="str">
        <f>IF($U$41=0,"b","")</f>
        <v/>
      </c>
      <c r="N35" s="30"/>
      <c r="O35" s="2"/>
    </row>
    <row r="36" spans="2:33" x14ac:dyDescent="0.3">
      <c r="C36" s="5"/>
      <c r="D36" s="5"/>
      <c r="E36" s="5"/>
      <c r="F36" s="5"/>
      <c r="G36" s="12"/>
      <c r="H36" s="5"/>
      <c r="J36" s="28" t="s">
        <v>105</v>
      </c>
      <c r="K36" s="31">
        <f t="shared" ref="K36:N37" si="1">IF($U$41=1,Q41,Q45)</f>
        <v>1</v>
      </c>
      <c r="L36" s="31">
        <f t="shared" si="1"/>
        <v>2</v>
      </c>
      <c r="M36" s="31">
        <f t="shared" si="1"/>
        <v>0</v>
      </c>
      <c r="N36" s="31">
        <f t="shared" si="1"/>
        <v>0</v>
      </c>
      <c r="O36" s="2"/>
      <c r="U36" t="s">
        <v>105</v>
      </c>
      <c r="V36" s="24">
        <f t="shared" ref="V36:Y37" si="2">MAX(V26,V29,V32)</f>
        <v>0</v>
      </c>
      <c r="W36" s="24">
        <f t="shared" si="2"/>
        <v>0</v>
      </c>
      <c r="X36" s="24">
        <f t="shared" si="2"/>
        <v>0</v>
      </c>
      <c r="Y36" s="24">
        <f t="shared" si="2"/>
        <v>0</v>
      </c>
    </row>
    <row r="37" spans="2:33" x14ac:dyDescent="0.3">
      <c r="B37" s="1">
        <f>C27</f>
        <v>0</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3">
      <c r="C38" s="15"/>
      <c r="D38" s="8"/>
      <c r="E38" s="8"/>
      <c r="F38" s="8"/>
      <c r="G38" s="5"/>
      <c r="H38" s="7"/>
    </row>
    <row r="39" spans="2:33" x14ac:dyDescent="0.3">
      <c r="C39" s="16"/>
      <c r="D39" s="17"/>
      <c r="E39" s="17"/>
      <c r="F39" s="8"/>
      <c r="G39" s="8"/>
      <c r="H39" s="8"/>
      <c r="J39" s="27"/>
      <c r="K39" s="279" t="s">
        <v>114</v>
      </c>
      <c r="L39" s="279"/>
      <c r="M39" s="279"/>
      <c r="N39" s="279"/>
    </row>
    <row r="40" spans="2:33" x14ac:dyDescent="0.3">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3">
      <c r="C41" s="8"/>
      <c r="D41" s="8"/>
      <c r="E41" s="8" t="s">
        <v>77</v>
      </c>
      <c r="F41" s="8"/>
      <c r="G41" s="8"/>
      <c r="H41" s="8"/>
      <c r="J41" s="28" t="s">
        <v>105</v>
      </c>
      <c r="K41" s="31" t="str">
        <f t="shared" ref="K41:N42" si="3">IF(K36&lt;&gt;0,Q55,"")</f>
        <v>SBL</v>
      </c>
      <c r="L41" s="31" t="str">
        <f t="shared" si="3"/>
        <v>NBT</v>
      </c>
      <c r="M41" s="31" t="str">
        <f t="shared" si="3"/>
        <v/>
      </c>
      <c r="N41" s="31" t="str">
        <f t="shared" si="3"/>
        <v/>
      </c>
      <c r="P41" t="s">
        <v>105</v>
      </c>
      <c r="Q41" s="2">
        <f>MAX(X41,AD41)</f>
        <v>1</v>
      </c>
      <c r="R41" s="2">
        <f t="shared" ref="R41:T42" si="4">MAX(Y41,AE41)</f>
        <v>2</v>
      </c>
      <c r="S41" s="2">
        <f t="shared" si="4"/>
        <v>0</v>
      </c>
      <c r="T41" s="2">
        <f t="shared" si="4"/>
        <v>0</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0</v>
      </c>
    </row>
    <row r="42" spans="2:33" x14ac:dyDescent="0.3">
      <c r="C42" s="6"/>
      <c r="D42" s="18" t="str">
        <f>F27&amp;"  "&amp;F28</f>
        <v>0  0</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3">
      <c r="U43" s="2"/>
    </row>
    <row r="44" spans="2:33" ht="15" hidden="1" customHeight="1" x14ac:dyDescent="0.3">
      <c r="Q44" s="282" t="s">
        <v>112</v>
      </c>
      <c r="R44" s="282"/>
      <c r="S44" s="282"/>
      <c r="T44" s="282"/>
      <c r="U44" s="2"/>
    </row>
    <row r="45" spans="2:33" ht="15" hidden="1" customHeight="1" x14ac:dyDescent="0.3">
      <c r="P45" t="s">
        <v>105</v>
      </c>
      <c r="Q45" s="24">
        <f t="shared" ref="Q45:T46" si="5">IF(V36&lt;&gt;0,V36,0)</f>
        <v>0</v>
      </c>
      <c r="R45" s="24">
        <f t="shared" si="5"/>
        <v>0</v>
      </c>
      <c r="S45" s="24">
        <f t="shared" si="5"/>
        <v>0</v>
      </c>
      <c r="T45" s="24">
        <f t="shared" si="5"/>
        <v>0</v>
      </c>
      <c r="U45" s="265">
        <f>IF(V36=0,0,1)</f>
        <v>0</v>
      </c>
    </row>
    <row r="46" spans="2:33" ht="15" hidden="1" customHeight="1" x14ac:dyDescent="0.3">
      <c r="P46" t="s">
        <v>106</v>
      </c>
      <c r="Q46" s="24">
        <f t="shared" si="5"/>
        <v>0</v>
      </c>
      <c r="R46" s="24">
        <f t="shared" si="5"/>
        <v>0</v>
      </c>
      <c r="S46" s="24">
        <f t="shared" si="5"/>
        <v>0</v>
      </c>
      <c r="T46" s="24">
        <f t="shared" si="5"/>
        <v>0</v>
      </c>
      <c r="U46" s="265"/>
    </row>
    <row r="47" spans="2:33" x14ac:dyDescent="0.3">
      <c r="B47" s="27"/>
      <c r="C47" s="279" t="s">
        <v>113</v>
      </c>
      <c r="D47" s="279"/>
      <c r="E47" s="279"/>
      <c r="F47" s="279"/>
      <c r="J47" s="27"/>
      <c r="K47" s="279" t="s">
        <v>436</v>
      </c>
      <c r="L47" s="279"/>
      <c r="M47" s="279"/>
      <c r="N47" s="279"/>
    </row>
    <row r="48" spans="2:33" x14ac:dyDescent="0.3">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3">
      <c r="B49" s="46" t="s">
        <v>105</v>
      </c>
      <c r="C49" s="29">
        <f>K36</f>
        <v>1</v>
      </c>
      <c r="D49" s="29">
        <f t="shared" si="6"/>
        <v>2</v>
      </c>
      <c r="E49" s="29">
        <f t="shared" si="6"/>
        <v>0</v>
      </c>
      <c r="F49" s="29">
        <f t="shared" si="6"/>
        <v>0</v>
      </c>
      <c r="J49" s="28" t="s">
        <v>105</v>
      </c>
      <c r="K49" s="31">
        <f>Phasing!D46</f>
        <v>0</v>
      </c>
      <c r="L49" s="31">
        <f>Phasing!E46</f>
        <v>9</v>
      </c>
      <c r="M49" s="31">
        <f>Phasing!F46</f>
        <v>0</v>
      </c>
      <c r="N49" s="31">
        <f>Phasing!G46</f>
        <v>0</v>
      </c>
      <c r="P49" s="2">
        <f>B27</f>
        <v>0</v>
      </c>
      <c r="Q49" s="2">
        <f t="shared" ref="Q49:W49" si="7">C27</f>
        <v>0</v>
      </c>
      <c r="R49" s="2">
        <f t="shared" si="7"/>
        <v>0</v>
      </c>
      <c r="S49" s="2">
        <f t="shared" si="7"/>
        <v>8</v>
      </c>
      <c r="T49" s="2">
        <f t="shared" si="7"/>
        <v>0</v>
      </c>
      <c r="U49" s="2">
        <f t="shared" si="7"/>
        <v>2</v>
      </c>
      <c r="V49" s="2">
        <f t="shared" si="7"/>
        <v>1</v>
      </c>
      <c r="W49" s="2">
        <f t="shared" si="7"/>
        <v>6</v>
      </c>
    </row>
    <row r="50" spans="2:23" x14ac:dyDescent="0.3">
      <c r="B50" s="46" t="s">
        <v>106</v>
      </c>
      <c r="C50" s="29">
        <f>K37</f>
        <v>0</v>
      </c>
      <c r="D50" s="29">
        <f t="shared" ref="D50" si="8">L37</f>
        <v>6</v>
      </c>
      <c r="E50" s="29">
        <f t="shared" ref="E50" si="9">M37</f>
        <v>0</v>
      </c>
      <c r="F50" s="29">
        <f t="shared" ref="F50" si="10">N37</f>
        <v>8</v>
      </c>
      <c r="J50" s="28" t="s">
        <v>106</v>
      </c>
      <c r="K50" s="31">
        <f>Phasing!H46</f>
        <v>0</v>
      </c>
      <c r="L50" s="31">
        <f>Phasing!I46</f>
        <v>0</v>
      </c>
      <c r="M50" s="31">
        <f>Phasing!J46</f>
        <v>0</v>
      </c>
      <c r="N50" s="31">
        <f>Phasing!K46</f>
        <v>36</v>
      </c>
      <c r="P50" s="2">
        <f t="shared" ref="P50:W50" si="11">IF(P49&gt;0,B26,0)</f>
        <v>0</v>
      </c>
      <c r="Q50" s="2">
        <f t="shared" si="11"/>
        <v>0</v>
      </c>
      <c r="R50" s="2">
        <f t="shared" si="11"/>
        <v>0</v>
      </c>
      <c r="S50" s="2" t="str">
        <f t="shared" si="11"/>
        <v>WBT</v>
      </c>
      <c r="T50" s="2">
        <f t="shared" si="11"/>
        <v>0</v>
      </c>
      <c r="U50" s="2" t="str">
        <f t="shared" si="11"/>
        <v>NBT</v>
      </c>
      <c r="V50" s="2" t="str">
        <f t="shared" si="11"/>
        <v>SBL</v>
      </c>
      <c r="W50" s="2" t="str">
        <f t="shared" si="11"/>
        <v>SBT</v>
      </c>
    </row>
    <row r="51" spans="2:23" x14ac:dyDescent="0.3">
      <c r="Q51" s="2"/>
      <c r="R51" s="2"/>
      <c r="S51" s="2"/>
      <c r="T51" s="2"/>
    </row>
    <row r="52" spans="2:23" x14ac:dyDescent="0.3">
      <c r="J52" s="27"/>
      <c r="K52" s="279" t="s">
        <v>437</v>
      </c>
      <c r="L52" s="279"/>
      <c r="M52" s="279"/>
      <c r="N52" s="279"/>
      <c r="P52" t="s">
        <v>105</v>
      </c>
      <c r="Q52" s="2">
        <f t="shared" ref="Q52:T53" si="12">MATCH(K36,$P$49:$W$49,0)</f>
        <v>7</v>
      </c>
      <c r="R52" s="2">
        <f t="shared" si="12"/>
        <v>6</v>
      </c>
      <c r="S52" s="2">
        <f t="shared" si="12"/>
        <v>1</v>
      </c>
      <c r="T52" s="2">
        <f t="shared" si="12"/>
        <v>1</v>
      </c>
    </row>
    <row r="53" spans="2:23" x14ac:dyDescent="0.3">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3">
      <c r="J54" s="28" t="s">
        <v>105</v>
      </c>
      <c r="K54" s="31">
        <f>Phasing!D47</f>
        <v>9</v>
      </c>
      <c r="L54" s="31">
        <f>Phasing!E47</f>
        <v>36</v>
      </c>
      <c r="M54" s="31">
        <f>Phasing!F47</f>
        <v>0</v>
      </c>
      <c r="N54" s="31">
        <f>Phasing!G47</f>
        <v>0</v>
      </c>
      <c r="Q54" s="2"/>
      <c r="R54" s="2"/>
      <c r="S54" s="2"/>
      <c r="T54" s="2"/>
    </row>
    <row r="55" spans="2:23" x14ac:dyDescent="0.3">
      <c r="J55" s="28" t="s">
        <v>106</v>
      </c>
      <c r="K55" s="31">
        <f>Phasing!H47</f>
        <v>0</v>
      </c>
      <c r="L55" s="31">
        <f>Phasing!I47</f>
        <v>36</v>
      </c>
      <c r="M55" s="31">
        <f>Phasing!J47</f>
        <v>0</v>
      </c>
      <c r="N55" s="31">
        <f>Phasing!K47</f>
        <v>70</v>
      </c>
      <c r="P55" t="s">
        <v>105</v>
      </c>
      <c r="Q55" s="2" t="str">
        <f>IF(Q52&gt;0,INDEX($P$49:$W$50,2,Q52),0)</f>
        <v>SBL</v>
      </c>
      <c r="R55" s="2" t="str">
        <f>IF(R52&gt;0,INDEX($P$49:$W$50,2,R52),0)</f>
        <v>NBT</v>
      </c>
      <c r="S55" s="2">
        <f>IF(S52&gt;0,INDEX($P$49:$W$50,2,S52),0)</f>
        <v>0</v>
      </c>
      <c r="T55" s="2">
        <f t="shared" ref="R55:T56" si="13">INDEX($P$49:$W$50,2,T52)</f>
        <v>0</v>
      </c>
    </row>
    <row r="56" spans="2:23" x14ac:dyDescent="0.3">
      <c r="P56" t="s">
        <v>106</v>
      </c>
      <c r="Q56" s="2">
        <f>INDEX($P$49:$W$50,2,Q53)</f>
        <v>0</v>
      </c>
      <c r="R56" s="2" t="str">
        <f t="shared" si="13"/>
        <v>SBT</v>
      </c>
      <c r="S56" s="2">
        <f t="shared" si="13"/>
        <v>0</v>
      </c>
      <c r="T56" s="2" t="str">
        <f t="shared" si="13"/>
        <v>WBT</v>
      </c>
    </row>
    <row r="59" spans="2:23" x14ac:dyDescent="0.3">
      <c r="J59" s="270" t="s">
        <v>438</v>
      </c>
      <c r="K59" s="270"/>
      <c r="L59" s="270" t="s">
        <v>439</v>
      </c>
      <c r="M59" s="270"/>
      <c r="N59" s="270" t="s">
        <v>440</v>
      </c>
      <c r="O59" s="270"/>
      <c r="P59" s="270" t="s">
        <v>441</v>
      </c>
      <c r="Q59" s="270"/>
      <c r="R59" s="15"/>
      <c r="S59" s="15"/>
      <c r="T59" s="15"/>
      <c r="U59" s="15"/>
      <c r="V59" s="15"/>
      <c r="W59" s="15"/>
    </row>
    <row r="60" spans="2:23" x14ac:dyDescent="0.3">
      <c r="I60" t="s">
        <v>105</v>
      </c>
      <c r="J60" s="2">
        <f>K49</f>
        <v>0</v>
      </c>
      <c r="K60" s="2">
        <f>K54</f>
        <v>9</v>
      </c>
      <c r="L60" s="2">
        <f>L49</f>
        <v>9</v>
      </c>
      <c r="M60" s="2">
        <f>L54</f>
        <v>36</v>
      </c>
      <c r="N60" s="2">
        <f>M49</f>
        <v>0</v>
      </c>
      <c r="O60" s="2">
        <f>M54</f>
        <v>0</v>
      </c>
      <c r="P60" s="2">
        <f>N49</f>
        <v>0</v>
      </c>
      <c r="Q60" s="2">
        <f>N54</f>
        <v>0</v>
      </c>
      <c r="R60" s="40"/>
      <c r="S60" s="40"/>
      <c r="T60" s="40"/>
      <c r="U60" s="40"/>
      <c r="V60" s="40"/>
      <c r="W60" s="41"/>
    </row>
    <row r="61" spans="2:23" x14ac:dyDescent="0.3">
      <c r="I61" t="s">
        <v>106</v>
      </c>
      <c r="J61" s="2">
        <f>K50</f>
        <v>0</v>
      </c>
      <c r="K61" s="2">
        <f>K55</f>
        <v>0</v>
      </c>
      <c r="L61" s="2">
        <f>L50</f>
        <v>0</v>
      </c>
      <c r="M61" s="2">
        <f>L55</f>
        <v>36</v>
      </c>
      <c r="N61" s="2">
        <f>M50</f>
        <v>0</v>
      </c>
      <c r="O61" s="2">
        <f>M55</f>
        <v>0</v>
      </c>
      <c r="P61" s="2">
        <f>N50</f>
        <v>36</v>
      </c>
      <c r="Q61" s="2">
        <f>N55</f>
        <v>70</v>
      </c>
      <c r="R61" s="2"/>
      <c r="S61" s="2"/>
      <c r="T61" s="2"/>
      <c r="U61" s="2"/>
      <c r="V61" s="2"/>
      <c r="W61" s="2"/>
    </row>
    <row r="62" spans="2:23" x14ac:dyDescent="0.3">
      <c r="J62" s="270" t="s">
        <v>442</v>
      </c>
      <c r="K62" s="270"/>
      <c r="L62" s="270" t="s">
        <v>443</v>
      </c>
      <c r="M62" s="270"/>
      <c r="N62" s="270" t="s">
        <v>444</v>
      </c>
      <c r="O62" s="270"/>
      <c r="P62" s="270" t="s">
        <v>445</v>
      </c>
      <c r="Q62" s="270"/>
      <c r="R62" s="2"/>
      <c r="S62" s="2"/>
      <c r="T62" s="2"/>
      <c r="U62" s="2"/>
      <c r="V62" s="2"/>
      <c r="W62" s="2"/>
    </row>
    <row r="64" spans="2:23" x14ac:dyDescent="0.3">
      <c r="J64" t="s">
        <v>105</v>
      </c>
      <c r="K64" s="2">
        <v>0</v>
      </c>
      <c r="L64" s="2">
        <f>L60</f>
        <v>9</v>
      </c>
      <c r="M64" s="2">
        <f>N60</f>
        <v>0</v>
      </c>
      <c r="N64" s="2">
        <f>P60</f>
        <v>0</v>
      </c>
      <c r="O64" s="2">
        <f>Q60</f>
        <v>0</v>
      </c>
    </row>
    <row r="65" spans="9:23" x14ac:dyDescent="0.3">
      <c r="J65" t="s">
        <v>106</v>
      </c>
      <c r="K65" s="2">
        <v>0</v>
      </c>
      <c r="L65" s="2">
        <f>L61</f>
        <v>0</v>
      </c>
      <c r="M65" s="2">
        <f>N61</f>
        <v>0</v>
      </c>
      <c r="N65" s="2">
        <f>P61</f>
        <v>36</v>
      </c>
      <c r="O65" s="2">
        <f>Q61</f>
        <v>70</v>
      </c>
      <c r="P65" s="8"/>
      <c r="Q65" s="8"/>
      <c r="R65" s="15"/>
      <c r="S65" s="15"/>
      <c r="T65" s="15"/>
      <c r="U65" s="15"/>
      <c r="V65" s="15"/>
      <c r="W65" s="15"/>
    </row>
    <row r="66" spans="9:23" x14ac:dyDescent="0.3">
      <c r="R66" s="40"/>
      <c r="S66" s="40"/>
      <c r="T66" s="40"/>
      <c r="U66" s="40"/>
      <c r="V66" s="40"/>
      <c r="W66" s="41"/>
    </row>
    <row r="67" spans="9:23" x14ac:dyDescent="0.3">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3">
      <c r="I68" s="82" t="s">
        <v>639</v>
      </c>
      <c r="J68" s="147">
        <f>Phasing!D30</f>
        <v>111</v>
      </c>
      <c r="K68" s="147">
        <f>Phasing!E30</f>
        <v>112</v>
      </c>
      <c r="L68" s="147">
        <f>Phasing!F30</f>
        <v>0</v>
      </c>
      <c r="M68" s="147">
        <f>Phasing!G30</f>
        <v>0</v>
      </c>
      <c r="N68" s="147">
        <f>Phasing!H30</f>
        <v>0</v>
      </c>
      <c r="O68" s="147">
        <f>Phasing!I30</f>
        <v>122</v>
      </c>
      <c r="P68" s="147">
        <f>Phasing!J30</f>
        <v>0</v>
      </c>
      <c r="Q68" s="147">
        <f>Phasing!K30</f>
        <v>222</v>
      </c>
      <c r="R68" s="2"/>
      <c r="S68" s="2"/>
      <c r="T68" s="2"/>
      <c r="U68" s="2"/>
      <c r="V68" s="2"/>
      <c r="W68" s="2"/>
    </row>
    <row r="69" spans="9:23" x14ac:dyDescent="0.3">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48" t="s">
        <v>204</v>
      </c>
      <c r="T1" s="47"/>
      <c r="AK1" s="47"/>
      <c r="BB1" s="47"/>
    </row>
    <row r="2" spans="2:57" x14ac:dyDescent="0.3">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3">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3">
      <c r="B5" t="s">
        <v>164</v>
      </c>
      <c r="C5" s="2">
        <f>ROUND(Sheet1!P4*(1-'Input sheet'!G17/100),0)</f>
        <v>0</v>
      </c>
      <c r="D5" s="2">
        <f>C5</f>
        <v>0</v>
      </c>
      <c r="T5" t="s">
        <v>164</v>
      </c>
      <c r="U5" s="2">
        <f>ROUND(Sheet1!U4*(1-'Input sheet'!N11/100),0)</f>
        <v>158</v>
      </c>
      <c r="V5" s="2">
        <f>U5</f>
        <v>158</v>
      </c>
      <c r="AK5" t="s">
        <v>164</v>
      </c>
      <c r="AL5" s="2">
        <f>ROUND((Sheet1!F4+Sheet1!Y4+Sheet1!AB4)*(1-'Input sheet'!L22/100),0)</f>
        <v>55</v>
      </c>
      <c r="AM5" s="2">
        <f>AL5</f>
        <v>55</v>
      </c>
      <c r="BB5" t="s">
        <v>164</v>
      </c>
      <c r="BC5" s="2">
        <f>ROUND((Sheet1!K4+Sheet1!AE4+Sheet1!AH4)*(1-'Input sheet'!H7/100),0)</f>
        <v>0</v>
      </c>
      <c r="BD5" s="2">
        <f>BC5</f>
        <v>0</v>
      </c>
    </row>
    <row r="6" spans="2:57" s="139" customFormat="1" x14ac:dyDescent="0.3">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3">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3">
      <c r="B8" s="139" t="s">
        <v>168</v>
      </c>
      <c r="C8" s="123">
        <f>ROUND(IF(C6=0,0,C5/(C6*C7)),0)</f>
        <v>0</v>
      </c>
      <c r="D8" s="123">
        <f>ROUND(IF(C6=0,D5/(D6*D7),0),0)</f>
        <v>0</v>
      </c>
      <c r="T8" s="139" t="s">
        <v>168</v>
      </c>
      <c r="U8" s="123">
        <f>ROUND(IF(U6=0,0,U5/(U6*U7)),0)</f>
        <v>0</v>
      </c>
      <c r="V8" s="123">
        <f>ROUND(IF(U6=0,V5/(V6*V7),0),0)</f>
        <v>186</v>
      </c>
      <c r="AK8" s="139" t="s">
        <v>168</v>
      </c>
      <c r="AL8" s="123">
        <f>ROUND(IF(AL6=0,0,AL5/(AL6*AL7)),0)</f>
        <v>0</v>
      </c>
      <c r="AM8" s="123">
        <f>ROUND(IF(AL6=0,AM5/(AM6*AM7),0),0)</f>
        <v>65</v>
      </c>
      <c r="BB8" s="139" t="s">
        <v>168</v>
      </c>
      <c r="BC8" s="123">
        <f>ROUND(IF(BC6=0,0,BC5/(BC6*BC7)),0)</f>
        <v>0</v>
      </c>
      <c r="BD8" s="123">
        <f>ROUND(IF(BC6=0,BD5/(BD6*BD7),0),0)</f>
        <v>0</v>
      </c>
    </row>
    <row r="10" spans="2:57" s="139" customFormat="1" x14ac:dyDescent="0.3">
      <c r="B10" s="142" t="s">
        <v>155</v>
      </c>
      <c r="T10" s="142" t="s">
        <v>155</v>
      </c>
      <c r="AK10" s="142" t="s">
        <v>155</v>
      </c>
      <c r="BB10" s="142" t="s">
        <v>155</v>
      </c>
    </row>
    <row r="11" spans="2:57" x14ac:dyDescent="0.3">
      <c r="B11" t="s">
        <v>165</v>
      </c>
      <c r="C11" s="2">
        <f>Sheet1!N4</f>
        <v>0</v>
      </c>
      <c r="T11" t="s">
        <v>165</v>
      </c>
      <c r="U11" s="2">
        <f>Sheet1!S4</f>
        <v>93</v>
      </c>
      <c r="AK11" t="s">
        <v>165</v>
      </c>
      <c r="AL11" s="2">
        <f>Sheet1!D4+Sheet1!W4+Sheet1!Z4</f>
        <v>0</v>
      </c>
      <c r="BB11" t="s">
        <v>165</v>
      </c>
      <c r="BC11" s="2">
        <f>Sheet1!I4+Sheet1!AC4+Sheet1!AF4</f>
        <v>79</v>
      </c>
    </row>
    <row r="12" spans="2:57" s="139" customFormat="1" x14ac:dyDescent="0.3">
      <c r="B12" s="139" t="s">
        <v>169</v>
      </c>
      <c r="C12" s="123">
        <f>SUM(Sheet1!S4:U4)-Sheet1!S4</f>
        <v>175</v>
      </c>
      <c r="T12" s="139" t="s">
        <v>169</v>
      </c>
      <c r="U12" s="123">
        <f>SUM(Sheet1!N4:P4)-Sheet1!N4</f>
        <v>0</v>
      </c>
      <c r="AK12" s="139" t="s">
        <v>169</v>
      </c>
      <c r="AL12" s="123">
        <f>SUM(Sheet1!I4:K4,Sheet1!AC4:AH4)-Sheet1!AF4-Sheet1!AC4-Sheet1!I4</f>
        <v>1175</v>
      </c>
      <c r="BB12" s="139" t="s">
        <v>169</v>
      </c>
      <c r="BC12" s="123">
        <f>SUM(Sheet1!D4:F4,Sheet1!W4:AB4)-Sheet1!Z4-Sheet1!W4-Sheet1!D4</f>
        <v>1597</v>
      </c>
    </row>
    <row r="13" spans="2:57" x14ac:dyDescent="0.3">
      <c r="B13" t="s">
        <v>170</v>
      </c>
      <c r="C13" s="2">
        <f>Sheet1!N5</f>
        <v>0</v>
      </c>
      <c r="T13" t="s">
        <v>170</v>
      </c>
      <c r="U13" s="2">
        <f>Sheet1!S5</f>
        <v>2</v>
      </c>
      <c r="AK13" t="s">
        <v>170</v>
      </c>
      <c r="AL13" s="2">
        <f>Sheet1!D5+Sheet1!W5+Sheet1!Z5</f>
        <v>0</v>
      </c>
      <c r="BB13" t="s">
        <v>170</v>
      </c>
      <c r="BC13" s="2">
        <f>Sheet1!I5+Sheet1!AC4+Sheet1!AF4</f>
        <v>1</v>
      </c>
    </row>
    <row r="14" spans="2:57" s="139" customFormat="1" x14ac:dyDescent="0.3">
      <c r="B14" s="139" t="s">
        <v>171</v>
      </c>
      <c r="C14" s="123">
        <f>MAX(C18:C21)</f>
        <v>0</v>
      </c>
      <c r="D14" s="163">
        <f>IF(OR('Phase designation'!B22=1,'Phase designation'!B22=3),1,0)</f>
        <v>0</v>
      </c>
      <c r="T14" s="139" t="s">
        <v>171</v>
      </c>
      <c r="U14" s="123">
        <f>MAX(U18:U21)</f>
        <v>0.75</v>
      </c>
      <c r="V14" s="163">
        <f>IF(OR('Phase designation'!D22=1,'Phase designation'!D22=3),1,0)</f>
        <v>0</v>
      </c>
      <c r="AK14" s="139" t="s">
        <v>171</v>
      </c>
      <c r="AL14" s="123">
        <f>MAX(AL18:AL21)</f>
        <v>0</v>
      </c>
      <c r="AM14" s="163">
        <f>IF(OR('Phase designation'!F22=1,'Phase designation'!F22=3),1,0)</f>
        <v>1</v>
      </c>
      <c r="BB14" s="139" t="s">
        <v>171</v>
      </c>
      <c r="BC14" s="123">
        <f>MAX(BC18:BC21)</f>
        <v>0.95</v>
      </c>
      <c r="BD14" s="163">
        <f>IF(OR('Phase designation'!H22=1,'Phase designation'!H22=3),1,0)</f>
        <v>1</v>
      </c>
    </row>
    <row r="15" spans="2:57" x14ac:dyDescent="0.3">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3">
      <c r="B16" s="265"/>
      <c r="C16" s="144">
        <v>0</v>
      </c>
      <c r="D16" s="144">
        <f>IF(D14=1,D17,0)</f>
        <v>0</v>
      </c>
      <c r="E16" s="144">
        <f>ROUND(IF(OR(C20&gt;0,C21&gt;0),C11/(C13*C14),0),0)</f>
        <v>0</v>
      </c>
      <c r="T16" s="265"/>
      <c r="U16" s="144">
        <v>0</v>
      </c>
      <c r="V16" s="144">
        <f>IF(V14=1,V17,0)</f>
        <v>0</v>
      </c>
      <c r="W16" s="144">
        <f>ROUND(IF(OR(U20&gt;0,U21&gt;0),U11/(U13*U14),0),0)</f>
        <v>62</v>
      </c>
      <c r="AK16" s="265"/>
      <c r="AL16" s="144">
        <v>0</v>
      </c>
      <c r="AM16" s="144">
        <f>IF(AM14=1,AM17,0)</f>
        <v>0</v>
      </c>
      <c r="AN16" s="144">
        <f>ROUND(IF(OR(AL20&gt;0,AL21&gt;0),AL11/(AL13*AL14),0),0)</f>
        <v>0</v>
      </c>
      <c r="BB16" s="265"/>
      <c r="BC16" s="144">
        <v>0</v>
      </c>
      <c r="BD16" s="144">
        <f>IF(BD14=1,BD17,0)</f>
        <v>83</v>
      </c>
      <c r="BE16" s="144">
        <f>ROUND(IF(OR(BC20&gt;0,BC21&gt;0),BC11/(BC13*BC14),0),0)</f>
        <v>0</v>
      </c>
    </row>
    <row r="17" spans="2:57" x14ac:dyDescent="0.3">
      <c r="D17" s="37">
        <f>ROUND(IF(OR(C18&gt;0,C19&gt;0),C11/(C13*C14),0),0)</f>
        <v>0</v>
      </c>
      <c r="V17" s="37">
        <f>ROUND(IF(OR(U18&gt;0,U19&gt;0),U11/(U13*U14),0),0)</f>
        <v>0</v>
      </c>
      <c r="AM17" s="37">
        <f>ROUND(IF(OR(AL18&gt;0,AL19&gt;0),AL11/(AL13*AL14),0),0)</f>
        <v>0</v>
      </c>
      <c r="BD17" s="37">
        <f>ROUND(IF(OR(BC18&gt;0,BC19&gt;0),BC11/(BC13*BC14),0),0)</f>
        <v>83</v>
      </c>
    </row>
    <row r="18" spans="2:57" x14ac:dyDescent="0.3">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0.95</v>
      </c>
    </row>
    <row r="19" spans="2:57" x14ac:dyDescent="0.3">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3">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3">
      <c r="B21" t="s">
        <v>159</v>
      </c>
      <c r="C21">
        <f>IF(AND(SUM(Sheet1!S5:U5)=0,'Lane volumes'!C13&gt;=2),0.75,0)</f>
        <v>0</v>
      </c>
      <c r="T21" t="s">
        <v>159</v>
      </c>
      <c r="U21">
        <f>IF(AND(SUM(Sheet1!N5:P5)=0,'Lane volumes'!U13&gt;=2),0.75,0)</f>
        <v>0.75</v>
      </c>
      <c r="AK21" t="s">
        <v>159</v>
      </c>
      <c r="AL21">
        <f>IF(AND(SUM(Sheet1!I5:K5,Sheet1!AC5:AE5,Sheet1!AF5:AH5)=0,'Lane volumes'!AL13&gt;=2),0.75,0)</f>
        <v>0</v>
      </c>
      <c r="BB21" t="s">
        <v>159</v>
      </c>
      <c r="BC21">
        <f>IF(AND(SUM(Sheet1!D5:F5,Sheet1!W5:Y5,Sheet1!Z5:AB5)=0,'Lane volumes'!BC13&gt;=2),0.75,0)</f>
        <v>0</v>
      </c>
    </row>
    <row r="23" spans="2:57" s="139" customFormat="1" x14ac:dyDescent="0.3">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3">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1536</v>
      </c>
      <c r="AN24" s="2">
        <f>IF(OR(AL20&gt;0,AL21&gt;0),Sheet1!E4+Sheet1!X4+Sheet1!AA4,0)</f>
        <v>0</v>
      </c>
      <c r="BB24" t="s">
        <v>193</v>
      </c>
      <c r="BC24" s="2">
        <f>IF(AND('Phase designation'!H22=2,BE16=0),Sheet1!J4+Sheet1!AD4+Sheet1!AG4,0)</f>
        <v>0</v>
      </c>
      <c r="BD24" s="2">
        <f>IF(OR('Phase designation'!H22=1,'Phase designation'!H22=3),Sheet1!J4+Sheet1!AD4+Sheet1!AG4,0)</f>
        <v>1175</v>
      </c>
      <c r="BE24" s="2">
        <f>IF(OR(BC20&gt;0,BC21&gt;0),Sheet1!J4+Sheet1!AD4+Sheet1!AG4,0)</f>
        <v>0</v>
      </c>
    </row>
    <row r="25" spans="2:57" s="139" customFormat="1" x14ac:dyDescent="0.3">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3">
      <c r="B26" t="s">
        <v>163</v>
      </c>
      <c r="C26" s="2">
        <f>Sheet1!O5</f>
        <v>0</v>
      </c>
      <c r="D26" s="2">
        <f>C26</f>
        <v>0</v>
      </c>
      <c r="E26" s="2">
        <f>C26</f>
        <v>0</v>
      </c>
      <c r="T26" t="s">
        <v>163</v>
      </c>
      <c r="U26" s="2">
        <f>Sheet1!T5</f>
        <v>0</v>
      </c>
      <c r="V26" s="2">
        <f>U26</f>
        <v>0</v>
      </c>
      <c r="W26" s="2">
        <f>U26</f>
        <v>0</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3">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1601</v>
      </c>
      <c r="AN27" s="123">
        <f>IF(AN24=0,0,(AM8+AN24+AN16)/AN25)</f>
        <v>0</v>
      </c>
      <c r="BB27" s="139" t="s">
        <v>162</v>
      </c>
      <c r="BC27" s="123">
        <f>IF(BC24=0,0,(BD8+BC24)/BC25)</f>
        <v>0</v>
      </c>
      <c r="BD27" s="123">
        <f>IF(BD24=0,0,(BD8+BD24)/BD25)</f>
        <v>1175</v>
      </c>
      <c r="BE27" s="123">
        <f>IF(BE24=0,0,(BD8+BE24+BE16)/BE25)</f>
        <v>0</v>
      </c>
    </row>
    <row r="29" spans="2:57" s="139" customFormat="1" ht="30" customHeight="1" x14ac:dyDescent="0.3">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3">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534</v>
      </c>
      <c r="AN30" s="2">
        <f>IF(AN26&gt;0,ROUND(AN27/AN26,0),0)</f>
        <v>0</v>
      </c>
      <c r="BB30" t="s">
        <v>178</v>
      </c>
      <c r="BC30" s="2">
        <f>IF(BC26&gt;0,ROUND(BC27/BC26,0),0)</f>
        <v>0</v>
      </c>
      <c r="BD30" s="2">
        <f>IF(BD26&gt;0,ROUND(BD27/BD26,0),0)</f>
        <v>588</v>
      </c>
      <c r="BE30" s="2">
        <f>IF(BE26&gt;0,ROUND(BE27/BE26,0),0)</f>
        <v>0</v>
      </c>
    </row>
    <row r="31" spans="2:57" s="139" customFormat="1" ht="30" customHeight="1" x14ac:dyDescent="0.3">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534</v>
      </c>
      <c r="AN31" s="144">
        <f>IF(AN30=0,0,MAX(AN30,AL8,AN16))</f>
        <v>0</v>
      </c>
      <c r="BB31" s="146" t="s">
        <v>177</v>
      </c>
      <c r="BC31" s="144">
        <f>IF(BC30=0,0,MAX(BC30,BC8,BE16))</f>
        <v>0</v>
      </c>
      <c r="BD31" s="144">
        <f>IF(BD30=0,0,MAX(BD30,BC8,BE16))</f>
        <v>588</v>
      </c>
      <c r="BE31" s="144">
        <f>IF(BE30=0,0,MAX(BE30,BC8,BE16))</f>
        <v>0</v>
      </c>
    </row>
    <row r="33" spans="2:69" s="139" customFormat="1" ht="30" customHeight="1" x14ac:dyDescent="0.3">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3">
      <c r="B34" t="s">
        <v>180</v>
      </c>
      <c r="C34" s="2">
        <f>MAX(D56:D57)</f>
        <v>0</v>
      </c>
      <c r="D34" s="2">
        <v>0</v>
      </c>
      <c r="E34" s="2">
        <v>0</v>
      </c>
      <c r="T34" t="s">
        <v>180</v>
      </c>
      <c r="U34" s="2">
        <f>MAX(V56:V57)</f>
        <v>1</v>
      </c>
      <c r="V34" s="2">
        <v>0</v>
      </c>
      <c r="W34" s="2">
        <v>0</v>
      </c>
      <c r="AK34" t="s">
        <v>180</v>
      </c>
      <c r="AL34" s="2">
        <f>MAX(AM56:AM57)</f>
        <v>0</v>
      </c>
      <c r="AM34" s="2">
        <v>0</v>
      </c>
      <c r="AN34" s="2">
        <v>0</v>
      </c>
      <c r="BB34" t="s">
        <v>180</v>
      </c>
      <c r="BC34" s="2">
        <f>MAX(BD56:BD57)</f>
        <v>1</v>
      </c>
      <c r="BD34" s="2">
        <v>0</v>
      </c>
      <c r="BE34" s="2">
        <v>0</v>
      </c>
    </row>
    <row r="35" spans="2:69" s="139" customFormat="1" x14ac:dyDescent="0.3">
      <c r="B35" s="139" t="s">
        <v>181</v>
      </c>
      <c r="C35" s="123">
        <f>IF(Sheet1!O6=0,INDEX(C42:Q43,2,C44+1),INDEX(C42:Q43,1,C44+1))</f>
        <v>1.6</v>
      </c>
      <c r="D35" s="123">
        <v>0</v>
      </c>
      <c r="E35" s="123">
        <v>0</v>
      </c>
      <c r="T35" s="139" t="s">
        <v>181</v>
      </c>
      <c r="U35" s="123">
        <f>IF(Sheet1!T6=0,INDEX(U42:AI43,2,U44+1),INDEX(U42:AI43,1,U44+1))</f>
        <v>1.3</v>
      </c>
      <c r="V35" s="123">
        <v>0</v>
      </c>
      <c r="W35" s="123">
        <v>0</v>
      </c>
      <c r="AK35" s="139" t="s">
        <v>181</v>
      </c>
      <c r="AL35" s="123">
        <f>IF(Sheet1!E6=0,INDEX(AL42:AZ43,2,AL44+1),INDEX(AL42:AZ43,1,AL44+1))</f>
        <v>4</v>
      </c>
      <c r="AM35" s="123">
        <v>0</v>
      </c>
      <c r="AN35" s="123">
        <v>0</v>
      </c>
      <c r="BB35" s="139" t="s">
        <v>181</v>
      </c>
      <c r="BC35" s="123">
        <f>IF(Sheet1!J6=0,INDEX(BC42:BQ43,2,BC44+1),INDEX(BC42:BQ43,1,BC44+1))</f>
        <v>8.06</v>
      </c>
      <c r="BD35" s="123">
        <v>0</v>
      </c>
      <c r="BE35" s="123">
        <v>0</v>
      </c>
    </row>
    <row r="36" spans="2:69" x14ac:dyDescent="0.3">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3">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3">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3"/>
    <row r="40" spans="2:69" hidden="1" x14ac:dyDescent="0.3">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3">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3">
      <c r="B42" t="s">
        <v>37</v>
      </c>
      <c r="C42" s="2">
        <v>1.4</v>
      </c>
      <c r="D42" s="2">
        <v>1.7</v>
      </c>
      <c r="E42" s="2">
        <v>2.1</v>
      </c>
      <c r="F42" s="2">
        <v>2.5</v>
      </c>
      <c r="G42" s="2">
        <v>3.1</v>
      </c>
      <c r="H42" s="2">
        <v>3.7</v>
      </c>
      <c r="I42" s="2">
        <v>4.5</v>
      </c>
      <c r="J42" s="2">
        <f>ROUND((1750/J44)-J46,2)</f>
        <v>12.41</v>
      </c>
      <c r="K42" s="2">
        <f t="shared" ref="K42:Q42" si="0">ROUND((1750/K44)-K46,2)</f>
        <v>12.41</v>
      </c>
      <c r="L42" s="2">
        <f t="shared" si="0"/>
        <v>12.41</v>
      </c>
      <c r="M42" s="2">
        <f t="shared" si="0"/>
        <v>12.41</v>
      </c>
      <c r="N42" s="2">
        <f t="shared" si="0"/>
        <v>12.41</v>
      </c>
      <c r="O42" s="2">
        <f t="shared" si="0"/>
        <v>12.41</v>
      </c>
      <c r="P42" s="2">
        <f t="shared" si="0"/>
        <v>12.41</v>
      </c>
      <c r="Q42" s="2">
        <f t="shared" si="0"/>
        <v>12.41</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f>ROUND((1750/AS44)-AS46,2)</f>
        <v>6.46</v>
      </c>
      <c r="AT42" s="2">
        <f t="shared" ref="AT42:AZ42" si="2">ROUND((1750/AT44)-AT46,2)</f>
        <v>6.46</v>
      </c>
      <c r="AU42" s="2">
        <f t="shared" si="2"/>
        <v>6.46</v>
      </c>
      <c r="AV42" s="2">
        <f t="shared" si="2"/>
        <v>6.46</v>
      </c>
      <c r="AW42" s="2">
        <f t="shared" si="2"/>
        <v>6.46</v>
      </c>
      <c r="AX42" s="2">
        <f t="shared" si="2"/>
        <v>6.46</v>
      </c>
      <c r="AY42" s="2">
        <f t="shared" si="2"/>
        <v>6.46</v>
      </c>
      <c r="AZ42" s="2">
        <f t="shared" si="2"/>
        <v>6.46</v>
      </c>
      <c r="BB42" t="s">
        <v>37</v>
      </c>
      <c r="BC42" s="2">
        <v>1.4</v>
      </c>
      <c r="BD42" s="2">
        <v>1.7</v>
      </c>
      <c r="BE42" s="2">
        <v>2.1</v>
      </c>
      <c r="BF42" s="2">
        <v>2.5</v>
      </c>
      <c r="BG42" s="2">
        <v>3.1</v>
      </c>
      <c r="BH42" s="2">
        <v>3.7</v>
      </c>
      <c r="BI42" s="2">
        <v>4.5</v>
      </c>
      <c r="BJ42" s="2">
        <f>ROUND((1750/BJ44)-BJ46,2)</f>
        <v>8.06</v>
      </c>
      <c r="BK42" s="2">
        <f t="shared" ref="BK42:BQ42" si="3">ROUND((1750/BK44)-BK46,2)</f>
        <v>8.06</v>
      </c>
      <c r="BL42" s="2">
        <f t="shared" si="3"/>
        <v>8.06</v>
      </c>
      <c r="BM42" s="2">
        <f t="shared" si="3"/>
        <v>8.06</v>
      </c>
      <c r="BN42" s="2">
        <f t="shared" si="3"/>
        <v>8.06</v>
      </c>
      <c r="BO42" s="2">
        <f t="shared" si="3"/>
        <v>8.06</v>
      </c>
      <c r="BP42" s="2">
        <f t="shared" si="3"/>
        <v>8.06</v>
      </c>
      <c r="BQ42" s="2">
        <f t="shared" si="3"/>
        <v>8.06</v>
      </c>
    </row>
    <row r="43" spans="2:69" hidden="1" x14ac:dyDescent="0.3">
      <c r="B43" t="s">
        <v>183</v>
      </c>
      <c r="C43" s="2">
        <v>1.3</v>
      </c>
      <c r="D43" s="2">
        <v>1.6</v>
      </c>
      <c r="E43" s="2">
        <v>1.9</v>
      </c>
      <c r="F43" s="2">
        <v>2.2999999999999998</v>
      </c>
      <c r="G43" s="2">
        <v>2.8</v>
      </c>
      <c r="H43" s="2">
        <v>3.3</v>
      </c>
      <c r="I43" s="2">
        <v>4</v>
      </c>
      <c r="J43" s="2">
        <f>ROUND((1750/J44)-J46,2)</f>
        <v>12.41</v>
      </c>
      <c r="K43" s="2">
        <f t="shared" ref="K43:Q43" si="4">ROUND((1750/K44)-K46,2)</f>
        <v>12.41</v>
      </c>
      <c r="L43" s="2">
        <f t="shared" si="4"/>
        <v>12.41</v>
      </c>
      <c r="M43" s="2">
        <f t="shared" si="4"/>
        <v>12.41</v>
      </c>
      <c r="N43" s="2">
        <f t="shared" si="4"/>
        <v>12.41</v>
      </c>
      <c r="O43" s="2">
        <f t="shared" si="4"/>
        <v>12.41</v>
      </c>
      <c r="P43" s="2">
        <f t="shared" si="4"/>
        <v>12.41</v>
      </c>
      <c r="Q43" s="2">
        <f t="shared" si="4"/>
        <v>12.41</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f t="shared" ref="AS43:AZ43" si="6">ROUND((1750/AS44)-AS46,2)</f>
        <v>6.46</v>
      </c>
      <c r="AT43" s="2">
        <f t="shared" si="6"/>
        <v>6.46</v>
      </c>
      <c r="AU43" s="2">
        <f t="shared" si="6"/>
        <v>6.46</v>
      </c>
      <c r="AV43" s="2">
        <f t="shared" si="6"/>
        <v>6.46</v>
      </c>
      <c r="AW43" s="2">
        <f t="shared" si="6"/>
        <v>6.46</v>
      </c>
      <c r="AX43" s="2">
        <f t="shared" si="6"/>
        <v>6.46</v>
      </c>
      <c r="AY43" s="2">
        <f t="shared" si="6"/>
        <v>6.46</v>
      </c>
      <c r="AZ43" s="2">
        <f t="shared" si="6"/>
        <v>6.46</v>
      </c>
      <c r="BB43" t="s">
        <v>183</v>
      </c>
      <c r="BC43" s="2">
        <v>1.3</v>
      </c>
      <c r="BD43" s="2">
        <v>1.6</v>
      </c>
      <c r="BE43" s="2">
        <v>1.9</v>
      </c>
      <c r="BF43" s="2">
        <v>2.2999999999999998</v>
      </c>
      <c r="BG43" s="2">
        <v>2.8</v>
      </c>
      <c r="BH43" s="2">
        <v>3.3</v>
      </c>
      <c r="BI43" s="2">
        <v>4</v>
      </c>
      <c r="BJ43" s="2">
        <f t="shared" ref="BJ43:BQ43" si="7">ROUND((1750/BJ44)-BJ46,2)</f>
        <v>8.06</v>
      </c>
      <c r="BK43" s="2">
        <f t="shared" si="7"/>
        <v>8.06</v>
      </c>
      <c r="BL43" s="2">
        <f t="shared" si="7"/>
        <v>8.06</v>
      </c>
      <c r="BM43" s="2">
        <f t="shared" si="7"/>
        <v>8.06</v>
      </c>
      <c r="BN43" s="2">
        <f t="shared" si="7"/>
        <v>8.06</v>
      </c>
      <c r="BO43" s="2">
        <f t="shared" si="7"/>
        <v>8.06</v>
      </c>
      <c r="BP43" s="2">
        <f t="shared" si="7"/>
        <v>8.06</v>
      </c>
      <c r="BQ43" s="2">
        <f t="shared" si="7"/>
        <v>8.06</v>
      </c>
    </row>
    <row r="44" spans="2:69" hidden="1" x14ac:dyDescent="0.3">
      <c r="C44" s="37">
        <f>IF(C12&gt;0,MATCH($C$12,$C$41:$Q$41),0)</f>
        <v>1</v>
      </c>
      <c r="I44" s="2" t="s">
        <v>186</v>
      </c>
      <c r="J44" s="2">
        <f>ROUND(($C$12*EXP(-1*$C$12*4.5/3600))/(1-EXP(-1*$C$12*J45)),0)</f>
        <v>141</v>
      </c>
      <c r="K44" s="2">
        <f t="shared" ref="K44:Q44" si="8">ROUND(($C$12*EXP(-1*$C$12*4.5/3600))/(1-EXP(-1*$C$12*K45)),0)</f>
        <v>141</v>
      </c>
      <c r="L44" s="2">
        <f t="shared" si="8"/>
        <v>141</v>
      </c>
      <c r="M44" s="2">
        <f t="shared" si="8"/>
        <v>141</v>
      </c>
      <c r="N44" s="2">
        <f t="shared" si="8"/>
        <v>141</v>
      </c>
      <c r="O44" s="2">
        <f t="shared" si="8"/>
        <v>141</v>
      </c>
      <c r="P44" s="2">
        <f t="shared" si="8"/>
        <v>141</v>
      </c>
      <c r="Q44" s="2">
        <f t="shared" si="8"/>
        <v>141</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6</v>
      </c>
      <c r="AR44" s="2" t="s">
        <v>186</v>
      </c>
      <c r="AS44" s="2">
        <f>ROUND(($AL$12*EXP(-1*$AL$12*4.5/3600))/(1-EXP(-1*$AL$12*AS45)),0)</f>
        <v>271</v>
      </c>
      <c r="AT44" s="2">
        <f t="shared" ref="AT44:AZ44" si="10">ROUND(($AL$12*EXP(-1*$AL$12*4.5/3600))/(1-EXP(-1*$AL$12*AT45)),0)</f>
        <v>271</v>
      </c>
      <c r="AU44" s="2">
        <f t="shared" si="10"/>
        <v>271</v>
      </c>
      <c r="AV44" s="2">
        <f t="shared" si="10"/>
        <v>271</v>
      </c>
      <c r="AW44" s="2">
        <f t="shared" si="10"/>
        <v>271</v>
      </c>
      <c r="AX44" s="2">
        <f t="shared" si="10"/>
        <v>271</v>
      </c>
      <c r="AY44" s="2">
        <f t="shared" si="10"/>
        <v>271</v>
      </c>
      <c r="AZ44" s="2">
        <f t="shared" si="10"/>
        <v>271</v>
      </c>
      <c r="BC44" s="37">
        <f>IF(BC12&gt;0,MATCH($BC$12,$BC$41:$BQ$41),0)</f>
        <v>10</v>
      </c>
      <c r="BI44" s="2" t="s">
        <v>186</v>
      </c>
      <c r="BJ44" s="2">
        <f>ROUND(($BC$12*EXP(-1*$BC$12*4.5/3600))/(1-EXP(-1*$BC$12*BJ45)),0)</f>
        <v>217</v>
      </c>
      <c r="BK44" s="2">
        <f t="shared" ref="BK44:BP44" si="11">ROUND(($BC$12*EXP(-1*$BC$12*4.5/3600))/(1-EXP(-1*$BC$12*BK45)),0)</f>
        <v>217</v>
      </c>
      <c r="BL44" s="2">
        <f t="shared" si="11"/>
        <v>217</v>
      </c>
      <c r="BM44" s="2">
        <f t="shared" si="11"/>
        <v>217</v>
      </c>
      <c r="BN44" s="2">
        <f t="shared" si="11"/>
        <v>217</v>
      </c>
      <c r="BO44" s="2">
        <f t="shared" si="11"/>
        <v>217</v>
      </c>
      <c r="BP44" s="2">
        <f t="shared" si="11"/>
        <v>217</v>
      </c>
      <c r="BQ44" s="2">
        <f>ROUND(($BC$12*EXP(-1*$BC$12*4.5/3600))/(1-EXP(-1*$BC$12*BQ45)),0)</f>
        <v>217</v>
      </c>
    </row>
    <row r="45" spans="2:69" hidden="1" x14ac:dyDescent="0.3">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3">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3"/>
    <row r="48" spans="2:69" hidden="1" x14ac:dyDescent="0.3">
      <c r="B48" s="265" t="s">
        <v>192</v>
      </c>
      <c r="C48" t="s">
        <v>189</v>
      </c>
      <c r="D48">
        <f>IF(C13&gt;=2,((C26-1)+EXP(-1*C26*C11*C35/600))/C26,0)</f>
        <v>0</v>
      </c>
      <c r="T48" s="265" t="s">
        <v>192</v>
      </c>
      <c r="U48" t="s">
        <v>189</v>
      </c>
      <c r="V48" t="e">
        <f>IF(U13&gt;=2,((U26-1)+EXP(-1*U26*U11*U35/600))/U26,0)</f>
        <v>#DIV/0!</v>
      </c>
      <c r="AK48" s="265" t="s">
        <v>192</v>
      </c>
      <c r="AL48" t="s">
        <v>189</v>
      </c>
      <c r="AM48">
        <f>IF(AL13&gt;=2,((AL26-1)+EXP(-1*AL26*AL11*AL35/600))/AL26,0)</f>
        <v>0</v>
      </c>
      <c r="BB48" s="265" t="s">
        <v>192</v>
      </c>
      <c r="BC48" t="s">
        <v>189</v>
      </c>
      <c r="BD48">
        <f>IF(BC13&gt;=2,((BC26-1)+EXP(-1*BC26*BC11*BC35/600))/BC26,0)</f>
        <v>0</v>
      </c>
    </row>
    <row r="49" spans="2:57" hidden="1" x14ac:dyDescent="0.3">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3">
      <c r="B50" s="265"/>
      <c r="C50" t="s">
        <v>191</v>
      </c>
      <c r="D50" t="e">
        <f>((C26-1)+EXP(-1*C11*0.0444))/C26</f>
        <v>#DIV/0!</v>
      </c>
      <c r="T50" s="265"/>
      <c r="U50" t="s">
        <v>191</v>
      </c>
      <c r="V50" t="e">
        <f>((U26-1)+EXP(-1*U11*0.0444))/U26</f>
        <v>#DIV/0!</v>
      </c>
      <c r="AK50" s="265"/>
      <c r="AL50" t="s">
        <v>191</v>
      </c>
      <c r="AM50">
        <f>((AL26-1)+EXP(-1*AL11*0.0444))/AL26</f>
        <v>1</v>
      </c>
      <c r="BB50" s="265"/>
      <c r="BC50" t="s">
        <v>191</v>
      </c>
      <c r="BD50">
        <f>((BC26-1)+EXP(-1*BC11*0.0444))/BC26</f>
        <v>0.51498437660180618</v>
      </c>
    </row>
    <row r="51" spans="2:57" hidden="1" x14ac:dyDescent="0.3"/>
    <row r="52" spans="2:57" hidden="1" x14ac:dyDescent="0.3">
      <c r="B52" s="265" t="s">
        <v>194</v>
      </c>
      <c r="C52" t="s">
        <v>195</v>
      </c>
      <c r="D52">
        <f>IF(C12&lt;1220,1/(1+(C34*(235+0.435*C12)/(1400-C12))),0)</f>
        <v>1</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0</v>
      </c>
      <c r="BE52">
        <f>IF('Phase designation'!H22=3,MAX('Lane volumes'!BD52:BD53),1)</f>
        <v>1</v>
      </c>
    </row>
    <row r="53" spans="2:57" hidden="1" x14ac:dyDescent="0.3">
      <c r="B53" s="265"/>
      <c r="C53" t="s">
        <v>196</v>
      </c>
      <c r="D53">
        <f>IF(C12&gt;=1220,1/(1+4.525*C34),0)</f>
        <v>0</v>
      </c>
      <c r="T53" s="265"/>
      <c r="U53" t="s">
        <v>196</v>
      </c>
      <c r="V53">
        <f>IF(U12&gt;=1220,1/(1+4.525*U34),0)</f>
        <v>0</v>
      </c>
      <c r="AK53" s="265"/>
      <c r="AL53" t="s">
        <v>196</v>
      </c>
      <c r="AM53">
        <f>IF(AL12&gt;=1220,1/(1+4.525*AL34),0)</f>
        <v>0</v>
      </c>
      <c r="BB53" s="265"/>
      <c r="BC53" t="s">
        <v>196</v>
      </c>
      <c r="BD53">
        <f>IF(BC12&gt;=1220,1/(1+4.525*BC34),0)</f>
        <v>0.18099547511312217</v>
      </c>
    </row>
    <row r="54" spans="2:57" hidden="1" x14ac:dyDescent="0.3"/>
    <row r="55" spans="2:57" hidden="1" x14ac:dyDescent="0.3"/>
    <row r="56" spans="2:57" hidden="1" x14ac:dyDescent="0.3">
      <c r="B56" s="41" t="s">
        <v>358</v>
      </c>
      <c r="C56" s="2">
        <f>IF(Sheet1!N4&gt;0,ROUND(Sheet1!N4/SUM(Sheet1!N4:P4),2),0)</f>
        <v>0</v>
      </c>
      <c r="D56">
        <f>IF(C13=0,0,1)</f>
        <v>0</v>
      </c>
      <c r="T56" s="41" t="s">
        <v>358</v>
      </c>
      <c r="U56" s="2">
        <f>IF(Sheet1!S4&gt;0,ROUND(Sheet1!S4/SUM(Sheet1!S4:U4),2),0)</f>
        <v>0.35</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0.06</v>
      </c>
      <c r="BD56">
        <f>IF(BC13=0,BC560,1)</f>
        <v>1</v>
      </c>
    </row>
    <row r="57" spans="2:57" hidden="1" x14ac:dyDescent="0.3">
      <c r="B57" s="41" t="s">
        <v>359</v>
      </c>
      <c r="C57" s="2">
        <f>IF(Sheet1!N4&gt;0,ROUND(Sheet1!N4/SUM(Sheet1!N4:P4),2),0)</f>
        <v>0</v>
      </c>
      <c r="D57">
        <f>IF(C13=0,C57,0)</f>
        <v>0</v>
      </c>
      <c r="T57" s="41" t="s">
        <v>359</v>
      </c>
      <c r="U57" s="2">
        <f>IF(Sheet1!S4&gt;0,ROUND(Sheet1!S4/SUM(Sheet1!S4:U4),2),0)</f>
        <v>0.35</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0.06</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09375" defaultRowHeight="14.4" x14ac:dyDescent="0.3"/>
  <cols>
    <col min="1" max="1" width="9.109375" style="2"/>
    <col min="2" max="2" width="31.109375" style="2" customWidth="1"/>
    <col min="3" max="7" width="15.109375" style="2" bestFit="1" customWidth="1"/>
    <col min="8" max="13" width="9.109375" style="2"/>
    <col min="14" max="14" width="9.109375" style="2" customWidth="1"/>
    <col min="15" max="18" width="9.109375" style="2" hidden="1" customWidth="1"/>
    <col min="19" max="19" width="10.6640625" style="2" hidden="1" customWidth="1"/>
    <col min="20" max="20" width="9.5546875" style="2" hidden="1" customWidth="1"/>
    <col min="21" max="24" width="9.109375" style="2" hidden="1" customWidth="1"/>
    <col min="25" max="29" width="13.6640625" style="2" hidden="1" customWidth="1"/>
    <col min="30" max="30" width="10.6640625" style="2" hidden="1" customWidth="1"/>
    <col min="31" max="32" width="25.6640625" style="2" hidden="1" customWidth="1"/>
    <col min="33" max="34" width="9.109375" style="2" hidden="1" customWidth="1"/>
    <col min="35" max="35" width="17" style="2" hidden="1" customWidth="1"/>
    <col min="36" max="39" width="9.109375" style="2" hidden="1" customWidth="1"/>
    <col min="40" max="40" width="17" style="2" hidden="1" customWidth="1"/>
    <col min="41" max="44" width="9.109375" style="2" hidden="1" customWidth="1"/>
    <col min="45" max="45" width="16.33203125" style="2" hidden="1" customWidth="1"/>
    <col min="46" max="60" width="9.109375" style="2" hidden="1" customWidth="1"/>
    <col min="61" max="61" width="7.6640625" style="2" customWidth="1"/>
    <col min="62" max="62" width="8.33203125" style="2" customWidth="1"/>
    <col min="63" max="63" width="20.5546875" style="2" bestFit="1" customWidth="1"/>
    <col min="64" max="16384" width="9.109375" style="2"/>
  </cols>
  <sheetData>
    <row r="1" spans="2:75" x14ac:dyDescent="0.3">
      <c r="B1" s="281" t="s">
        <v>204</v>
      </c>
      <c r="C1" s="281"/>
      <c r="D1" s="281"/>
      <c r="E1" s="119"/>
      <c r="Q1" s="49"/>
      <c r="R1" s="49"/>
      <c r="S1" s="49"/>
      <c r="T1" s="49"/>
      <c r="U1" s="49"/>
      <c r="V1" s="49"/>
      <c r="Y1" s="270" t="s">
        <v>373</v>
      </c>
      <c r="Z1" s="270"/>
      <c r="AA1" s="270"/>
      <c r="AB1" s="270"/>
      <c r="AC1" s="270"/>
    </row>
    <row r="2" spans="2:75" x14ac:dyDescent="0.3">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3">
      <c r="B3" s="2" t="s">
        <v>74</v>
      </c>
      <c r="C3" s="157">
        <f>IF(SUM(C6:E6=0),0,'Phase designation'!B3)</f>
        <v>0</v>
      </c>
      <c r="D3" s="157">
        <f>'Phase designation'!C3</f>
        <v>0</v>
      </c>
      <c r="E3" s="2">
        <f>IF(SUM('Phase designation'!B19:H19)&gt;2,0,Sheet1!P4)</f>
        <v>0</v>
      </c>
      <c r="F3" s="157">
        <f>IF(SUM(F6:H6=0),0,'Phase designation'!D3)</f>
        <v>93</v>
      </c>
      <c r="G3" s="157">
        <f>'Phase designation'!E3</f>
        <v>175</v>
      </c>
      <c r="H3" s="2">
        <f>IF(SUM('Phase designation'!B19:H19)&gt;2,0,Sheet1!U4)</f>
        <v>175</v>
      </c>
      <c r="I3" s="157">
        <f>IF(SUM(I6:K6)=0,0,'Phase designation'!F3)</f>
        <v>0</v>
      </c>
      <c r="J3" s="157">
        <f>'Phase designation'!G3</f>
        <v>1597</v>
      </c>
      <c r="K3" s="2">
        <f>IF(SUM('Phase designation'!B19:H19)&gt;2,0,Sheet1!F4+Sheet1!Y4+Sheet1!AB4)</f>
        <v>61</v>
      </c>
      <c r="L3" s="157">
        <f>IF(SUM(L6:N6)=0,0,'Phase designation'!H3)</f>
        <v>79</v>
      </c>
      <c r="M3" s="157">
        <f>'Phase designation'!I3</f>
        <v>1175</v>
      </c>
      <c r="N3" s="2">
        <f>IF(SUM('Phase designation'!B19:H19)&gt;2,0,Sheet1!K4+Sheet1!AE4+Sheet1!AH4)</f>
        <v>0</v>
      </c>
      <c r="O3" s="2">
        <f>SUM(C3:N3)</f>
        <v>3355</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3">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62</v>
      </c>
      <c r="BL4" s="2" t="s">
        <v>540</v>
      </c>
      <c r="BM4" s="2" t="s">
        <v>541</v>
      </c>
      <c r="BN4" s="2" t="s">
        <v>542</v>
      </c>
      <c r="BO4" s="2" t="s">
        <v>543</v>
      </c>
      <c r="BP4" s="2" t="s">
        <v>544</v>
      </c>
      <c r="BQ4" s="2" t="s">
        <v>545</v>
      </c>
      <c r="BR4" s="2" t="s">
        <v>546</v>
      </c>
      <c r="BS4" s="2" t="s">
        <v>547</v>
      </c>
      <c r="BT4" s="2" t="s">
        <v>548</v>
      </c>
      <c r="BU4" s="2" t="s">
        <v>549</v>
      </c>
      <c r="BV4" s="2" t="s">
        <v>550</v>
      </c>
    </row>
    <row r="5" spans="2:75" x14ac:dyDescent="0.3">
      <c r="B5" s="2" t="s">
        <v>123</v>
      </c>
      <c r="C5" s="157">
        <f>ROUND(C3/C4,0)</f>
        <v>0</v>
      </c>
      <c r="D5" s="2">
        <f t="shared" ref="D5:N5" si="3">ROUND(D3/D4,0)</f>
        <v>0</v>
      </c>
      <c r="E5" s="2">
        <f t="shared" si="3"/>
        <v>0</v>
      </c>
      <c r="F5" s="157">
        <f t="shared" si="3"/>
        <v>101</v>
      </c>
      <c r="G5" s="2">
        <f t="shared" si="3"/>
        <v>190</v>
      </c>
      <c r="H5" s="2">
        <f t="shared" si="3"/>
        <v>190</v>
      </c>
      <c r="I5" s="157">
        <f t="shared" si="3"/>
        <v>0</v>
      </c>
      <c r="J5" s="2">
        <f t="shared" si="3"/>
        <v>1736</v>
      </c>
      <c r="K5" s="2">
        <f t="shared" si="3"/>
        <v>66</v>
      </c>
      <c r="L5" s="157">
        <f t="shared" si="3"/>
        <v>86</v>
      </c>
      <c r="M5" s="2">
        <f t="shared" si="3"/>
        <v>1277</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62</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3">
      <c r="B6" s="123" t="s">
        <v>127</v>
      </c>
      <c r="C6" s="124">
        <f>'Phase designation'!B6</f>
        <v>0</v>
      </c>
      <c r="D6" s="124">
        <f>'Phase designation'!C6</f>
        <v>0</v>
      </c>
      <c r="E6" s="123">
        <f>IF(SUM('Phase designation'!B19:H19)&gt;2,0,'Summary sheet'!U13)</f>
        <v>0</v>
      </c>
      <c r="F6" s="124">
        <f>'Phase designation'!D6</f>
        <v>2</v>
      </c>
      <c r="G6" s="124">
        <f>'Phase designation'!E6</f>
        <v>0</v>
      </c>
      <c r="H6" s="123">
        <f>IF(SUM('Phase designation'!B19:H19)&gt;2,0,'Summary sheet'!AA9)</f>
        <v>0</v>
      </c>
      <c r="I6" s="124">
        <f>'Phase designation'!F6</f>
        <v>0</v>
      </c>
      <c r="J6" s="124">
        <f>'Phase designation'!G6</f>
        <v>3</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62</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3">
      <c r="B7" s="2" t="s">
        <v>131</v>
      </c>
      <c r="C7" s="157">
        <f>IF(C6&gt;0,ROUND(C5/C6,0),0)</f>
        <v>0</v>
      </c>
      <c r="D7" s="2">
        <f t="shared" ref="D7:M7" si="5">IF(D6&gt;0,ROUND(D5/D6,0),0)</f>
        <v>0</v>
      </c>
      <c r="F7" s="157">
        <f t="shared" si="5"/>
        <v>51</v>
      </c>
      <c r="G7" s="2">
        <f t="shared" si="5"/>
        <v>0</v>
      </c>
      <c r="I7" s="157">
        <f t="shared" si="5"/>
        <v>0</v>
      </c>
      <c r="J7" s="2">
        <f t="shared" si="5"/>
        <v>579</v>
      </c>
      <c r="L7" s="157">
        <f t="shared" si="5"/>
        <v>86</v>
      </c>
      <c r="M7" s="2">
        <f t="shared" si="5"/>
        <v>639</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62</v>
      </c>
      <c r="AU7" s="2">
        <f>MAX(G16-F16,D16)</f>
        <v>0</v>
      </c>
    </row>
    <row r="8" spans="2:75" x14ac:dyDescent="0.3">
      <c r="B8" s="2" t="s">
        <v>325</v>
      </c>
      <c r="C8" s="157"/>
      <c r="E8" s="2">
        <f>ROUND('Input sheet'!G17/100*E5,0)</f>
        <v>0</v>
      </c>
      <c r="F8" s="157"/>
      <c r="H8" s="2">
        <f>ROUND('Input sheet'!N11/100*H5,0)</f>
        <v>19</v>
      </c>
      <c r="I8" s="157"/>
      <c r="K8" s="2">
        <f>ROUND('Input sheet'!L22/100*K5,0)</f>
        <v>7</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3">
      <c r="B9" s="123" t="s">
        <v>326</v>
      </c>
      <c r="C9" s="124">
        <f>C5</f>
        <v>0</v>
      </c>
      <c r="D9" s="123">
        <f>IF(AND(E3&gt;0,E6=0),D5+E5,D5)</f>
        <v>0</v>
      </c>
      <c r="E9" s="123">
        <f>IF(AND(E3&gt;0,E6=0),0,E5-E8)</f>
        <v>0</v>
      </c>
      <c r="F9" s="124">
        <f>F5</f>
        <v>101</v>
      </c>
      <c r="G9" s="123">
        <f>IF(AND(H3&gt;0,H6=0),G5+H5,G5)</f>
        <v>380</v>
      </c>
      <c r="H9" s="123">
        <f>IF(AND(H3&gt;0,H6=0),0,H5-H8)</f>
        <v>0</v>
      </c>
      <c r="I9" s="124">
        <f>I5</f>
        <v>0</v>
      </c>
      <c r="J9" s="123">
        <f>IF(AND(K3&gt;0,K6=0),J5+K5,J5)</f>
        <v>1736</v>
      </c>
      <c r="K9" s="123">
        <f>IF(AND(K3&gt;0,K6=0),0,K5-K8)</f>
        <v>59</v>
      </c>
      <c r="L9" s="124">
        <f>L5</f>
        <v>86</v>
      </c>
      <c r="M9" s="123">
        <f>IF(AND(N3&gt;0,N6=0),M5+N5,M5)</f>
        <v>1277</v>
      </c>
      <c r="N9" s="123">
        <f>IF(AND(N3&gt;0,N6=0),0,N5-N8)</f>
        <v>0</v>
      </c>
      <c r="O9" s="2">
        <f>SUM(C9:N9)</f>
        <v>3639</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62</v>
      </c>
      <c r="AU9" s="2">
        <f>C16-F16</f>
        <v>-62</v>
      </c>
      <c r="AV9" s="2">
        <f>MAX(G16,D16-(C16-F16))</f>
        <v>62</v>
      </c>
      <c r="BL9" s="2" t="s">
        <v>551</v>
      </c>
      <c r="BM9" s="187">
        <f>MIN(BL6:BW6)</f>
        <v>24.29</v>
      </c>
    </row>
    <row r="10" spans="2:75" x14ac:dyDescent="0.3">
      <c r="B10" s="2" t="s">
        <v>210</v>
      </c>
      <c r="C10" s="157">
        <f>IF(C6=0,1,LOOKUP(C6,$S$18:$S$19,$T$18:$T$19))</f>
        <v>1</v>
      </c>
      <c r="D10" s="2">
        <f>IF(D6=0,1,LOOKUP(D6,$S$6:$S$10,$T$6:$T$10))</f>
        <v>1</v>
      </c>
      <c r="F10" s="157">
        <f>IF(F6=0,1,LOOKUP(F6,$S$18:$S$19,$T$18:$T$19))</f>
        <v>0.97099999999999997</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62</v>
      </c>
      <c r="AV10" s="2">
        <f>MAX(D16,G16-(F16-C16))</f>
        <v>0</v>
      </c>
      <c r="BL10" s="2" t="s">
        <v>552</v>
      </c>
      <c r="BM10" s="2">
        <f>IF(BM9=0,0,INDEX(BL3:BW3,MATCH(BM9,BL5:BW5,0)))</f>
        <v>90</v>
      </c>
    </row>
    <row r="11" spans="2:75" x14ac:dyDescent="0.3">
      <c r="B11" s="123" t="s">
        <v>327</v>
      </c>
      <c r="C11" s="124">
        <f>IF(C34=0,0,ROUND(C6*1530*C4*'Input sheet'!$W$7,0))</f>
        <v>0</v>
      </c>
      <c r="D11" s="123">
        <f>IF(D34=0,0,ROUND(D6*1530*D4*'Input sheet'!$W$7,0))</f>
        <v>0</v>
      </c>
      <c r="E11" s="260">
        <f>IF(E34=0,0,ROUND(E6*1530*E4*'Input sheet'!$W$7,0))</f>
        <v>0</v>
      </c>
      <c r="F11" s="124">
        <f>IF(F34=0,0,ROUND(F6*1530*F4*'Input sheet'!$W$7,0))</f>
        <v>2815</v>
      </c>
      <c r="G11" s="123">
        <f>IF(G34=0,0,ROUND(G6*1530*G4*'Input sheet'!$W$7,0))</f>
        <v>0</v>
      </c>
      <c r="H11" s="260">
        <f>IF(H34=0,0,ROUND(H6*1530*H4*'Input sheet'!$W$7,0))</f>
        <v>0</v>
      </c>
      <c r="I11" s="124">
        <f>IF(I34=0,0,ROUND(I6*1530*I4*'Input sheet'!$W$7,0))</f>
        <v>0</v>
      </c>
      <c r="J11" s="123">
        <f>IF(J34=0,0,ROUND(J6*1530*J4*'Input sheet'!$W$7,0))</f>
        <v>4223</v>
      </c>
      <c r="K11" s="260">
        <f>IF(K34=0,0,ROUND(K6*1530*K4*'Input sheet'!$W$7,0))</f>
        <v>7038</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62</v>
      </c>
    </row>
    <row r="12" spans="2:75" ht="15" hidden="1" customHeight="1" x14ac:dyDescent="0.3">
      <c r="B12" s="2" t="s">
        <v>329</v>
      </c>
      <c r="C12" s="157">
        <f>MAX(1,'Lane volumes'!C12)</f>
        <v>175</v>
      </c>
      <c r="F12" s="157">
        <f>MAX(1,'Lane volumes'!U12)</f>
        <v>1</v>
      </c>
      <c r="I12" s="157">
        <f>MAX(1,'Lane volumes'!AL12)</f>
        <v>1175</v>
      </c>
      <c r="L12" s="157">
        <f>MAX(1,'Lane volumes'!BC12)</f>
        <v>1597</v>
      </c>
      <c r="R12" s="51"/>
      <c r="U12" s="5"/>
      <c r="V12" s="12"/>
      <c r="W12" s="5"/>
    </row>
    <row r="13" spans="2:75" ht="15" hidden="1" customHeight="1" x14ac:dyDescent="0.3">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3">
      <c r="B14" s="2" t="s">
        <v>328</v>
      </c>
      <c r="C14" s="157">
        <f>IF(D57+D59&gt;=1,ROUND(C10*$S$4*(C12*EXP(-1*C12*4.5/3600))/((1-EXP(-1*C12*C13/3600))),0),0)</f>
        <v>1205</v>
      </c>
      <c r="D14" s="2">
        <f>D11</f>
        <v>0</v>
      </c>
      <c r="E14" s="2">
        <f>E11</f>
        <v>0</v>
      </c>
      <c r="F14" s="157">
        <f>IF(G57+G59&gt;=1,ROUND(F10*$S$4*(F12*EXP(-1*F12*4.5/3600))/((1-EXP(-1*F12*F13/3600))),0),0)</f>
        <v>1370</v>
      </c>
      <c r="G14" s="2">
        <f>G11</f>
        <v>0</v>
      </c>
      <c r="H14" s="2">
        <f>H11</f>
        <v>0</v>
      </c>
      <c r="I14" s="157">
        <f>IF(J57+J59&gt;=1,ROUND(I10*$S$4*(I12*EXP(-1*I12*4.5/3600))/((1-EXP(-1*I12*I13/3600))),0),0)</f>
        <v>0</v>
      </c>
      <c r="J14" s="2">
        <f>J11</f>
        <v>4223</v>
      </c>
      <c r="K14" s="2">
        <f>K11</f>
        <v>7038</v>
      </c>
      <c r="L14" s="157">
        <f>IF(M57+M59&gt;=1,ROUND(L10*$S$4*(L12*EXP(-1*L12*4.5/3600))/((1-EXP(-1*L12*L13/3600))),0),0)</f>
        <v>0</v>
      </c>
      <c r="M14" s="2">
        <f>M11</f>
        <v>2815</v>
      </c>
      <c r="N14" s="2">
        <f>N11</f>
        <v>2815</v>
      </c>
      <c r="R14" s="51"/>
      <c r="U14" s="5"/>
      <c r="V14" s="12"/>
      <c r="W14" s="5"/>
      <c r="Y14" s="2" t="s">
        <v>377</v>
      </c>
      <c r="Z14" s="2">
        <f>IF(SUM(Sheet1!S5:U5)=0,1,0)</f>
        <v>0</v>
      </c>
      <c r="AA14" s="2">
        <f>IF(SUM(Sheet1!N5:P5)=0,1,0)</f>
        <v>1</v>
      </c>
      <c r="AB14" s="2">
        <f>IF(SUM(Sheet1!I5:K5,Sheet1!AC5:AH5)=0,1,0)</f>
        <v>0</v>
      </c>
      <c r="AC14" s="2">
        <f>IF(SUM(Sheet1!D5:F5,Sheet1!W5:AB5)=0,1,0)</f>
        <v>0</v>
      </c>
      <c r="AH14" s="3" t="s">
        <v>381</v>
      </c>
      <c r="AI14" s="164" t="str">
        <f>Z21</f>
        <v>1b</v>
      </c>
      <c r="AJ14" s="3"/>
      <c r="AK14" s="3"/>
      <c r="AL14" s="3"/>
    </row>
    <row r="15" spans="2:75" ht="15" hidden="1" customHeight="1" x14ac:dyDescent="0.3">
      <c r="B15" s="2" t="s">
        <v>130</v>
      </c>
      <c r="C15" s="157">
        <f>IF(C7+G7&gt;F7+D7,C7,0)</f>
        <v>0</v>
      </c>
      <c r="D15" s="2">
        <f>IF(D7+F7&gt;G7+C7,D7,0)</f>
        <v>0</v>
      </c>
      <c r="F15" s="157">
        <f>IF(F7+D7&gt;C7+G7,F7,0)</f>
        <v>51</v>
      </c>
      <c r="G15" s="2">
        <f>IF(G7+C7&gt;D7+F7,G7,0)</f>
        <v>0</v>
      </c>
      <c r="I15" s="157">
        <f>IF(I7+M7&gt;L7+J7,I7,0)</f>
        <v>0</v>
      </c>
      <c r="J15" s="2">
        <f>IF(J7+L7&gt;M7+I7,J7,0)</f>
        <v>579</v>
      </c>
      <c r="L15" s="157">
        <f>IF(L7+J7&gt;I7+M7,L7,0)</f>
        <v>86</v>
      </c>
      <c r="M15" s="2">
        <f>IF(M7+I7&gt;J7+L7,M7,0)</f>
        <v>0</v>
      </c>
      <c r="O15" s="2">
        <f>SUM(C15:M15)</f>
        <v>716</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3">
      <c r="B16" s="123" t="s">
        <v>331</v>
      </c>
      <c r="C16" s="124">
        <f>MAX('Lane volumes'!C16:E16)</f>
        <v>0</v>
      </c>
      <c r="D16" s="123">
        <f>IF(D6=0,0,ROUND(MAX('Lane volumes'!C31:E31,'Lane volumes'!C38:E38),0))</f>
        <v>0</v>
      </c>
      <c r="E16" s="123">
        <f>MAX('Lane volumes'!C8:D8)</f>
        <v>0</v>
      </c>
      <c r="F16" s="124">
        <f>MAX('Lane volumes'!U16:W16)</f>
        <v>62</v>
      </c>
      <c r="G16" s="123">
        <f>IF(G6=0,0,ROUND(MAX('Lane volumes'!U31:W31,'Lane volumes'!U38:W38),0))</f>
        <v>0</v>
      </c>
      <c r="H16" s="123">
        <f>MAX('Lane volumes'!U8:V8)</f>
        <v>186</v>
      </c>
      <c r="I16" s="124">
        <f>MAX('Lane volumes'!AL16:AN16)</f>
        <v>0</v>
      </c>
      <c r="J16" s="123">
        <f>IF(J6=0,0,ROUND(MAX('Lane volumes'!AL31:AN31,'Lane volumes'!AL38:AN38),0))</f>
        <v>534</v>
      </c>
      <c r="K16" s="123">
        <f>MAX('Lane volumes'!AL8:AM8)</f>
        <v>65</v>
      </c>
      <c r="L16" s="124">
        <f>MAX('Lane volumes'!BC16:BE16)</f>
        <v>83</v>
      </c>
      <c r="M16" s="123">
        <f>IF(M6=0,0,ROUND(MAX('Lane volumes'!BC31:BE31,'Lane volumes'!BC38:BE38),0))</f>
        <v>588</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3">
      <c r="B17" s="2" t="s">
        <v>227</v>
      </c>
      <c r="C17" s="292"/>
      <c r="D17" s="270"/>
      <c r="E17" s="293"/>
      <c r="F17" s="292"/>
      <c r="G17" s="270"/>
      <c r="H17" s="293"/>
      <c r="I17" s="292"/>
      <c r="J17" s="270"/>
      <c r="K17" s="293"/>
      <c r="L17" s="270"/>
      <c r="M17" s="270"/>
      <c r="N17" s="270"/>
      <c r="O17" s="2">
        <f>SUM(AJ17:AL17,AJ33:AL33)</f>
        <v>679</v>
      </c>
      <c r="P17" s="2" t="s">
        <v>213</v>
      </c>
      <c r="Q17" s="5"/>
      <c r="R17" s="5"/>
      <c r="S17" s="49"/>
      <c r="T17" s="49"/>
      <c r="U17" s="5"/>
      <c r="V17" s="12"/>
      <c r="W17" s="5"/>
      <c r="Y17" s="2" t="s">
        <v>380</v>
      </c>
      <c r="Z17" s="2" t="str">
        <f>IF(AND(Z14=1,Z15="Permitted"),"Not opposed",Z15)</f>
        <v>Permitted</v>
      </c>
      <c r="AA17" s="2" t="str">
        <f>IF(AND(AA14=1,AA15="Permitted"),"Not opposed",AA15)</f>
        <v>Not opposed</v>
      </c>
      <c r="AB17" s="2" t="str">
        <f>IF(AND(AB14=1,AB15="Permitted"),"Not opposed",AB15)</f>
        <v>Protected</v>
      </c>
      <c r="AC17" s="2" t="str">
        <f>IF(AND(AC14=1,AC15="Permitted"),"Not opposed",AC15)</f>
        <v>Protected</v>
      </c>
      <c r="AI17" s="3" t="s">
        <v>387</v>
      </c>
      <c r="AJ17" s="3">
        <f>INDEX(AT4:AT11,MATCH($AI$14,$AS$4:$AS$11,0))</f>
        <v>62</v>
      </c>
      <c r="AK17" s="3">
        <f>INDEX(AU4:AU11,MATCH($AI$14,$AS$4:$AS$11,0))</f>
        <v>0</v>
      </c>
      <c r="AL17" s="3">
        <f>INDEX(AV4:AV11,MATCH($AI$14,$AS$4:$AS$11,0))</f>
        <v>0</v>
      </c>
    </row>
    <row r="18" spans="2:48" x14ac:dyDescent="0.3">
      <c r="B18" s="2" t="s">
        <v>415</v>
      </c>
      <c r="C18" s="157">
        <f>'Phase designation'!B27</f>
        <v>0</v>
      </c>
      <c r="D18" s="2">
        <f>'Phase designation'!C27</f>
        <v>0</v>
      </c>
      <c r="F18" s="157">
        <f>'Phase designation'!D27</f>
        <v>0</v>
      </c>
      <c r="G18" s="2">
        <f>'Phase designation'!E27</f>
        <v>8</v>
      </c>
      <c r="I18" s="157">
        <f>'Phase designation'!F27</f>
        <v>0</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Not opposed</v>
      </c>
      <c r="AB18" s="3" t="str">
        <f>IF(AND(AB16="ProtectedA",AB17="Protected"),"ProtectedA",AB17)</f>
        <v>Protected</v>
      </c>
      <c r="AC18" s="3" t="str">
        <f>IF(AND(AC16="ProtectedA",AC17="Protected"),"ProtectedA",AC17)</f>
        <v>ProtectedA</v>
      </c>
      <c r="AI18" s="38" t="s">
        <v>396</v>
      </c>
      <c r="AJ18" s="38">
        <f>IF(AJ17=0,0,ROUND(($C$25-$C$23)*(AJ17/$O$17)+AJ15,1))</f>
        <v>9.3000000000000007</v>
      </c>
      <c r="AK18" s="38">
        <f>IF(AK17=0,0,ROUND(($C$25-$C$23)*(AK17/$O$17)+AK15,1))</f>
        <v>0</v>
      </c>
      <c r="AL18" s="38">
        <f>IF(AL17=0,0,ROUND(($C$25-$C$23)*(AL17/$O$17)+AL15,1))</f>
        <v>0</v>
      </c>
    </row>
    <row r="19" spans="2:48" x14ac:dyDescent="0.3">
      <c r="B19" s="123" t="s">
        <v>125</v>
      </c>
      <c r="C19" s="124">
        <f>'Phase designation'!B28</f>
        <v>0</v>
      </c>
      <c r="D19" s="123">
        <f>'Phase designation'!C28</f>
        <v>0</v>
      </c>
      <c r="E19" s="123">
        <f>D18</f>
        <v>0</v>
      </c>
      <c r="F19" s="124">
        <f>'Phase designation'!D28</f>
        <v>8</v>
      </c>
      <c r="G19" s="123">
        <f>'Phase designation'!E28</f>
        <v>0</v>
      </c>
      <c r="H19" s="123">
        <f>D18</f>
        <v>0</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Not opposed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3">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2</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3">
      <c r="B21" s="144" t="s">
        <v>640</v>
      </c>
      <c r="C21" s="124" t="str">
        <f>IF(AND(C18=0,C19=0),"",IF(AND(C18&gt;0,C19&gt;0),"Prot+perm",IF(AND(C18&gt;0,C19=0),"Protected","Permitted")))</f>
        <v/>
      </c>
      <c r="D21" s="123"/>
      <c r="E21" s="260"/>
      <c r="F21" s="124" t="str">
        <f>IF(AND(F18=0,F19=0),"",IF(AND(F18&gt;0,F19&gt;0),"Prot+perm",IF(AND(F18&gt;0,F19=0),"Protected","Permitted")))</f>
        <v>Permitted</v>
      </c>
      <c r="G21" s="123"/>
      <c r="H21" s="260"/>
      <c r="I21" s="124" t="str">
        <f>IF(AND(I18=0,I19=0),"",IF(AND(I18&gt;0,I19&gt;0),"Prot+perm",IF(AND(I18&gt;0,I19=0),"Protected","Permitted")))</f>
        <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1b</v>
      </c>
      <c r="AA21" s="270"/>
      <c r="AB21" s="270" t="str">
        <f>INDEX(AD3:AD11,AB20)</f>
        <v>3b</v>
      </c>
      <c r="AC21" s="270"/>
      <c r="AI21" s="2" t="s">
        <v>364</v>
      </c>
      <c r="AJ21" s="2">
        <v>4</v>
      </c>
      <c r="AN21" s="2" t="s">
        <v>364</v>
      </c>
      <c r="AO21" s="162" t="s">
        <v>392</v>
      </c>
      <c r="AP21" s="162"/>
      <c r="AQ21" s="162"/>
      <c r="AS21" s="2" t="s">
        <v>364</v>
      </c>
      <c r="AT21" s="2">
        <f>MAX(J16,I16,M16,L16)</f>
        <v>588</v>
      </c>
    </row>
    <row r="22" spans="2:48" x14ac:dyDescent="0.3">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588</v>
      </c>
    </row>
    <row r="23" spans="2:48" x14ac:dyDescent="0.3">
      <c r="B23" s="103" t="s">
        <v>416</v>
      </c>
      <c r="C23" s="103">
        <f>SUM(AJ15:AL15,AJ31:AL31)</f>
        <v>12</v>
      </c>
      <c r="F23" s="49"/>
      <c r="H23" s="49"/>
      <c r="M23" s="49"/>
      <c r="N23" s="49"/>
      <c r="V23" s="49">
        <f>IF(O17&gt;=O11,140,C23/(1-(O17/O11)))</f>
        <v>23.176954732510286</v>
      </c>
      <c r="Y23" s="2" t="s">
        <v>425</v>
      </c>
      <c r="Z23" s="2" t="s">
        <v>426</v>
      </c>
      <c r="AA23" s="2" t="s">
        <v>427</v>
      </c>
      <c r="AB23" s="49" t="s">
        <v>300</v>
      </c>
      <c r="AC23" s="2" t="s">
        <v>428</v>
      </c>
      <c r="AI23" s="2" t="s">
        <v>366</v>
      </c>
      <c r="AJ23" s="2">
        <v>4</v>
      </c>
      <c r="AN23" s="2" t="s">
        <v>366</v>
      </c>
      <c r="AO23" s="162" t="s">
        <v>392</v>
      </c>
      <c r="AP23" s="162"/>
      <c r="AQ23" s="162"/>
      <c r="AS23" s="2" t="s">
        <v>366</v>
      </c>
      <c r="AT23" s="2">
        <f>MAX(J16,I16,M16,L16)</f>
        <v>588</v>
      </c>
    </row>
    <row r="24" spans="2:48" x14ac:dyDescent="0.3">
      <c r="B24" s="101" t="s">
        <v>417</v>
      </c>
      <c r="C24" s="176">
        <f>C23/(1-(O17/O11))</f>
        <v>23.176954732510286</v>
      </c>
      <c r="D24" s="294" t="s">
        <v>430</v>
      </c>
      <c r="E24" s="294"/>
      <c r="F24" s="182">
        <f>V25</f>
        <v>70</v>
      </c>
      <c r="H24" s="49"/>
      <c r="M24" s="49"/>
      <c r="N24" s="49"/>
      <c r="U24" s="49" t="s">
        <v>429</v>
      </c>
      <c r="V24" s="49" t="s">
        <v>297</v>
      </c>
      <c r="Y24" s="2">
        <v>-100000</v>
      </c>
      <c r="Z24" s="2">
        <v>0</v>
      </c>
      <c r="AA24" s="2">
        <f>'Input sheet'!V9</f>
        <v>150</v>
      </c>
      <c r="AB24" s="49">
        <f>V23</f>
        <v>23.176954732510286</v>
      </c>
      <c r="AC24" s="2">
        <f>LOOKUP(AB24,Y24:Z37,AA24:AA37)</f>
        <v>40</v>
      </c>
      <c r="AI24" s="2" t="s">
        <v>367</v>
      </c>
      <c r="AJ24" s="2">
        <v>4</v>
      </c>
      <c r="AK24" s="2">
        <v>4</v>
      </c>
      <c r="AN24" s="2" t="s">
        <v>367</v>
      </c>
      <c r="AO24" s="162" t="s">
        <v>393</v>
      </c>
      <c r="AP24" s="162" t="s">
        <v>392</v>
      </c>
      <c r="AQ24" s="162"/>
      <c r="AS24" s="2" t="s">
        <v>367</v>
      </c>
      <c r="AT24" s="2">
        <f>L16</f>
        <v>83</v>
      </c>
      <c r="AU24" s="2">
        <f>MAX(M16-L16,J16)</f>
        <v>534</v>
      </c>
    </row>
    <row r="25" spans="2:48" x14ac:dyDescent="0.3">
      <c r="B25" s="39" t="s">
        <v>418</v>
      </c>
      <c r="C25" s="39">
        <f>V27</f>
        <v>70</v>
      </c>
      <c r="D25" s="103" t="s">
        <v>563</v>
      </c>
      <c r="E25" s="103">
        <f>UTDF_input!C92</f>
        <v>0</v>
      </c>
      <c r="F25" s="102" t="s">
        <v>384</v>
      </c>
      <c r="G25" s="253">
        <f>UTDF_input!C90</f>
        <v>0</v>
      </c>
      <c r="H25" s="49"/>
      <c r="I25" s="49"/>
      <c r="J25" s="49"/>
      <c r="K25" s="49"/>
      <c r="L25" s="49"/>
      <c r="M25" s="49"/>
      <c r="N25" s="49"/>
      <c r="Q25" s="37"/>
      <c r="R25" s="37"/>
      <c r="S25" s="37"/>
      <c r="U25" s="2">
        <f>Phasing!L27</f>
        <v>65</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588</v>
      </c>
    </row>
    <row r="26" spans="2:48" hidden="1" x14ac:dyDescent="0.3">
      <c r="B26" s="2" t="s">
        <v>244</v>
      </c>
      <c r="C26" s="2">
        <f>C7</f>
        <v>0</v>
      </c>
      <c r="D26" s="2">
        <f>IF(AND(C18=0,C26&gt;0,D3=0),C26,D7)</f>
        <v>0</v>
      </c>
      <c r="F26" s="2">
        <f>F7</f>
        <v>51</v>
      </c>
      <c r="G26" s="2">
        <f>IF(AND(F18=0,F26&gt;0,G3=0),F26,G7)</f>
        <v>0</v>
      </c>
      <c r="I26" s="2">
        <f>I7</f>
        <v>0</v>
      </c>
      <c r="J26" s="2">
        <f>IF(AND(I18=0,I26&gt;0,J3=0),I26,J7)</f>
        <v>579</v>
      </c>
      <c r="L26" s="2">
        <f>L7</f>
        <v>86</v>
      </c>
      <c r="M26" s="2">
        <f>IF(AND(L18=0,L26&gt;0,M3=0),L26,M7)</f>
        <v>639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83</v>
      </c>
      <c r="AU26" s="2">
        <f>I16-L16</f>
        <v>-83</v>
      </c>
      <c r="AV26" s="2">
        <f>MAX(M16,J16-(I16-L16))</f>
        <v>617</v>
      </c>
    </row>
    <row r="27" spans="2:48" hidden="1" x14ac:dyDescent="0.3">
      <c r="B27" s="2" t="s">
        <v>128</v>
      </c>
      <c r="C27" s="2">
        <f>IF(C18=0,0,MATCH(C26,'Max greens'!$B:$B))</f>
        <v>0</v>
      </c>
      <c r="D27" s="2">
        <f>IF(D18=0,0,MATCH(D26,'Max greens'!$B:$B))</f>
        <v>0</v>
      </c>
      <c r="F27" s="2">
        <f>IF(F18=0,0,MATCH(F26,'Max greens'!$B:$B))</f>
        <v>0</v>
      </c>
      <c r="G27" s="2">
        <f>IF(G18=0,0,MATCH(G26,'Max greens'!$B:$B))</f>
        <v>7</v>
      </c>
      <c r="I27" s="2">
        <f>IF(I18=0,0,MATCH(I26,'Max greens'!$B:$B))</f>
        <v>0</v>
      </c>
      <c r="J27" s="2">
        <f>IF(J18=0,0,MATCH(J26,'Max greens'!$B:$B))</f>
        <v>13</v>
      </c>
      <c r="L27" s="2">
        <f>IF(L18=0,0,MATCH(L26,'Max greens'!$B:$B))</f>
        <v>8</v>
      </c>
      <c r="M27" s="2">
        <f>IF(M18=0,0,MATCH(M26,'Max greens'!$B:$B))</f>
        <v>14</v>
      </c>
      <c r="Q27" s="27"/>
      <c r="R27" s="279" t="s">
        <v>113</v>
      </c>
      <c r="S27" s="279"/>
      <c r="T27" s="279"/>
      <c r="U27" s="279"/>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83</v>
      </c>
      <c r="AV27" s="2">
        <f>MAX(J16,M16-(L16-I16))</f>
        <v>534</v>
      </c>
    </row>
    <row r="28" spans="2:48" hidden="1" x14ac:dyDescent="0.3">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534</v>
      </c>
      <c r="AU28" s="2">
        <f>MAX(M16,L16)</f>
        <v>588</v>
      </c>
    </row>
    <row r="29" spans="2:48" hidden="1" x14ac:dyDescent="0.3">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0</v>
      </c>
      <c r="Y29" s="2">
        <f t="shared" si="6"/>
        <v>70.001000000000005</v>
      </c>
      <c r="Z29" s="2">
        <f t="shared" si="7"/>
        <v>80</v>
      </c>
      <c r="AA29" s="2">
        <f t="shared" si="8"/>
        <v>80</v>
      </c>
    </row>
    <row r="30" spans="2:48" hidden="1" x14ac:dyDescent="0.3">
      <c r="B30" s="2" t="s">
        <v>409</v>
      </c>
      <c r="C30" s="2">
        <f>IF(SUM('Phase designation'!B19:H19)&gt;2,0,AQ48)</f>
        <v>0</v>
      </c>
      <c r="D30" s="2">
        <f>IF(SUM('Phase designation'!B19:H19)&gt;2,0,AR48)</f>
        <v>9.3000000000000007</v>
      </c>
      <c r="E30" s="2">
        <f>IF(SUM('Phase designation'!B19:H19)&gt;2,0,AS48)</f>
        <v>9.3000000000000007</v>
      </c>
      <c r="F30" s="2">
        <f>IF(SUM('Phase designation'!B19:H19)&gt;2,0,AT48)</f>
        <v>0</v>
      </c>
      <c r="G30" s="2">
        <f>IF(SUM('Phase designation'!B19:H19)&gt;2,0,AU48)</f>
        <v>9.3000000000000007</v>
      </c>
      <c r="H30" s="2">
        <f>IF(SUM('Phase designation'!B19:H19)&gt;2,0,AV48)</f>
        <v>9.3000000000000007</v>
      </c>
      <c r="I30" s="2">
        <f>IF(SUM('Phase designation'!B19:H19)&gt;2,0,AW48)</f>
        <v>0</v>
      </c>
      <c r="J30" s="2">
        <f>IF(SUM('Phase designation'!B19:H19)&gt;2,0,AX48)</f>
        <v>49.6</v>
      </c>
      <c r="K30" s="2">
        <f>IF(SUM('Phase designation'!B19:H19)&gt;2,0,AY48)</f>
        <v>49.6</v>
      </c>
      <c r="L30" s="2">
        <f>IF(SUM('Phase designation'!B19:H19)&gt;2,0,AZ48)</f>
        <v>7.1</v>
      </c>
      <c r="M30" s="2">
        <f>IF(SUM('Phase designation'!B19:H19)&gt;2,0,BA48)</f>
        <v>56.7</v>
      </c>
      <c r="N30" s="2">
        <f>IF(SUM('Phase designation'!B19:H19)&gt;2,0,BB48)</f>
        <v>56.7</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3">
      <c r="Q31" t="s">
        <v>105</v>
      </c>
      <c r="R31" s="2">
        <f t="shared" ref="R31:U32" si="9">IF(R29=0,0,1)</f>
        <v>1</v>
      </c>
      <c r="S31" s="2">
        <f t="shared" si="9"/>
        <v>1</v>
      </c>
      <c r="T31" s="2">
        <f t="shared" si="9"/>
        <v>0</v>
      </c>
      <c r="U31" s="2">
        <f t="shared" si="9"/>
        <v>0</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3">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3">
      <c r="B33" s="2" t="s">
        <v>124</v>
      </c>
      <c r="C33" s="157">
        <f>IF('Phase designation'!B19=2,D33,C18)</f>
        <v>0</v>
      </c>
      <c r="D33" s="2">
        <f>D18</f>
        <v>0</v>
      </c>
      <c r="E33" s="2">
        <f>D33</f>
        <v>0</v>
      </c>
      <c r="F33" s="157">
        <f>IF('Phase designation'!D19=2,G33,F18)</f>
        <v>8</v>
      </c>
      <c r="G33" s="2">
        <f>G18</f>
        <v>8</v>
      </c>
      <c r="H33" s="2">
        <f>G33</f>
        <v>8</v>
      </c>
      <c r="I33" s="157">
        <f>IF('Phase designation'!F19=2,J33,I18)</f>
        <v>0</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0</v>
      </c>
      <c r="AK33" s="3">
        <f>INDEX(AU21:AU28,MATCH($AI$30,$AS$21:$AS$28,0))</f>
        <v>83</v>
      </c>
      <c r="AL33" s="3">
        <f>INDEX(AV21:AV28,MATCH($AI$30,$AS$21:$AS$28,0))</f>
        <v>534</v>
      </c>
      <c r="AP33" s="265" t="s">
        <v>381</v>
      </c>
      <c r="AQ33" s="3" t="str">
        <f>AJ16</f>
        <v>EBWBTH</v>
      </c>
      <c r="AR33" s="3">
        <f>AK16</f>
        <v>0</v>
      </c>
      <c r="AS33" s="3">
        <f>AL16</f>
        <v>0</v>
      </c>
    </row>
    <row r="34" spans="2:59" x14ac:dyDescent="0.3">
      <c r="B34" s="123" t="s">
        <v>134</v>
      </c>
      <c r="C34" s="124">
        <f>IF(C33=0,0,INDEX($Q$64:$X$64,1,Q69))</f>
        <v>0</v>
      </c>
      <c r="D34" s="123">
        <f>IF(D33=0,0,INDEX($Q$64:$X$64,1,R69))</f>
        <v>0</v>
      </c>
      <c r="E34" s="123">
        <f>D34</f>
        <v>0</v>
      </c>
      <c r="F34" s="124">
        <f>IF(F33=0,0,INDEX($Q$64:$X$64,1,S69))</f>
        <v>34</v>
      </c>
      <c r="G34" s="123">
        <f>IF(G33=0,0,INDEX($Q$64:$X$64,1,T69))</f>
        <v>34</v>
      </c>
      <c r="H34" s="123">
        <f>G34</f>
        <v>34</v>
      </c>
      <c r="I34" s="124">
        <f>IF(I33=0,0,INDEX($Q$64:$X$64,1,U69))</f>
        <v>0</v>
      </c>
      <c r="J34" s="123">
        <f>IF(J33=0,0,INDEX($Q$64:$X$64,1,V69))</f>
        <v>27</v>
      </c>
      <c r="K34" s="123">
        <f>J34</f>
        <v>27</v>
      </c>
      <c r="L34" s="124">
        <f>IF(L33=0,0,INDEX($Q$64:$X$64,1,W69))</f>
        <v>9</v>
      </c>
      <c r="M34" s="123">
        <f>IF(M33=0,0,INDEX($Q$64:$X$64,1,X69))</f>
        <v>36</v>
      </c>
      <c r="N34" s="123">
        <f>M34</f>
        <v>36</v>
      </c>
      <c r="Y34" s="2">
        <f t="shared" si="6"/>
        <v>120.001</v>
      </c>
      <c r="Z34" s="2">
        <f t="shared" si="7"/>
        <v>130</v>
      </c>
      <c r="AA34" s="2">
        <f t="shared" si="8"/>
        <v>130</v>
      </c>
      <c r="AI34" s="38" t="s">
        <v>396</v>
      </c>
      <c r="AJ34" s="38">
        <f>IF(AJ33=0,0,ROUND(($C$25-$C$23)*(AJ33/$O$17)+AJ31,1))</f>
        <v>0</v>
      </c>
      <c r="AK34" s="38">
        <f>IF(AK33=0,0,ROUND(($C$25-$C$23)*(AK33/$O$17)+AK31,1))</f>
        <v>7.1</v>
      </c>
      <c r="AL34" s="38">
        <f>IF(AL33=0,0,ROUND(($C$25-$C$23)*(AL33/$O$17)+AL31,1))</f>
        <v>49.6</v>
      </c>
      <c r="AP34" s="265"/>
      <c r="AQ34" s="38">
        <f>AJ18</f>
        <v>9.3000000000000007</v>
      </c>
      <c r="AR34" s="38">
        <f>AK18</f>
        <v>0</v>
      </c>
      <c r="AS34" s="38">
        <f>AL18</f>
        <v>0</v>
      </c>
    </row>
    <row r="35" spans="2:59" x14ac:dyDescent="0.3">
      <c r="B35" s="2" t="s">
        <v>261</v>
      </c>
      <c r="C35" s="157">
        <f>Phasing!O8</f>
        <v>0</v>
      </c>
      <c r="D35" s="2">
        <f>Phasing!P8</f>
        <v>0</v>
      </c>
      <c r="E35" s="2">
        <f>D35</f>
        <v>0</v>
      </c>
      <c r="F35" s="157">
        <f>Phasing!Q8</f>
        <v>3</v>
      </c>
      <c r="G35" s="2">
        <f>Phasing!R8</f>
        <v>3</v>
      </c>
      <c r="H35" s="2">
        <f>G35</f>
        <v>3</v>
      </c>
      <c r="I35" s="157">
        <f>Phasing!S8</f>
        <v>5.4</v>
      </c>
      <c r="J35" s="2">
        <f>Phasing!T8</f>
        <v>5.4</v>
      </c>
      <c r="K35" s="2">
        <f>J35</f>
        <v>5.4</v>
      </c>
      <c r="L35" s="157">
        <f>Phasing!U8</f>
        <v>3</v>
      </c>
      <c r="M35" s="2">
        <f>Phasing!V8</f>
        <v>5.4</v>
      </c>
      <c r="N35" s="2">
        <f>M35</f>
        <v>5.4</v>
      </c>
      <c r="Q35" s="2">
        <f>C33</f>
        <v>0</v>
      </c>
      <c r="R35" s="2">
        <f>D33</f>
        <v>0</v>
      </c>
      <c r="S35" s="2">
        <f>F33</f>
        <v>8</v>
      </c>
      <c r="T35" s="2">
        <f>G33</f>
        <v>8</v>
      </c>
      <c r="U35" s="2">
        <f>I33</f>
        <v>0</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3">
      <c r="B36" s="123" t="s">
        <v>262</v>
      </c>
      <c r="C36" s="124">
        <f>Phasing!O11</f>
        <v>0</v>
      </c>
      <c r="D36" s="123">
        <f>Phasing!P11</f>
        <v>0</v>
      </c>
      <c r="E36" s="123">
        <f>D36</f>
        <v>0</v>
      </c>
      <c r="F36" s="124">
        <f>Phasing!Q11</f>
        <v>1.9</v>
      </c>
      <c r="G36" s="123">
        <f>Phasing!R11</f>
        <v>1.9</v>
      </c>
      <c r="H36" s="123">
        <f>G36</f>
        <v>1.9</v>
      </c>
      <c r="I36" s="124">
        <f>Phasing!S11</f>
        <v>1.2</v>
      </c>
      <c r="J36" s="123">
        <f>Phasing!T11</f>
        <v>1.2</v>
      </c>
      <c r="K36" s="123">
        <f>J36</f>
        <v>1.2</v>
      </c>
      <c r="L36" s="124">
        <f>Phasing!U11</f>
        <v>1</v>
      </c>
      <c r="M36" s="123">
        <f>Phasing!V11</f>
        <v>1.2</v>
      </c>
      <c r="N36" s="123">
        <f>M36</f>
        <v>1.2</v>
      </c>
      <c r="Q36" s="2">
        <f>Q40</f>
        <v>0</v>
      </c>
      <c r="R36" s="2">
        <f t="shared" ref="R36:X36" si="10">R40</f>
        <v>9.3000000000000007</v>
      </c>
      <c r="S36" s="2">
        <f t="shared" si="10"/>
        <v>0</v>
      </c>
      <c r="T36" s="2">
        <f t="shared" si="10"/>
        <v>9.3000000000000007</v>
      </c>
      <c r="U36" s="2">
        <f t="shared" si="10"/>
        <v>0</v>
      </c>
      <c r="V36" s="2">
        <f t="shared" si="10"/>
        <v>49.6</v>
      </c>
      <c r="W36" s="2">
        <f t="shared" si="10"/>
        <v>7.1</v>
      </c>
      <c r="X36" s="2">
        <f t="shared" si="10"/>
        <v>56.7</v>
      </c>
      <c r="Y36" s="2">
        <f t="shared" si="6"/>
        <v>140.001</v>
      </c>
      <c r="Z36" s="2">
        <f>Z35+10</f>
        <v>150</v>
      </c>
      <c r="AA36" s="2">
        <f t="shared" si="8"/>
        <v>150</v>
      </c>
      <c r="AP36" s="265"/>
      <c r="AQ36" s="38">
        <f>AJ34</f>
        <v>0</v>
      </c>
      <c r="AR36" s="38">
        <f>AK34</f>
        <v>7.1</v>
      </c>
      <c r="AS36" s="38">
        <f>AL34</f>
        <v>49.6</v>
      </c>
    </row>
    <row r="37" spans="2:59" x14ac:dyDescent="0.3">
      <c r="B37" s="2" t="s">
        <v>320</v>
      </c>
      <c r="C37" s="157">
        <f>MAX(0,SUMPRODUCT(C62:C64,D62:D64))</f>
        <v>0</v>
      </c>
      <c r="D37" s="2">
        <f>MAX(0,D34-D35-D36)</f>
        <v>0</v>
      </c>
      <c r="E37" s="2">
        <f>D37</f>
        <v>0</v>
      </c>
      <c r="F37" s="157">
        <f>MAX(0,SUMPRODUCT(F62:F64,G62:G64))</f>
        <v>29.1</v>
      </c>
      <c r="G37" s="2">
        <f>MAX(0,G34-G35-G36)</f>
        <v>29.1</v>
      </c>
      <c r="H37" s="2">
        <f>G37</f>
        <v>29.1</v>
      </c>
      <c r="I37" s="157">
        <f>MAX(0,SUMPRODUCT(I62:I64,J62:J64))</f>
        <v>0</v>
      </c>
      <c r="J37" s="2">
        <f>MAX(0,J34-J35-J36)</f>
        <v>20.400000000000002</v>
      </c>
      <c r="K37" s="2">
        <f>J37</f>
        <v>20.400000000000002</v>
      </c>
      <c r="L37" s="157">
        <f>MAX(0,SUMPRODUCT(L62:L64,M62:M64))</f>
        <v>5</v>
      </c>
      <c r="M37" s="2">
        <f>MAX(0,M34-M35-M36)</f>
        <v>29.400000000000002</v>
      </c>
      <c r="N37" s="2">
        <f>M37</f>
        <v>29.400000000000002</v>
      </c>
      <c r="Y37" s="2">
        <v>150.001</v>
      </c>
      <c r="Z37" s="2">
        <v>100000</v>
      </c>
      <c r="AA37" s="2">
        <v>150</v>
      </c>
      <c r="BF37" s="2" t="s">
        <v>139</v>
      </c>
      <c r="BG37" s="2" t="s">
        <v>221</v>
      </c>
    </row>
    <row r="38" spans="2:59" x14ac:dyDescent="0.3">
      <c r="B38" s="123" t="s">
        <v>321</v>
      </c>
      <c r="C38" s="124">
        <f>IF(C37=0,0,(C37+C36+C35)-C20)</f>
        <v>0</v>
      </c>
      <c r="D38" s="123">
        <f t="shared" ref="D38:N38" si="11">IF(D37=0,0,(D37+D36+D35)-D20)</f>
        <v>0</v>
      </c>
      <c r="E38" s="123">
        <f t="shared" si="11"/>
        <v>0</v>
      </c>
      <c r="F38" s="124">
        <f t="shared" si="11"/>
        <v>30</v>
      </c>
      <c r="G38" s="123">
        <f t="shared" si="11"/>
        <v>30</v>
      </c>
      <c r="H38" s="123">
        <f t="shared" si="11"/>
        <v>30</v>
      </c>
      <c r="I38" s="124">
        <f t="shared" si="11"/>
        <v>0</v>
      </c>
      <c r="J38" s="123">
        <f t="shared" si="11"/>
        <v>23</v>
      </c>
      <c r="K38" s="123">
        <f t="shared" si="11"/>
        <v>23</v>
      </c>
      <c r="L38" s="124">
        <f t="shared" si="11"/>
        <v>5</v>
      </c>
      <c r="M38" s="123">
        <f t="shared" si="11"/>
        <v>32</v>
      </c>
      <c r="N38" s="123">
        <f t="shared" si="11"/>
        <v>32</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3">
      <c r="B39" s="2" t="s">
        <v>424</v>
      </c>
      <c r="C39" s="179">
        <f t="shared" ref="C39:N39" si="12">IF($C$25=0,0,C34/$C$25)</f>
        <v>0</v>
      </c>
      <c r="D39" s="178">
        <f t="shared" si="12"/>
        <v>0</v>
      </c>
      <c r="E39" s="178">
        <f t="shared" si="12"/>
        <v>0</v>
      </c>
      <c r="F39" s="179">
        <f t="shared" si="12"/>
        <v>0.48571428571428571</v>
      </c>
      <c r="G39" s="178">
        <f t="shared" si="12"/>
        <v>0.48571428571428571</v>
      </c>
      <c r="H39" s="178">
        <f t="shared" si="12"/>
        <v>0.48571428571428571</v>
      </c>
      <c r="I39" s="179">
        <f t="shared" si="12"/>
        <v>0</v>
      </c>
      <c r="J39" s="178">
        <f t="shared" si="12"/>
        <v>0.38571428571428573</v>
      </c>
      <c r="K39" s="178">
        <f t="shared" si="12"/>
        <v>0.38571428571428573</v>
      </c>
      <c r="L39" s="179">
        <f t="shared" si="12"/>
        <v>0.12857142857142856</v>
      </c>
      <c r="M39" s="178">
        <f t="shared" si="12"/>
        <v>0.51428571428571423</v>
      </c>
      <c r="N39" s="178">
        <f t="shared" si="12"/>
        <v>0.51428571428571423</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3">
      <c r="B40" s="123" t="s">
        <v>135</v>
      </c>
      <c r="C40" s="124">
        <f>IF(C41=0,0,ROUND(C5/C41,2))</f>
        <v>0</v>
      </c>
      <c r="D40" s="123">
        <f>IF(D41=0,0,ROUND(D5/D41,2))</f>
        <v>0</v>
      </c>
      <c r="E40" s="167">
        <f>IF(E41=0,0,E9/E41)</f>
        <v>0</v>
      </c>
      <c r="F40" s="124">
        <f>IF(F41=0,0,ROUND(F5/F41,2))</f>
        <v>0.02</v>
      </c>
      <c r="G40" s="123">
        <f>IF(G41=0,0,ROUND(G5/G41,2))</f>
        <v>0.08</v>
      </c>
      <c r="H40" s="167">
        <f>IF(H41=0,0,H9/H41)</f>
        <v>0</v>
      </c>
      <c r="I40" s="124" t="e">
        <f>IF(I41=0,0,ROUND(I5/I41,2))</f>
        <v>#N/A</v>
      </c>
      <c r="J40" s="123">
        <f>IF(J41=0,0,ROUND(J5/J41,2))</f>
        <v>1.25</v>
      </c>
      <c r="K40" s="167">
        <f>IF(K41=0,0,K9/K41)</f>
        <v>5.1029233696592282E-3</v>
      </c>
      <c r="L40" s="124" t="e">
        <f>IF(L41=0,0,ROUND(L5/L41,2))</f>
        <v>#N/A</v>
      </c>
      <c r="M40" s="123">
        <f>IF(M41=0,0,ROUND(M5/M41,2))</f>
        <v>0.99</v>
      </c>
      <c r="N40" s="167">
        <f>IF(N41=0,0,N9/N41)</f>
        <v>0</v>
      </c>
      <c r="Q40" s="2">
        <f>C30</f>
        <v>0</v>
      </c>
      <c r="R40" s="2">
        <f>D30</f>
        <v>9.3000000000000007</v>
      </c>
      <c r="S40" s="2">
        <f>F30</f>
        <v>0</v>
      </c>
      <c r="T40" s="2">
        <f>G30</f>
        <v>9.3000000000000007</v>
      </c>
      <c r="U40" s="2">
        <f>I30</f>
        <v>0</v>
      </c>
      <c r="V40" s="2">
        <f>J30</f>
        <v>49.6</v>
      </c>
      <c r="W40" s="2">
        <f>L30</f>
        <v>7.1</v>
      </c>
      <c r="X40" s="2">
        <f>M30</f>
        <v>56.7</v>
      </c>
      <c r="AP40" s="168" t="s">
        <v>388</v>
      </c>
      <c r="AQ40" s="169"/>
      <c r="AR40" s="168">
        <f>IF($AP$40=$AQ$33,$AQ$34,0)+IF($AP40=$AR$33,$AR$34,0)+IF($AP40=$AS$33,$AS$34,0)</f>
        <v>9.3000000000000007</v>
      </c>
      <c r="AS40" s="168">
        <f>IF($AP$40=$AQ$33,$AQ$34,0)+IF($AP40=$AR$33,$AR$34,0)+IF($AP40=$AS$33,$AS$34,0)</f>
        <v>9.3000000000000007</v>
      </c>
      <c r="AT40" s="169"/>
      <c r="AU40" s="168">
        <f>IF($AP$40=$AQ$33,$AQ$34,0)+IF($AP40=$AR$33,$AR$34,0)+IF($AP40=$AS$33,$AS$34,0)</f>
        <v>9.3000000000000007</v>
      </c>
      <c r="AV40" s="168">
        <f>IF($AP$40=$AQ$33,$AQ$34,0)+IF($AP40=$AR$33,$AR$34,0)+IF($AP40=$AS$33,$AS$34,0)</f>
        <v>9.3000000000000007</v>
      </c>
      <c r="AW40" s="169"/>
      <c r="AX40" s="168"/>
      <c r="AY40" s="168"/>
      <c r="AZ40" s="169"/>
      <c r="BA40" s="168"/>
      <c r="BB40" s="168"/>
      <c r="BF40" s="2" t="s">
        <v>144</v>
      </c>
      <c r="BG40" s="83"/>
    </row>
    <row r="41" spans="2:59" x14ac:dyDescent="0.3">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4826</v>
      </c>
      <c r="G41" s="2">
        <f>IF($C$25=0,0,IF(AND(F6&gt;0,G6=0),ROUND(F6*F11*G38/$C$25,0),ROUND(G11*G38/$C$25,0)))</f>
        <v>2413</v>
      </c>
      <c r="H41" s="2">
        <f>IF($C$25=0,0,ROUND(H6*H11*H38/$C$25,0))</f>
        <v>0</v>
      </c>
      <c r="I41" s="157" t="e">
        <f>IF($C$25=0,0,IF('Phase designation'!F19=0,SUMPRODUCT(I57:I60,J57:J60),(J41/MAX(1,J6))*I6))</f>
        <v>#N/A</v>
      </c>
      <c r="J41" s="2">
        <f>IF($C$25=0,0,IF(AND(I6&gt;0,J6=0),ROUND(I6*I11*J38/$C$25,0),ROUND(J11*J38/$C$25,0)))</f>
        <v>1388</v>
      </c>
      <c r="K41" s="2">
        <f>IF($C$25=0,0,ROUND(K6*K11*K38/$C$25,0))</f>
        <v>11562</v>
      </c>
      <c r="L41" s="157" t="e">
        <f>IF($C$25=0,0,IF('Phase designation'!H19=0,SUMPRODUCT(L57:L60,M57:M60),(M41/MAX(1,M6))*L6))</f>
        <v>#N/A</v>
      </c>
      <c r="M41" s="2">
        <f>IF($C$25=0,0,IF(AND(L6&gt;0,M6=0),ROUND(L6*L11*M38/$C$25,0),ROUND(M11*M38/$C$25,0)))</f>
        <v>1287</v>
      </c>
      <c r="N41" s="2">
        <f>IF($C$25=0,0,ROUND(N6*N11*N38/$C$25,0))</f>
        <v>2574</v>
      </c>
      <c r="Q41" t="s">
        <v>105</v>
      </c>
      <c r="R41" s="2">
        <f t="shared" ref="R41:U42" si="13">MATCH(R29,$Q$35:$X$35,0)</f>
        <v>7</v>
      </c>
      <c r="S41" s="2">
        <f t="shared" si="13"/>
        <v>6</v>
      </c>
      <c r="T41" s="2">
        <f t="shared" si="13"/>
        <v>1</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3">
      <c r="B42" s="2" t="s">
        <v>136</v>
      </c>
      <c r="C42" s="157">
        <f t="shared" ref="C42:N42" si="14">IF(C40=0,0,ROUND((0.5*$C$25*(1-(C38)/$C$25)^2)/(1-(MIN(1,C40)*(C38))/$C$25),2))</f>
        <v>0</v>
      </c>
      <c r="D42" s="2">
        <f t="shared" si="14"/>
        <v>0</v>
      </c>
      <c r="E42" s="2">
        <f t="shared" si="14"/>
        <v>0</v>
      </c>
      <c r="F42" s="157">
        <f t="shared" si="14"/>
        <v>11.53</v>
      </c>
      <c r="G42" s="2">
        <f t="shared" si="14"/>
        <v>11.83</v>
      </c>
      <c r="H42" s="2">
        <f t="shared" si="14"/>
        <v>0</v>
      </c>
      <c r="I42" s="157" t="e">
        <f t="shared" si="14"/>
        <v>#N/A</v>
      </c>
      <c r="J42" s="2">
        <f t="shared" si="14"/>
        <v>23.5</v>
      </c>
      <c r="K42" s="2">
        <f t="shared" si="14"/>
        <v>15.81</v>
      </c>
      <c r="L42" s="157" t="e">
        <f t="shared" si="14"/>
        <v>#N/A</v>
      </c>
      <c r="M42" s="2">
        <f t="shared" si="14"/>
        <v>18.84</v>
      </c>
      <c r="N42" s="2">
        <f t="shared" si="14"/>
        <v>0</v>
      </c>
      <c r="Q42" t="s">
        <v>106</v>
      </c>
      <c r="R42" s="2">
        <f t="shared" si="13"/>
        <v>1</v>
      </c>
      <c r="S42" s="2">
        <f t="shared" si="13"/>
        <v>8</v>
      </c>
      <c r="T42" s="2">
        <f t="shared" si="13"/>
        <v>1</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3">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0.01</v>
      </c>
      <c r="G43" s="2">
        <f>IF(OR(G41=0,G11=0),0,ROUND(225*((G40-1)+SQRT((G40-1)^2+(4*G40)/(G41*0.25))),2))</f>
        <v>0</v>
      </c>
      <c r="H43" s="2">
        <f>IF(OR(H41=0,H11=0),0,ROUND(225*((H40-1)+SQRT((H40-1)^2+(4*H40)/(H41*0.25))),2))</f>
        <v>0</v>
      </c>
      <c r="I43" s="157" t="e">
        <f>IF(OR(I41=0,I11+I14=0),0,ROUND(225*((I40-1)+SQRT((I40-1)^2+(4*I40)/(I41*0.25))),2))</f>
        <v>#N/A</v>
      </c>
      <c r="J43" s="2">
        <f>IF(OR(J41=0,J11=0),0,ROUND(225*((J40-1)+SQRT((J40-1)^2+(4*J40)/(J41*0.25))),2))</f>
        <v>118.65</v>
      </c>
      <c r="K43" s="2">
        <f>IF(OR(K41=0,K11=0),0,ROUND(225*((K40-1)+SQRT((K40-1)^2+(4*K40)/(K41*0.25))),2))</f>
        <v>0</v>
      </c>
      <c r="L43" s="157" t="e">
        <f>IF(OR(L41=0,L11+L14=0),0,ROUND(225*((L40-1)+SQRT((L40-1)^2+(4*L40)/(L41*0.25))),2))</f>
        <v>#N/A</v>
      </c>
      <c r="M43" s="2">
        <f>IF(OR(M41=0,M41=0),0,ROUND(225*((M40-1)+SQRT((M40-1)^2+(4*M40)/(M41*0.25))),2))</f>
        <v>22.81</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3">
      <c r="B44" s="123" t="s">
        <v>138</v>
      </c>
      <c r="C44" s="180">
        <f>IF(C3=0,0,C42+C43)</f>
        <v>0</v>
      </c>
      <c r="D44" s="181">
        <f>IF(OR(D3=0,D6=0),0,D42+D43)</f>
        <v>0</v>
      </c>
      <c r="E44" s="181">
        <f>IF(E3=0,0,E42+E43)</f>
        <v>0</v>
      </c>
      <c r="F44" s="180">
        <f>IF(F3=0,0,F42+F43)</f>
        <v>11.54</v>
      </c>
      <c r="G44" s="181">
        <f>IF(OR(G3=0,G6=0),0,G42+G43)</f>
        <v>0</v>
      </c>
      <c r="H44" s="181">
        <f>IF(H3=0,0,H42+H43)</f>
        <v>0</v>
      </c>
      <c r="I44" s="180">
        <f>IF(I3=0,0,I42+I43)</f>
        <v>0</v>
      </c>
      <c r="J44" s="181">
        <f>IF(OR(J3=0,J6=0),0,J42+J43)</f>
        <v>142.15</v>
      </c>
      <c r="K44" s="181">
        <f>IF(K3=0,0,K42+K43)</f>
        <v>15.81</v>
      </c>
      <c r="L44" s="180" t="e">
        <f>IF(L3=0,0,L42+L43)</f>
        <v>#N/A</v>
      </c>
      <c r="M44" s="181">
        <f>IF(OR(M3=0,M6=0),0,M42+M43)</f>
        <v>41.65</v>
      </c>
      <c r="N44" s="181">
        <f>IF(N3=0,0,N42+N43)</f>
        <v>0</v>
      </c>
      <c r="Q44" t="s">
        <v>105</v>
      </c>
      <c r="R44" s="2">
        <f t="shared" ref="R44:U45" si="15">IF(R41&gt;0,MAX(Y44,INDEX($Q$35:$X$36,2,R41),0))</f>
        <v>9</v>
      </c>
      <c r="S44" s="2">
        <f t="shared" si="15"/>
        <v>49.6</v>
      </c>
      <c r="T44" s="2">
        <f t="shared" si="15"/>
        <v>0</v>
      </c>
      <c r="U44" s="2">
        <f t="shared" si="15"/>
        <v>0</v>
      </c>
      <c r="V44" s="3">
        <f>SUM(R44:U44)</f>
        <v>58.6</v>
      </c>
      <c r="X44" t="s">
        <v>105</v>
      </c>
      <c r="Y44" s="2">
        <f>Phasing!D43</f>
        <v>9</v>
      </c>
      <c r="Z44" s="2">
        <f>Phasing!E43</f>
        <v>22</v>
      </c>
      <c r="AA44" s="2">
        <f>Phasing!F43</f>
        <v>0</v>
      </c>
      <c r="AB44" s="2">
        <f>Phasing!G43</f>
        <v>0</v>
      </c>
      <c r="AC44" s="34" t="s">
        <v>237</v>
      </c>
      <c r="AD44" s="34" t="s">
        <v>238</v>
      </c>
      <c r="AE44"/>
      <c r="AF44" s="3">
        <f>Y44+Z44</f>
        <v>31</v>
      </c>
      <c r="AG44" s="3">
        <f>AA44+AB44</f>
        <v>0</v>
      </c>
      <c r="AH44" t="s">
        <v>105</v>
      </c>
      <c r="AI44" s="2">
        <f>IF(MIN(AF44,$AC$45)=0,0,ROUND(Y44*MAX(AF44,$AC$45)/MIN(AF44,$AC$45)*$C$25/$AE$45,0))</f>
        <v>10</v>
      </c>
      <c r="AJ44" s="2">
        <f>IF(MIN(AF44,$AC$45)=0,0,ROUND(Z44*MAX(AF44,$AC$45)/MIN(AF44,$AC$45)*$C$25/$AE$45,0))</f>
        <v>24</v>
      </c>
      <c r="AK44" s="2">
        <f>IF(MIN(AG44,$AD$45)=0,0,ROUND(AA44*MAX(AG44,$AD$45)/MIN(AG44,$AD$45)*$C$25/$AE$45,0))</f>
        <v>0</v>
      </c>
      <c r="AL44" s="2">
        <f>$C$25-SUM(AI44:AK44)</f>
        <v>36</v>
      </c>
      <c r="AP44" s="170" t="s">
        <v>392</v>
      </c>
      <c r="AQ44" s="171"/>
      <c r="AR44" s="170"/>
      <c r="AS44" s="170"/>
      <c r="AT44" s="171"/>
      <c r="AU44" s="170"/>
      <c r="AV44" s="170"/>
      <c r="AW44" s="171"/>
      <c r="AX44" s="170">
        <f>IF($AP$44=$AQ$35,$AQ$36,0)+IF($AP44=$AR$35,$AR$36,0)+IF($AP44=$AS$35,$AS$36,0)</f>
        <v>49.6</v>
      </c>
      <c r="AY44" s="170">
        <f>IF($AP$44=$AQ$35,$AQ$36,0)+IF($AP44=$AR$35,$AR$36,0)+IF($AP44=$AS$35,$AS$36,0)</f>
        <v>49.6</v>
      </c>
      <c r="AZ44" s="171"/>
      <c r="BA44" s="170">
        <f>IF($AP$44=$AQ$35,$AQ$36,0)+IF($AP44=$AR$35,$AR$36,0)+IF($AP44=$AS$35,$AS$36,0)</f>
        <v>49.6</v>
      </c>
      <c r="BB44" s="170">
        <f>IF($AP$44=$AQ$35,$AQ$36,0)+IF($AP44=$AR$35,$AR$36,0)+IF($AP44=$AS$35,$AS$36,0)</f>
        <v>49.6</v>
      </c>
      <c r="BF44" s="2" t="s">
        <v>146</v>
      </c>
      <c r="BG44" s="81"/>
    </row>
    <row r="45" spans="2:59" x14ac:dyDescent="0.3">
      <c r="B45" s="2" t="s">
        <v>139</v>
      </c>
      <c r="C45" s="157" t="str">
        <f>IF(C44=0,"N/A",VLOOKUP(C44,'LOS table'!$B$3:$D$8,3))</f>
        <v>N/A</v>
      </c>
      <c r="D45" s="2" t="str">
        <f>IF(D44=0,"N/A",VLOOKUP(D44,'LOS table'!$B$3:$D$8,3))</f>
        <v>N/A</v>
      </c>
      <c r="E45" s="2" t="str">
        <f>IF(E44=0,"N/A",VLOOKUP(E44,'LOS table'!$B$3:$D$8,3))</f>
        <v>N/A</v>
      </c>
      <c r="F45" s="157" t="str">
        <f>IF(F44=0,"N/A",VLOOKUP(F44,'LOS table'!$B$3:$D$8,3))</f>
        <v>B</v>
      </c>
      <c r="G45" s="2" t="str">
        <f>IF(G44=0,"N/A",VLOOKUP(G44,'LOS table'!$B$3:$D$8,3))</f>
        <v>N/A</v>
      </c>
      <c r="H45" s="2" t="str">
        <f>IF(H44=0,"N/A",VLOOKUP(H44,'LOS table'!$B$3:$D$8,3))</f>
        <v>N/A</v>
      </c>
      <c r="I45" s="157" t="str">
        <f>IF(I44=0,"N/A",VLOOKUP(I44,'LOS table'!$B$3:$D$8,3))</f>
        <v>N/A</v>
      </c>
      <c r="J45" s="2" t="str">
        <f>IF(J44=0,"N/A",VLOOKUP(J44,'LOS table'!$B$3:$D$8,3))</f>
        <v>F</v>
      </c>
      <c r="K45" s="2" t="str">
        <f>IF(K44=0,"N/A",VLOOKUP(K44,'LOS table'!$B$3:$D$8,3))</f>
        <v>B</v>
      </c>
      <c r="L45" s="157" t="e">
        <f>IF(L44=0,"N/A",VLOOKUP(L44,'LOS table'!$B$3:$D$8,3))</f>
        <v>#N/A</v>
      </c>
      <c r="M45" s="2" t="str">
        <f>IF(M44=0,"N/A",VLOOKUP(M44,'LOS table'!$B$3:$D$8,3))</f>
        <v>D</v>
      </c>
      <c r="N45" s="2" t="str">
        <f>IF(N44=0,"N/A",VLOOKUP(N44,'LOS table'!$B$3:$D$8,3))</f>
        <v>N/A</v>
      </c>
      <c r="Q45" t="s">
        <v>106</v>
      </c>
      <c r="R45" s="2">
        <f t="shared" si="15"/>
        <v>0</v>
      </c>
      <c r="S45" s="2">
        <f t="shared" si="15"/>
        <v>56.7</v>
      </c>
      <c r="T45" s="2">
        <f t="shared" si="15"/>
        <v>0</v>
      </c>
      <c r="U45" s="2">
        <f t="shared" si="15"/>
        <v>34</v>
      </c>
      <c r="V45" s="3">
        <f>SUM(R45:U45)</f>
        <v>90.7</v>
      </c>
      <c r="X45" t="s">
        <v>106</v>
      </c>
      <c r="Y45" s="2">
        <f>Phasing!H43</f>
        <v>0</v>
      </c>
      <c r="Z45" s="2">
        <f>Phasing!I43</f>
        <v>12</v>
      </c>
      <c r="AA45" s="2">
        <f>Phasing!J43</f>
        <v>0</v>
      </c>
      <c r="AB45" s="2">
        <f>Phasing!K43</f>
        <v>34</v>
      </c>
      <c r="AC45" s="34">
        <f>MAX(Y44+Z44,Y45+Z45)</f>
        <v>31</v>
      </c>
      <c r="AD45" s="34">
        <f>MAX(AA44+AB44,AA45+AB45)</f>
        <v>34</v>
      </c>
      <c r="AE45" s="31">
        <f>SUM(AC45:AD45)</f>
        <v>65</v>
      </c>
      <c r="AF45" s="3">
        <f>Y45+Z45</f>
        <v>12</v>
      </c>
      <c r="AG45" s="3">
        <f>AA45+AB45</f>
        <v>34</v>
      </c>
      <c r="AH45" t="s">
        <v>106</v>
      </c>
      <c r="AI45" s="2">
        <f>IF(MIN(AF45,$AC$45)=0,0,ROUND(Y45*MAX(AF45,$AC$45)/MIN(AF45,$AC$45)*$C$25/$AE$45,0))</f>
        <v>0</v>
      </c>
      <c r="AJ45" s="2">
        <f>IF(MIN(AF45,$AC$45)=0,0,ROUND(Z45*MAX(AF45,$AC$45)/MIN(AF45,$AC$45)*$C$25/$AE$45,0))</f>
        <v>33</v>
      </c>
      <c r="AK45" s="2">
        <f>IF(MIN(AG45,$AD$45)=0,0,ROUND(AA45*MAX(AG45,$AD$45)/MIN(AG45,$AD$45)*$C$25/$AE$45,0))</f>
        <v>0</v>
      </c>
      <c r="AL45" s="2">
        <f>$C$25-SUM(AI45:AK45)</f>
        <v>37</v>
      </c>
      <c r="AP45" s="170" t="s">
        <v>393</v>
      </c>
      <c r="AQ45" s="171"/>
      <c r="AR45" s="170"/>
      <c r="AS45" s="170"/>
      <c r="AT45" s="171"/>
      <c r="AU45" s="170"/>
      <c r="AV45" s="170"/>
      <c r="AW45" s="171"/>
      <c r="AX45" s="170"/>
      <c r="AY45" s="170"/>
      <c r="AZ45" s="171">
        <f>IF($AP$45=$AQ$35,$AQ$36,0)+IF($AP45=$AR$35,$AR$36,0)+IF($AP45=$AS$35,$AS$36,0)</f>
        <v>7.1</v>
      </c>
      <c r="BA45" s="170">
        <f>IF($AP$45=$AQ$35,$AQ$36,0)+IF($AP45=$AR$35,$AR$36,0)+IF($AP45=$AS$35,$AS$36,0)</f>
        <v>7.1</v>
      </c>
      <c r="BB45" s="170">
        <f>IF($AP$45=$AQ$35,$AQ$36,0)+IF($AP45=$AR$35,$AR$36,0)+IF($AP45=$AS$35,$AS$36,0)</f>
        <v>7.1</v>
      </c>
      <c r="BF45" s="2" t="s">
        <v>147</v>
      </c>
      <c r="BG45" s="28"/>
    </row>
    <row r="46" spans="2:59" x14ac:dyDescent="0.3">
      <c r="B46" s="123" t="s">
        <v>410</v>
      </c>
      <c r="C46" s="180">
        <f>IF(SUM(C3:E3)=0,0,SUMPRODUCT(C3:E3,C44:E44)/SUM(C3:E3))</f>
        <v>0</v>
      </c>
      <c r="D46" s="181"/>
      <c r="E46" s="238"/>
      <c r="F46" s="180">
        <f>IF(SUM(F3:H3)=0,0,SUMPRODUCT(F3:H3,F44:H44)/SUM(F3:H3))</f>
        <v>2.4226185101580135</v>
      </c>
      <c r="G46" s="181"/>
      <c r="H46" s="238"/>
      <c r="I46" s="180">
        <f>IF(SUM(I3:K3)=0,0,SUMPRODUCT(I3:K3,I44:K44)/SUM(I3:K3))</f>
        <v>137.50178528347408</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3">
      <c r="B47" s="2" t="s">
        <v>411</v>
      </c>
      <c r="C47" s="157" t="str">
        <f>IF(C46=0,"N/A",VLOOKUP(C46,'LOS table'!$B$3:$D$8,3))</f>
        <v>N/A</v>
      </c>
      <c r="E47" s="24"/>
      <c r="F47" s="157" t="str">
        <f>IF(F46=0,"N/A",VLOOKUP(F46,'LOS table'!$B$3:$D$8,3))</f>
        <v>A</v>
      </c>
      <c r="H47" s="24"/>
      <c r="I47" s="157" t="str">
        <f>IF(I46=0,"N/A",VLOOKUP(I46,'LOS table'!$B$3:$D$8,3))</f>
        <v>F</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3">
      <c r="O48" s="84"/>
      <c r="Q48"/>
      <c r="X48"/>
      <c r="AH48"/>
      <c r="AP48" s="172"/>
      <c r="AQ48" s="173">
        <f>SUM(AQ40:AQ47)</f>
        <v>0</v>
      </c>
      <c r="AR48" s="174">
        <f t="shared" ref="AR48:BB48" si="16">SUM(AR40:AR47)</f>
        <v>9.3000000000000007</v>
      </c>
      <c r="AS48" s="174">
        <f t="shared" si="16"/>
        <v>9.3000000000000007</v>
      </c>
      <c r="AT48" s="173">
        <f t="shared" si="16"/>
        <v>0</v>
      </c>
      <c r="AU48" s="174">
        <f t="shared" si="16"/>
        <v>9.3000000000000007</v>
      </c>
      <c r="AV48" s="174">
        <f t="shared" si="16"/>
        <v>9.3000000000000007</v>
      </c>
      <c r="AW48" s="173">
        <f t="shared" si="16"/>
        <v>0</v>
      </c>
      <c r="AX48" s="174">
        <f t="shared" si="16"/>
        <v>49.6</v>
      </c>
      <c r="AY48" s="174">
        <f t="shared" si="16"/>
        <v>49.6</v>
      </c>
      <c r="AZ48" s="173">
        <f t="shared" si="16"/>
        <v>7.1</v>
      </c>
      <c r="BA48" s="174">
        <f t="shared" si="16"/>
        <v>56.7</v>
      </c>
      <c r="BB48" s="174">
        <f t="shared" si="16"/>
        <v>56.7</v>
      </c>
    </row>
    <row r="49" spans="2:50" x14ac:dyDescent="0.3">
      <c r="B49" s="175" t="s">
        <v>412</v>
      </c>
      <c r="C49" s="237" t="e">
        <f>IF($C$25=0,"CHECK INPUT DATA!",IF(OR(SUM(C9:H9)=0,SUM(I9:N9)=0),0,ROUND(SUMPRODUCT(C9:N9,C44:N44)/O9,2)))</f>
        <v>#N/A</v>
      </c>
      <c r="D49" s="237"/>
      <c r="E49"/>
      <c r="O49" s="84"/>
      <c r="Q49"/>
      <c r="R49" s="104">
        <v>0</v>
      </c>
      <c r="S49" s="104">
        <v>0.85</v>
      </c>
      <c r="T49" s="104" t="s">
        <v>420</v>
      </c>
      <c r="X49"/>
      <c r="AH49"/>
    </row>
    <row r="50" spans="2:50" x14ac:dyDescent="0.3">
      <c r="B50" s="85" t="s">
        <v>413</v>
      </c>
      <c r="C50" s="84" t="e">
        <f>IF($C$25=0,"CHECK INPUT DATA",IF(C49=0,"N/A",VLOOKUP(C49,'LOS table'!$B$3:$D$8,3)))</f>
        <v>#N/A</v>
      </c>
      <c r="D50" s="84"/>
      <c r="O50" s="84"/>
      <c r="Q50"/>
      <c r="R50" s="104">
        <v>0.85</v>
      </c>
      <c r="S50" s="104">
        <v>0.95</v>
      </c>
      <c r="T50" s="104" t="s">
        <v>421</v>
      </c>
      <c r="X50"/>
      <c r="AH50"/>
    </row>
    <row r="51" spans="2:50" x14ac:dyDescent="0.3">
      <c r="B51" s="175" t="s">
        <v>414</v>
      </c>
      <c r="C51" s="126">
        <f>IF($C$25=0,"CHECK INPUT DATA",ROUND(O17/(1700*O4*'Input sheet'!W7*(1-C23/C25)),2))</f>
        <v>0.52</v>
      </c>
      <c r="D51" s="126"/>
      <c r="O51" s="84"/>
      <c r="Q51"/>
      <c r="R51" s="104">
        <v>0.95</v>
      </c>
      <c r="S51" s="104">
        <v>1</v>
      </c>
      <c r="T51" s="104" t="s">
        <v>422</v>
      </c>
      <c r="X51"/>
      <c r="AH51"/>
      <c r="AR51"/>
      <c r="AX51"/>
    </row>
    <row r="52" spans="2:50" x14ac:dyDescent="0.3">
      <c r="B52" s="85" t="s">
        <v>419</v>
      </c>
      <c r="C52" s="84" t="str">
        <f>IF($C$25=0,"CHECK INPUT DATA",VLOOKUP(C51,R49:T52,3))</f>
        <v>Under Capacity</v>
      </c>
      <c r="D52" s="84"/>
      <c r="O52" s="84"/>
      <c r="Q52"/>
      <c r="R52" s="104">
        <v>1</v>
      </c>
      <c r="S52" s="104">
        <v>100</v>
      </c>
      <c r="T52" s="104" t="s">
        <v>423</v>
      </c>
      <c r="X52"/>
      <c r="AH52"/>
      <c r="AR52"/>
      <c r="AX52"/>
    </row>
    <row r="53" spans="2:50" x14ac:dyDescent="0.3">
      <c r="O53" s="84"/>
      <c r="Q53"/>
      <c r="X53"/>
      <c r="AH53"/>
      <c r="AR53"/>
      <c r="AX53"/>
    </row>
    <row r="54" spans="2:50" hidden="1" x14ac:dyDescent="0.3">
      <c r="B54" s="2" t="s">
        <v>354</v>
      </c>
      <c r="C54" s="2">
        <f>ROUND(SUMPRODUCT(C66:C68,D66:D68),0)</f>
        <v>1205</v>
      </c>
      <c r="D54" s="2">
        <f>IF($C$25=0,0,IF(D41=0,0,D11))</f>
        <v>0</v>
      </c>
      <c r="E54" s="2">
        <f>IF($C$25=0,0,IF(AND(E6=0,E3&gt;0),ROUND(0.25*D54,0),E11))</f>
        <v>0</v>
      </c>
      <c r="F54" s="2">
        <f>ROUND(SUMPRODUCT(F66:F68,G66:G68),0)</f>
        <v>1370</v>
      </c>
      <c r="G54" s="2">
        <f>IF($C$25=0,0,IF(G41=0,0,G11))</f>
        <v>0</v>
      </c>
      <c r="H54" s="2">
        <f>IF($C$25=0,0,IF(AND(H6=0,H3&gt;0),ROUND(0.25*G54,0),H11))</f>
        <v>0</v>
      </c>
      <c r="I54" s="2">
        <f>ROUND(SUMPRODUCT(I66:I68,J66:J68),0)</f>
        <v>0</v>
      </c>
      <c r="J54" s="2">
        <f>IF($C$25=0,0,IF(J41=0,0,J11))</f>
        <v>4223</v>
      </c>
      <c r="K54" s="2">
        <f>IF($C$25=0,0,IF(AND(K6=0,K3&gt;0),ROUND(0.25*J54,0),K11))</f>
        <v>7038</v>
      </c>
      <c r="L54" s="2">
        <f>ROUND(SUMPRODUCT(L66:L68,M66:M68),0)</f>
        <v>1408</v>
      </c>
      <c r="M54" s="2">
        <f>IF($C$25=0,0,IF(M41=0,0,M11))</f>
        <v>2815</v>
      </c>
      <c r="N54" s="2">
        <f>IF($C$25=0,0,IF(AND(N6=0,N3&gt;0),ROUND(0.25*M54,0),N11))</f>
        <v>2815</v>
      </c>
    </row>
    <row r="55" spans="2:50" hidden="1" x14ac:dyDescent="0.3">
      <c r="B55" s="2" t="s">
        <v>355</v>
      </c>
      <c r="C55" s="2">
        <f t="shared" ref="C55:N55" si="17">IF($C$25=0,0,C38/$C$25)</f>
        <v>0</v>
      </c>
      <c r="D55" s="2">
        <f t="shared" si="17"/>
        <v>0</v>
      </c>
      <c r="E55" s="2">
        <f t="shared" si="17"/>
        <v>0</v>
      </c>
      <c r="F55" s="2">
        <f t="shared" si="17"/>
        <v>0.42857142857142855</v>
      </c>
      <c r="G55" s="2">
        <f t="shared" si="17"/>
        <v>0.42857142857142855</v>
      </c>
      <c r="H55" s="2">
        <f t="shared" si="17"/>
        <v>0.42857142857142855</v>
      </c>
      <c r="I55" s="2">
        <f t="shared" si="17"/>
        <v>0</v>
      </c>
      <c r="J55" s="2">
        <f t="shared" si="17"/>
        <v>0.32857142857142857</v>
      </c>
      <c r="K55" s="2">
        <f t="shared" si="17"/>
        <v>0.32857142857142857</v>
      </c>
      <c r="L55" s="2">
        <f t="shared" si="17"/>
        <v>7.1428571428571425E-2</v>
      </c>
      <c r="M55" s="2">
        <f t="shared" si="17"/>
        <v>0.45714285714285713</v>
      </c>
      <c r="N55" s="2">
        <f t="shared" si="17"/>
        <v>0.45714285714285713</v>
      </c>
      <c r="Q55" t="s">
        <v>105</v>
      </c>
      <c r="R55" s="2">
        <f>IF(V44=0,0,ROUND(R44*$C$25/$V$44,0))</f>
        <v>11</v>
      </c>
      <c r="S55" s="2">
        <f>IF(V44=0,0,ROUND(S44*$C$25/$V$44,0))</f>
        <v>59</v>
      </c>
      <c r="T55" s="2">
        <f>IF(V44=0,0,ROUND(T44*$C$25/$V$44,0))</f>
        <v>0</v>
      </c>
      <c r="U55" s="2">
        <f>IF(V44=0,0,ROUND(U44*$C$25/$V$44,0))</f>
        <v>0</v>
      </c>
      <c r="W55" s="3">
        <f>SUM(R55:S55)</f>
        <v>70</v>
      </c>
      <c r="X55" s="3">
        <f>SUM(T55:U55)</f>
        <v>0</v>
      </c>
      <c r="Y55"/>
      <c r="Z55" t="s">
        <v>105</v>
      </c>
      <c r="AA55" s="2">
        <f>IF(W55=0,0,R31*MAX(Y44,ROUNDDOWN($W$58/W55*R55,0)))</f>
        <v>9</v>
      </c>
      <c r="AB55" s="2">
        <f>IF(W55=0,0,S31*MAX(Z44,ROUNDUP($W$58/W55*S55,0)))</f>
        <v>31</v>
      </c>
      <c r="AC55" s="2">
        <f>IF(X55=0,0,T31*MAX(AA44,ROUNDDOWN($X$58/X55*T55,0)))</f>
        <v>0</v>
      </c>
      <c r="AD55" s="2">
        <f>IF(X55=0,0,U31*MAX(AB44,ROUNDUP($X$58/X55*U55,0)))</f>
        <v>0</v>
      </c>
      <c r="AE55"/>
      <c r="AF55" t="s">
        <v>105</v>
      </c>
      <c r="AG55" s="2">
        <f>IF(AND(AB55=Z44,AA55+AB55&gt;W58),W58-AB57,AA57)</f>
        <v>9</v>
      </c>
      <c r="AH55" s="2">
        <f>IF(AND(AA55=Y44,AA55+AB55&gt;W58),W58-AA57,AB57)</f>
        <v>27</v>
      </c>
      <c r="AI55" s="2">
        <f>IF(AND(AD55=AB44,AC55+AD55&gt;X58),X58-AD57,AC57)</f>
        <v>0</v>
      </c>
      <c r="AJ55" s="2">
        <f>IF(AND(AC55=AA44,AC55+AD55&gt;X58),X58-AC57,AD57)</f>
        <v>0</v>
      </c>
      <c r="AK55" s="104"/>
      <c r="AM55"/>
      <c r="AT55"/>
    </row>
    <row r="56" spans="2:50" hidden="1" x14ac:dyDescent="0.3">
      <c r="C56" s="270" t="s">
        <v>13</v>
      </c>
      <c r="D56" s="270"/>
      <c r="F56" s="270" t="s">
        <v>18</v>
      </c>
      <c r="G56" s="270"/>
      <c r="I56" s="270" t="s">
        <v>3</v>
      </c>
      <c r="J56" s="270"/>
      <c r="L56" s="270" t="s">
        <v>8</v>
      </c>
      <c r="M56" s="270"/>
      <c r="Q56" t="s">
        <v>106</v>
      </c>
      <c r="R56" s="2">
        <f>IF(V45=0,0,ROUND(R45*$C$25/$V$45,0))</f>
        <v>0</v>
      </c>
      <c r="S56" s="2">
        <f>IF(V45=0,0,ROUND(S45*$C$25/$V$45,0))</f>
        <v>44</v>
      </c>
      <c r="T56" s="2">
        <f>IF(V45=0,0,ROUND(T45*$C$25/$V$45,0))</f>
        <v>0</v>
      </c>
      <c r="U56" s="2">
        <f>IF(V45=0,0,ROUND(U45*$C$25/$V$45,0))</f>
        <v>26</v>
      </c>
      <c r="W56" s="3">
        <f>SUM(R56:S56)</f>
        <v>44</v>
      </c>
      <c r="X56" s="3">
        <f>SUM(T56:U56)</f>
        <v>26</v>
      </c>
      <c r="Y56" s="84"/>
      <c r="Z56" t="s">
        <v>106</v>
      </c>
      <c r="AA56" s="2">
        <f>IF(W56=0,0,R32*MAX(Y45,ROUNDDOWN($W$58/W56*R56,0)))</f>
        <v>0</v>
      </c>
      <c r="AB56" s="2">
        <f>IF(W56=0,0,S32*MAX(Z45,ROUNDUP($W$58/W56*S56,0)))</f>
        <v>36</v>
      </c>
      <c r="AC56" s="2">
        <f>IF(X56=0,0,T32*MAX(AA45,ROUNDDOWN($X$58/X56*T56,0)))</f>
        <v>0</v>
      </c>
      <c r="AD56" s="2">
        <f>IF(X56=0,0,U32*MAX(AB45,ROUNDUP($X$58/X56*U56,0)))</f>
        <v>34</v>
      </c>
      <c r="AE56"/>
      <c r="AF56" t="s">
        <v>106</v>
      </c>
      <c r="AG56" s="2">
        <f>IF(AND(AB56=Z45,AA56+AB56&gt;W58),W58-AB56,AA58)</f>
        <v>0</v>
      </c>
      <c r="AH56" s="2">
        <f>IF(AND(AA56=Y45,AA56+AB56&gt;W58),W58-AA58,AB58)</f>
        <v>36</v>
      </c>
      <c r="AI56" s="2">
        <f>IF(AND(AD56=AB45,AC56+AD56&gt;X58),X58-AD58,AC58)</f>
        <v>0</v>
      </c>
      <c r="AJ56" s="2">
        <f>IF(AND(AC56=AA45,AC56+AD56&gt;X58),X58-AC58,AD58)</f>
        <v>34</v>
      </c>
      <c r="AK56" s="104"/>
      <c r="AM56"/>
      <c r="AT56"/>
    </row>
    <row r="57" spans="2:50" hidden="1" x14ac:dyDescent="0.3">
      <c r="B57" s="2" t="s">
        <v>224</v>
      </c>
      <c r="C57" s="2">
        <f>C97</f>
        <v>0</v>
      </c>
      <c r="D57" s="2">
        <f>IF('Phase designation'!B22=2,1,0)</f>
        <v>1</v>
      </c>
      <c r="F57" s="2">
        <f>F97</f>
        <v>-99</v>
      </c>
      <c r="G57" s="2">
        <f>IF('Phase designation'!D22=2,1,0)</f>
        <v>1</v>
      </c>
      <c r="I57" s="2" t="e">
        <f>I97</f>
        <v>#N/A</v>
      </c>
      <c r="J57" s="2">
        <f>IF('Phase designation'!F22=2,1,0)</f>
        <v>0</v>
      </c>
      <c r="L57" s="2" t="e">
        <f>L97</f>
        <v>#N/A</v>
      </c>
      <c r="M57" s="2">
        <f>IF('Phase designation'!H22=2,1,0)</f>
        <v>0</v>
      </c>
      <c r="W57" s="34">
        <f>MAX(AC45,MAX(W55:W56))</f>
        <v>70</v>
      </c>
      <c r="X57" s="34">
        <f>MAX(AD45,MAX(X55:X56))</f>
        <v>34</v>
      </c>
      <c r="Y57" s="84"/>
      <c r="Z57" t="s">
        <v>105</v>
      </c>
      <c r="AA57" s="2">
        <f>AA55</f>
        <v>9</v>
      </c>
      <c r="AB57" s="2">
        <f t="shared" ref="AB57:AD58" si="18">AB55</f>
        <v>31</v>
      </c>
      <c r="AC57" s="2">
        <f t="shared" si="18"/>
        <v>0</v>
      </c>
      <c r="AD57" s="2">
        <f t="shared" si="18"/>
        <v>0</v>
      </c>
    </row>
    <row r="58" spans="2:50" ht="15" hidden="1" thickBot="1" x14ac:dyDescent="0.35">
      <c r="B58" s="2" t="s">
        <v>225</v>
      </c>
      <c r="C58" s="2">
        <f>C96</f>
        <v>0</v>
      </c>
      <c r="D58" s="2">
        <f>IF('Phase designation'!B22=1,1,0)</f>
        <v>0</v>
      </c>
      <c r="F58" s="2">
        <f>F96</f>
        <v>2501</v>
      </c>
      <c r="G58" s="2">
        <f>IF('Phase designation'!D22=1,1,0)</f>
        <v>0</v>
      </c>
      <c r="I58" s="2">
        <f>I96</f>
        <v>0</v>
      </c>
      <c r="J58" s="2">
        <f>IF('Phase designation'!F22=1,1,0)</f>
        <v>1</v>
      </c>
      <c r="L58" s="2">
        <f>L96</f>
        <v>141</v>
      </c>
      <c r="M58" s="2">
        <f>IF('Phase designation'!H22=1,1,0)</f>
        <v>1</v>
      </c>
      <c r="W58" s="31">
        <f>C25-MIN(W57:X57)</f>
        <v>36</v>
      </c>
      <c r="X58" s="31">
        <f>C25-W58</f>
        <v>34</v>
      </c>
      <c r="Y58"/>
      <c r="Z58" t="s">
        <v>106</v>
      </c>
      <c r="AA58" s="2">
        <f>AA56</f>
        <v>0</v>
      </c>
      <c r="AB58" s="2">
        <f t="shared" si="18"/>
        <v>36</v>
      </c>
      <c r="AC58" s="2">
        <f t="shared" si="18"/>
        <v>0</v>
      </c>
      <c r="AD58" s="2">
        <f t="shared" si="18"/>
        <v>34</v>
      </c>
      <c r="AE58" s="105" t="s">
        <v>223</v>
      </c>
    </row>
    <row r="59" spans="2:50" hidden="1" x14ac:dyDescent="0.3">
      <c r="B59" s="2" t="s">
        <v>226</v>
      </c>
      <c r="C59" s="2">
        <f>C104</f>
        <v>0</v>
      </c>
      <c r="D59" s="2">
        <f>IF('Phase designation'!B22=3,1,0)</f>
        <v>0</v>
      </c>
      <c r="F59" s="2">
        <f>F104</f>
        <v>2402</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3">
      <c r="B60" s="2" t="s">
        <v>353</v>
      </c>
      <c r="C60" s="2">
        <f>C103</f>
        <v>51</v>
      </c>
      <c r="D60" s="2">
        <f>IF(AND(C6=0,C3&gt;0),1,0)</f>
        <v>0</v>
      </c>
      <c r="F60" s="2">
        <f>F103</f>
        <v>62</v>
      </c>
      <c r="G60" s="2">
        <f>IF(AND(F6=0,F3&gt;0),1,0)</f>
        <v>0</v>
      </c>
      <c r="I60" s="2" t="e">
        <f>I103</f>
        <v>#N/A</v>
      </c>
      <c r="J60" s="2">
        <f>IF(AND(I6=0,I3&gt;0),1,0)</f>
        <v>0</v>
      </c>
      <c r="L60" s="2" t="e">
        <f>L103</f>
        <v>#N/A</v>
      </c>
      <c r="M60" s="2">
        <f>IF(AND(L6=0,L3&gt;0),1,0)</f>
        <v>0</v>
      </c>
      <c r="Q60" s="92" t="s">
        <v>105</v>
      </c>
      <c r="R60" s="38">
        <f t="shared" ref="R60:U61" si="19">AG55</f>
        <v>9</v>
      </c>
      <c r="S60" s="38">
        <f t="shared" si="19"/>
        <v>27</v>
      </c>
      <c r="T60" s="38">
        <f t="shared" si="19"/>
        <v>0</v>
      </c>
      <c r="U60" s="38">
        <f t="shared" si="19"/>
        <v>0</v>
      </c>
      <c r="V60" s="3">
        <f>SUM(R60:U60)</f>
        <v>36</v>
      </c>
      <c r="W60" s="34">
        <f>R60+S60</f>
        <v>36</v>
      </c>
      <c r="X60" s="93">
        <f>T60+U60</f>
        <v>0</v>
      </c>
      <c r="Y60"/>
      <c r="Z60" t="s">
        <v>105</v>
      </c>
      <c r="AA60" s="2">
        <f t="shared" ref="AA60:AD61" si="20">IF(R60&lt;Y44,1,0)</f>
        <v>0</v>
      </c>
      <c r="AB60" s="2">
        <f t="shared" si="20"/>
        <v>0</v>
      </c>
      <c r="AC60" s="2">
        <f t="shared" si="20"/>
        <v>0</v>
      </c>
      <c r="AD60" s="2">
        <f t="shared" si="20"/>
        <v>0</v>
      </c>
    </row>
    <row r="61" spans="2:50" ht="15" hidden="1" thickBot="1" x14ac:dyDescent="0.35">
      <c r="Q61" s="94" t="s">
        <v>106</v>
      </c>
      <c r="R61" s="95">
        <f t="shared" si="19"/>
        <v>0</v>
      </c>
      <c r="S61" s="95">
        <f t="shared" si="19"/>
        <v>36</v>
      </c>
      <c r="T61" s="95">
        <f t="shared" si="19"/>
        <v>0</v>
      </c>
      <c r="U61" s="95">
        <f t="shared" si="19"/>
        <v>34</v>
      </c>
      <c r="V61" s="96">
        <f>SUM(R61:U61)</f>
        <v>70</v>
      </c>
      <c r="W61" s="97">
        <f>R61+S61</f>
        <v>36</v>
      </c>
      <c r="X61" s="98">
        <f>T61+U61</f>
        <v>34</v>
      </c>
      <c r="Y61"/>
      <c r="Z61" t="s">
        <v>106</v>
      </c>
      <c r="AA61" s="2">
        <f t="shared" si="20"/>
        <v>0</v>
      </c>
      <c r="AB61" s="2">
        <f t="shared" si="20"/>
        <v>0</v>
      </c>
      <c r="AC61" s="2">
        <f t="shared" si="20"/>
        <v>0</v>
      </c>
      <c r="AD61" s="2">
        <f t="shared" si="20"/>
        <v>0</v>
      </c>
      <c r="AE61" s="108">
        <f>SUM(AA60:AD61)</f>
        <v>0</v>
      </c>
    </row>
    <row r="62" spans="2:50" hidden="1" x14ac:dyDescent="0.3">
      <c r="B62" s="2" t="s">
        <v>322</v>
      </c>
      <c r="C62" s="2">
        <f>MAX(0,D37)</f>
        <v>0</v>
      </c>
      <c r="D62" s="2">
        <f>D57</f>
        <v>1</v>
      </c>
      <c r="F62" s="2">
        <f>MAX(0,G37)</f>
        <v>29.1</v>
      </c>
      <c r="G62" s="2">
        <f>G57</f>
        <v>1</v>
      </c>
      <c r="I62" s="2">
        <f>MAX(0,J37)</f>
        <v>20.400000000000002</v>
      </c>
      <c r="J62" s="2">
        <f>J57</f>
        <v>0</v>
      </c>
      <c r="L62" s="2">
        <f>MAX(0,M37)</f>
        <v>29.400000000000002</v>
      </c>
      <c r="M62" s="2">
        <f>M57</f>
        <v>0</v>
      </c>
      <c r="Z62" s="105"/>
      <c r="AA62" s="105"/>
      <c r="AB62" s="105"/>
      <c r="AC62" s="105"/>
      <c r="AD62" s="105"/>
      <c r="AE62" s="105"/>
      <c r="AF62" s="105"/>
      <c r="AG62" s="105"/>
      <c r="AH62" s="105"/>
      <c r="AI62" s="105"/>
    </row>
    <row r="63" spans="2:50" hidden="1" x14ac:dyDescent="0.3">
      <c r="B63" s="2" t="s">
        <v>323</v>
      </c>
      <c r="C63" s="2">
        <f>MAX(0,C34-C35-C36)</f>
        <v>0</v>
      </c>
      <c r="D63" s="2">
        <f>D58</f>
        <v>0</v>
      </c>
      <c r="F63" s="2">
        <f>MAX(0,F34-F35-F36)</f>
        <v>29.1</v>
      </c>
      <c r="G63" s="2">
        <f>G58</f>
        <v>0</v>
      </c>
      <c r="I63" s="2">
        <f>MAX(0,I34-I35-I36)</f>
        <v>0</v>
      </c>
      <c r="J63" s="2">
        <f>J58</f>
        <v>1</v>
      </c>
      <c r="L63" s="2">
        <f>MAX(0,L34-L35-L36)</f>
        <v>5</v>
      </c>
      <c r="M63" s="2">
        <f>M58</f>
        <v>1</v>
      </c>
      <c r="Q63" s="2">
        <f>R29</f>
        <v>1</v>
      </c>
      <c r="R63" s="2">
        <f>S29</f>
        <v>2</v>
      </c>
      <c r="S63" s="2">
        <f>T29</f>
        <v>0</v>
      </c>
      <c r="T63" s="2">
        <f>U29</f>
        <v>0</v>
      </c>
      <c r="U63" s="2">
        <f>R30</f>
        <v>0</v>
      </c>
      <c r="V63" s="2">
        <f>S30</f>
        <v>6</v>
      </c>
      <c r="W63" s="2">
        <f>T30</f>
        <v>0</v>
      </c>
      <c r="X63" s="2">
        <f>U30</f>
        <v>8</v>
      </c>
    </row>
    <row r="64" spans="2:50" hidden="1" x14ac:dyDescent="0.3">
      <c r="B64" s="2" t="s">
        <v>324</v>
      </c>
      <c r="C64" s="2">
        <f>MAX(0,C63+C62-C35-C36)</f>
        <v>0</v>
      </c>
      <c r="D64" s="2">
        <f>D59</f>
        <v>0</v>
      </c>
      <c r="F64" s="2">
        <f>MAX(0,F63+F62-F35-F36)</f>
        <v>53.300000000000004</v>
      </c>
      <c r="G64" s="2">
        <f>G59</f>
        <v>0</v>
      </c>
      <c r="I64" s="2">
        <f>MAX(0,I63+I62-I35-I36)</f>
        <v>13.800000000000002</v>
      </c>
      <c r="J64" s="2">
        <f>J59</f>
        <v>0</v>
      </c>
      <c r="L64" s="2">
        <f>MAX(0,L63+L62-L35-L36)</f>
        <v>30.400000000000006</v>
      </c>
      <c r="M64" s="2">
        <f>M59</f>
        <v>0</v>
      </c>
      <c r="Q64" s="2">
        <f>C83</f>
        <v>9</v>
      </c>
      <c r="R64" s="2">
        <f>D83</f>
        <v>27</v>
      </c>
      <c r="S64" s="2">
        <f>E83</f>
        <v>0</v>
      </c>
      <c r="T64" s="2">
        <f>F83</f>
        <v>0</v>
      </c>
      <c r="U64" s="2">
        <f>C84</f>
        <v>0</v>
      </c>
      <c r="V64" s="2">
        <f>D84</f>
        <v>36</v>
      </c>
      <c r="W64" s="2">
        <f>E84</f>
        <v>0</v>
      </c>
      <c r="X64" s="2">
        <f>F84</f>
        <v>34</v>
      </c>
    </row>
    <row r="65" spans="2:24" hidden="1" x14ac:dyDescent="0.3">
      <c r="Q65" s="2">
        <f>C33</f>
        <v>0</v>
      </c>
      <c r="R65" s="2">
        <f>D33</f>
        <v>0</v>
      </c>
      <c r="S65" s="2">
        <f>F33</f>
        <v>8</v>
      </c>
      <c r="T65" s="2">
        <f>G33</f>
        <v>8</v>
      </c>
      <c r="U65" s="2">
        <f>I33</f>
        <v>0</v>
      </c>
      <c r="V65" s="2">
        <f>J33</f>
        <v>2</v>
      </c>
      <c r="W65" s="2">
        <f>L33</f>
        <v>1</v>
      </c>
      <c r="X65" s="2">
        <f>M33</f>
        <v>6</v>
      </c>
    </row>
    <row r="66" spans="2:24" hidden="1" x14ac:dyDescent="0.3">
      <c r="B66" s="2" t="s">
        <v>432</v>
      </c>
      <c r="C66" s="2">
        <f>C14</f>
        <v>1205</v>
      </c>
      <c r="D66" s="2">
        <f>D62</f>
        <v>1</v>
      </c>
      <c r="F66" s="2">
        <f>F14</f>
        <v>1370</v>
      </c>
      <c r="G66" s="2">
        <f>G62</f>
        <v>1</v>
      </c>
      <c r="I66" s="2">
        <f>I14</f>
        <v>0</v>
      </c>
      <c r="J66" s="2">
        <f>J62</f>
        <v>0</v>
      </c>
      <c r="L66" s="2">
        <f>L14</f>
        <v>0</v>
      </c>
      <c r="M66" s="2">
        <f>M62</f>
        <v>0</v>
      </c>
    </row>
    <row r="67" spans="2:24" hidden="1" x14ac:dyDescent="0.3">
      <c r="B67" s="2" t="s">
        <v>433</v>
      </c>
      <c r="C67" s="2">
        <f>C11</f>
        <v>0</v>
      </c>
      <c r="D67" s="2">
        <f>D63</f>
        <v>0</v>
      </c>
      <c r="F67" s="2">
        <f>F11</f>
        <v>2815</v>
      </c>
      <c r="G67" s="2">
        <f>G63</f>
        <v>0</v>
      </c>
      <c r="I67" s="2">
        <f>I11</f>
        <v>0</v>
      </c>
      <c r="J67" s="2">
        <f>J63</f>
        <v>1</v>
      </c>
      <c r="L67" s="2">
        <f>L11</f>
        <v>1408</v>
      </c>
      <c r="M67" s="2">
        <f>M63</f>
        <v>1</v>
      </c>
    </row>
    <row r="68" spans="2:24" hidden="1" x14ac:dyDescent="0.3">
      <c r="B68" s="2" t="s">
        <v>434</v>
      </c>
      <c r="C68" s="165">
        <f>IF(C64=0,0,(C67*C63+C66*C62)/C64)</f>
        <v>0</v>
      </c>
      <c r="D68" s="2">
        <f>D64</f>
        <v>0</v>
      </c>
      <c r="F68" s="165">
        <f>IF(F64=0,0,(F67*F63+F66*F62)/F64)</f>
        <v>2284.8686679174484</v>
      </c>
      <c r="G68" s="2">
        <f>G64</f>
        <v>0</v>
      </c>
      <c r="I68" s="165">
        <f>IF(I64=0,0,(I67*I63+I66*I62)/I64)</f>
        <v>0</v>
      </c>
      <c r="J68" s="2">
        <f>J64</f>
        <v>0</v>
      </c>
      <c r="L68" s="165">
        <f>IF(L64=0,0,(L67*L63+L66*L62)/L64)</f>
        <v>231.57894736842101</v>
      </c>
      <c r="M68" s="2">
        <f>M64</f>
        <v>0</v>
      </c>
    </row>
    <row r="69" spans="2:24" hidden="1" x14ac:dyDescent="0.3">
      <c r="Q69" s="2">
        <f>IF(Q65=0,0,MATCH(Q65,$Q$63:$X$63,0))</f>
        <v>0</v>
      </c>
      <c r="R69" s="2">
        <f t="shared" ref="R69:X69" si="21">IF(R65=0,0,MATCH(R65,$Q$63:$X$63,0))</f>
        <v>0</v>
      </c>
      <c r="S69" s="2">
        <f t="shared" si="21"/>
        <v>8</v>
      </c>
      <c r="T69" s="2">
        <f t="shared" si="21"/>
        <v>8</v>
      </c>
      <c r="U69" s="2">
        <f t="shared" si="21"/>
        <v>0</v>
      </c>
      <c r="V69" s="2">
        <f t="shared" si="21"/>
        <v>2</v>
      </c>
      <c r="W69" s="2">
        <f t="shared" si="21"/>
        <v>1</v>
      </c>
      <c r="X69" s="2">
        <f t="shared" si="21"/>
        <v>6</v>
      </c>
    </row>
    <row r="70" spans="2:24" hidden="1" x14ac:dyDescent="0.3">
      <c r="C70" s="2" t="s">
        <v>13</v>
      </c>
      <c r="F70" s="2" t="s">
        <v>18</v>
      </c>
      <c r="I70" s="2" t="s">
        <v>3</v>
      </c>
      <c r="L70" s="2" t="s">
        <v>8</v>
      </c>
    </row>
    <row r="71" spans="2:24" hidden="1" x14ac:dyDescent="0.3">
      <c r="B71" s="2" t="s">
        <v>333</v>
      </c>
      <c r="C71" s="2">
        <f>IF(C34&lt;F34,MAX(0,MIN(C34+G34-F34-D35-D36,G34-D35-D36-G37)),G34-D35-D36-G37)</f>
        <v>0</v>
      </c>
      <c r="F71" s="2">
        <f>IF(F34&lt;C34,MAX(0,MIN(F34+D34-C34-G35-G36,D34-G35-G36-D37)),D34-G35-G36-D37)</f>
        <v>-4.9000000000000004</v>
      </c>
      <c r="I71" s="2">
        <f>IF(I34&lt;L34,MAX(0,MIN(I34+M34-L34-J35-J36,M34-J35-J36-M37)),M34-J35-J36-M37)</f>
        <v>0</v>
      </c>
      <c r="L71" s="2">
        <f>IF(L34&lt;I34,MAX(0,MIN(L34+J34-I34-M35-M36,J34-M35-M36-J37)),J34-M35-M36-J37)</f>
        <v>0</v>
      </c>
    </row>
    <row r="72" spans="2:24" hidden="1" x14ac:dyDescent="0.3">
      <c r="B72" s="2" t="s">
        <v>334</v>
      </c>
      <c r="C72" s="2">
        <f>IF(C34&lt;F34,MAX(0,MIN(C34+G34-F34-D35-D36,G34-D35-D36)),G34-D35-D36)</f>
        <v>0</v>
      </c>
      <c r="F72" s="2">
        <f>IF(F34&lt;C34,MAX(0,MIN(F34+D34-C34-G35-G36,D34-G35-G36)),D34-G35-G36)</f>
        <v>-4.9000000000000004</v>
      </c>
      <c r="I72" s="2">
        <f>IF(I34&lt;L34,MAX(0,MIN(I34+M34-L34-J35-J36,M34-J35-J36)),M34-J35-J36)</f>
        <v>20.400000000000002</v>
      </c>
      <c r="L72" s="2">
        <f>IF(L34&lt;I34,MAX(0,MIN(L34+J34-I34-M35-M36,J34-M35-M36)),J34-M35-M36)</f>
        <v>20.400000000000002</v>
      </c>
    </row>
    <row r="73" spans="2:24" hidden="1" x14ac:dyDescent="0.3">
      <c r="B73" s="2" t="s">
        <v>337</v>
      </c>
      <c r="C73" s="2">
        <f>IF(F34&gt;(C34-C35-C36),MIN(C74,F34-(C34-C35-C36)+C74-C75),0)</f>
        <v>2</v>
      </c>
      <c r="F73" s="2">
        <f>IF(C34&gt;(F34-F35-F36),MIN(F74,C34-(F34-F35-F36)+F74-F75),0)</f>
        <v>0</v>
      </c>
      <c r="I73" s="2" t="e">
        <f>IF(L34&gt;(I34-I35-I36),MIN(I74,L34-(I34-I35-I36)+I74-I75),0)</f>
        <v>#N/A</v>
      </c>
      <c r="L73" s="2">
        <f>IF(I34&gt;(L34-L35-L36),MIN(L74,I34-(L34-L35-L36)+L74-L75),0)</f>
        <v>0</v>
      </c>
    </row>
    <row r="74" spans="2:24" hidden="1" x14ac:dyDescent="0.3">
      <c r="B74" s="2" t="s">
        <v>339</v>
      </c>
      <c r="C74" s="2">
        <v>2</v>
      </c>
      <c r="F74" s="2">
        <v>2</v>
      </c>
      <c r="I74" s="2">
        <v>2</v>
      </c>
      <c r="L74" s="2">
        <v>2</v>
      </c>
    </row>
    <row r="75" spans="2:24" hidden="1" x14ac:dyDescent="0.3">
      <c r="B75" s="2" t="s">
        <v>338</v>
      </c>
      <c r="C75" s="2">
        <f>Phasing!O27</f>
        <v>1.5</v>
      </c>
      <c r="F75" s="2">
        <f>Phasing!Q27</f>
        <v>1.5</v>
      </c>
      <c r="I75" s="2" t="e">
        <f>Phasing!S27</f>
        <v>#N/A</v>
      </c>
      <c r="L75" s="2" t="e">
        <f>Phasing!U27</f>
        <v>#N/A</v>
      </c>
    </row>
    <row r="76" spans="2:24" hidden="1" x14ac:dyDescent="0.3">
      <c r="B76" s="2" t="s">
        <v>335</v>
      </c>
      <c r="C76" s="2">
        <f>MIN(C71+C75,C77)</f>
        <v>0</v>
      </c>
      <c r="F76" s="2">
        <f>MIN(F71+F75,F77)</f>
        <v>-3.4000000000000004</v>
      </c>
      <c r="I76" s="2" t="e">
        <f>MIN(I71+I75,I77)</f>
        <v>#N/A</v>
      </c>
      <c r="L76" s="2" t="e">
        <f>MIN(L71+L75,L77)</f>
        <v>#N/A</v>
      </c>
    </row>
    <row r="77" spans="2:24" hidden="1" x14ac:dyDescent="0.3">
      <c r="B77" s="2" t="s">
        <v>336</v>
      </c>
      <c r="C77" s="2">
        <f>MAX(0,C72-C73+C75)</f>
        <v>0</v>
      </c>
      <c r="F77" s="2">
        <f>MAX(0,F72-F73+F75)</f>
        <v>0</v>
      </c>
      <c r="I77" s="2" t="e">
        <f>MAX(0,I72-I73+I75)</f>
        <v>#N/A</v>
      </c>
      <c r="L77" s="2" t="e">
        <f>MAX(0,L72-L73+L75)</f>
        <v>#N/A</v>
      </c>
    </row>
    <row r="78" spans="2:24" hidden="1" x14ac:dyDescent="0.3"/>
    <row r="79" spans="2:24" hidden="1" x14ac:dyDescent="0.3"/>
    <row r="80" spans="2:24" hidden="1" x14ac:dyDescent="0.3"/>
    <row r="81" spans="2:21" hidden="1" x14ac:dyDescent="0.3">
      <c r="Q81"/>
      <c r="R81"/>
      <c r="S81"/>
      <c r="T81"/>
      <c r="U81"/>
    </row>
    <row r="82" spans="2:21" x14ac:dyDescent="0.3">
      <c r="C82" s="40" t="str">
        <f>R28</f>
        <v/>
      </c>
      <c r="D82" s="40" t="str">
        <f>S28</f>
        <v>b</v>
      </c>
      <c r="E82" s="40"/>
      <c r="F82" s="40" t="str">
        <f>T28</f>
        <v/>
      </c>
      <c r="G82" s="3" t="s">
        <v>132</v>
      </c>
      <c r="H82" s="34" t="s">
        <v>241</v>
      </c>
      <c r="I82" s="34" t="s">
        <v>242</v>
      </c>
      <c r="Q82"/>
      <c r="T82" s="84">
        <f>IF($C$25=0,"CHECK INPUT DATA",ROUND(O17/(1700*O4*'Input sheet'!W7*(1-C23/C25)),2))</f>
        <v>0.52</v>
      </c>
    </row>
    <row r="83" spans="2:21" x14ac:dyDescent="0.3">
      <c r="B83" s="101" t="s">
        <v>105</v>
      </c>
      <c r="C83" s="101">
        <f t="shared" ref="C83:F84" si="22">IF($C$25=0,0,IF($AE$61=0,R60,AI44))</f>
        <v>9</v>
      </c>
      <c r="D83" s="101">
        <f t="shared" si="22"/>
        <v>27</v>
      </c>
      <c r="E83" s="101">
        <f t="shared" si="22"/>
        <v>0</v>
      </c>
      <c r="F83" s="101">
        <f t="shared" si="22"/>
        <v>0</v>
      </c>
      <c r="G83" s="102">
        <f>SUM(C83:F83)</f>
        <v>36</v>
      </c>
      <c r="H83" s="103">
        <f>C83+D83</f>
        <v>36</v>
      </c>
      <c r="I83" s="103">
        <f>E83+F83</f>
        <v>0</v>
      </c>
      <c r="Q83"/>
    </row>
    <row r="84" spans="2:21" x14ac:dyDescent="0.3">
      <c r="B84" s="101" t="s">
        <v>106</v>
      </c>
      <c r="C84" s="101">
        <f t="shared" si="22"/>
        <v>0</v>
      </c>
      <c r="D84" s="101">
        <f t="shared" si="22"/>
        <v>36</v>
      </c>
      <c r="E84" s="101">
        <f t="shared" si="22"/>
        <v>0</v>
      </c>
      <c r="F84" s="101">
        <f t="shared" si="22"/>
        <v>34</v>
      </c>
      <c r="G84" s="102">
        <f>SUM(C84:F84)</f>
        <v>70</v>
      </c>
      <c r="H84" s="103">
        <f>C84+D84</f>
        <v>36</v>
      </c>
      <c r="I84" s="103">
        <f>E84+F84</f>
        <v>34</v>
      </c>
      <c r="T84" s="122" t="e">
        <f>IF($C$25=0,"CHECK INPUT DATA",IF(OR(SUM(C9:H9)=0,SUM(I9:N9)=0),0,ROUND(SUMPRODUCT(C9:N9,C44:N44)/O9,2)))</f>
        <v>#N/A</v>
      </c>
      <c r="U84" s="84" t="e">
        <f>IF($C$25=0,"CHECK INPUT DATA",IF(T84=0,"N/A",VLOOKUP(T84,'LOS table'!$B$3:$D$8,3)))</f>
        <v>#N/A</v>
      </c>
    </row>
    <row r="85" spans="2:21" hidden="1" x14ac:dyDescent="0.3"/>
    <row r="86" spans="2:21" hidden="1" x14ac:dyDescent="0.3">
      <c r="C86" s="2">
        <f>IF(C83&lt;Y44,1,0)</f>
        <v>0</v>
      </c>
      <c r="D86" s="2">
        <f>IF(D83&lt;Z44,1,0)</f>
        <v>0</v>
      </c>
      <c r="F86" s="2">
        <f>IF(E83&lt;AA44,1,0)</f>
        <v>0</v>
      </c>
      <c r="G86" s="2">
        <f>IF(F83&lt;AB44,1,0)</f>
        <v>0</v>
      </c>
    </row>
    <row r="87" spans="2:21" hidden="1" x14ac:dyDescent="0.3">
      <c r="C87" s="2">
        <f>IF(C84&lt;Y45,1,0)</f>
        <v>0</v>
      </c>
      <c r="D87" s="2">
        <f>IF(D84&lt;Z45,1,0)</f>
        <v>0</v>
      </c>
      <c r="F87" s="2">
        <f>IF(E84&lt;AA45,1,0)</f>
        <v>0</v>
      </c>
      <c r="G87" s="2">
        <f>IF(F84&lt;AB45,1,0)</f>
        <v>0</v>
      </c>
    </row>
    <row r="88" spans="2:21" hidden="1" x14ac:dyDescent="0.3"/>
    <row r="89" spans="2:21" hidden="1" x14ac:dyDescent="0.3">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3">
      <c r="B90" s="123" t="s">
        <v>321</v>
      </c>
      <c r="C90" s="123">
        <f>C38</f>
        <v>0</v>
      </c>
      <c r="D90" s="123">
        <f t="shared" ref="D90:N90" si="23">D38</f>
        <v>0</v>
      </c>
      <c r="E90" s="123">
        <f t="shared" si="23"/>
        <v>0</v>
      </c>
      <c r="F90" s="123">
        <f t="shared" si="23"/>
        <v>30</v>
      </c>
      <c r="G90" s="123">
        <f t="shared" si="23"/>
        <v>30</v>
      </c>
      <c r="H90" s="123">
        <f t="shared" si="23"/>
        <v>30</v>
      </c>
      <c r="I90" s="123">
        <f t="shared" si="23"/>
        <v>0</v>
      </c>
      <c r="J90" s="123">
        <f t="shared" si="23"/>
        <v>23</v>
      </c>
      <c r="K90" s="123">
        <f t="shared" si="23"/>
        <v>23</v>
      </c>
      <c r="L90" s="123">
        <f t="shared" si="23"/>
        <v>5</v>
      </c>
      <c r="M90" s="123">
        <f t="shared" si="23"/>
        <v>32</v>
      </c>
      <c r="N90" s="123">
        <f t="shared" si="23"/>
        <v>32</v>
      </c>
    </row>
    <row r="91" spans="2:21" hidden="1" x14ac:dyDescent="0.3">
      <c r="B91" s="2" t="s">
        <v>342</v>
      </c>
      <c r="C91" s="2">
        <f>C3*$C$25/3600</f>
        <v>0</v>
      </c>
      <c r="F91" s="2">
        <f>F3*$C$25/3600</f>
        <v>1.8083333333333333</v>
      </c>
      <c r="I91" s="2">
        <f>I3*$C$25/3600</f>
        <v>0</v>
      </c>
      <c r="L91" s="2">
        <f>L3*$C$25/3600</f>
        <v>1.5361111111111112</v>
      </c>
    </row>
    <row r="92" spans="2:21" hidden="1" x14ac:dyDescent="0.3">
      <c r="B92" s="2" t="s">
        <v>341</v>
      </c>
      <c r="C92" s="2">
        <f>MAX(C90*EXP(-0.86*(C91^0.629)-C73),0)</f>
        <v>0</v>
      </c>
      <c r="F92" s="2">
        <f>MAX(F90*EXP(-0.86*(F91^0.629)-F73),0)</f>
        <v>8.6095787727293178</v>
      </c>
      <c r="I92" s="2" t="e">
        <f>MAX(I90*EXP(-0.86*(I91^0.629)-I73),0)</f>
        <v>#N/A</v>
      </c>
      <c r="L92" s="2">
        <f>MAX(L90*EXP(-0.86*(L91^0.629)-L73),0)</f>
        <v>1.6207153778844137</v>
      </c>
    </row>
    <row r="93" spans="2:21" hidden="1" x14ac:dyDescent="0.3">
      <c r="B93" s="2" t="s">
        <v>343</v>
      </c>
      <c r="C93" s="2">
        <f>MAX(C90*EXP(-0.882*(C91^0.717)-C73),0)</f>
        <v>0</v>
      </c>
      <c r="F93" s="2">
        <f>MAX(F90*EXP(-0.882*(F91^0.717)-F73),0)</f>
        <v>7.7867950681662403</v>
      </c>
      <c r="I93" s="2" t="e">
        <f>MAX(I90*EXP(-0.882*(I91^0.717)-I73),0)</f>
        <v>#N/A</v>
      </c>
      <c r="L93" s="2">
        <f>MAX(L90*EXP(-0.882*(L91^0.717)-L73),0)</f>
        <v>1.5061692774543314</v>
      </c>
    </row>
    <row r="94" spans="2:21" hidden="1" x14ac:dyDescent="0.3">
      <c r="B94" s="2" t="s">
        <v>340</v>
      </c>
      <c r="C94" s="2">
        <f>IF(SUM(C6:E6)=1,C92,C93)</f>
        <v>0</v>
      </c>
      <c r="F94" s="2">
        <f>IF(SUM(F6:H6)=1,F92,F93)</f>
        <v>7.7867950681662403</v>
      </c>
      <c r="I94" s="2" t="e">
        <f>IF(SUM(I6:K6)=1,I92,I93)</f>
        <v>#N/A</v>
      </c>
      <c r="L94" s="2">
        <f>IF(SUM(L6:N6)=1,L92,L93)</f>
        <v>1.5061692774543314</v>
      </c>
    </row>
    <row r="95" spans="2:21" hidden="1" x14ac:dyDescent="0.3"/>
    <row r="96" spans="2:21" hidden="1" x14ac:dyDescent="0.3">
      <c r="B96" s="123" t="s">
        <v>349</v>
      </c>
      <c r="C96" s="123">
        <f>MAX(0,ROUND(C6*(C63+C35-1)*C11/$C$25,0))</f>
        <v>0</v>
      </c>
      <c r="D96" s="123"/>
      <c r="E96" s="123"/>
      <c r="F96" s="123">
        <f>MAX(0,ROUND(F6*(F63+F35-1)*F11/$C$25,0))</f>
        <v>2501</v>
      </c>
      <c r="G96" s="123"/>
      <c r="H96" s="123"/>
      <c r="I96" s="123">
        <f>MAX(0,ROUND(I6*(I63+I35-1)*I11/$C$25,0))</f>
        <v>0</v>
      </c>
      <c r="J96" s="123"/>
      <c r="K96" s="123"/>
      <c r="L96" s="123">
        <f>MAX(0,ROUND(L6*(L63+L35-1)*L11/$C$25,0))</f>
        <v>141</v>
      </c>
    </row>
    <row r="97" spans="1:13" hidden="1" x14ac:dyDescent="0.3">
      <c r="B97" s="123" t="s">
        <v>344</v>
      </c>
      <c r="C97" s="123">
        <f>ROUND(((MIN(C77-C94,C76)*C14+7200)/$C$25)*C6,0)</f>
        <v>0</v>
      </c>
      <c r="D97" s="123"/>
      <c r="E97" s="123"/>
      <c r="F97" s="123">
        <f>ROUND(((MIN(F77-F94,F76)*F14+7200)/$C$25)*F6,0)</f>
        <v>-99</v>
      </c>
      <c r="G97" s="123"/>
      <c r="H97" s="123"/>
      <c r="I97" s="123" t="e">
        <f>ROUND(((MIN(I77-I94,I76)*I14+7200)/$C$25)*I6,0)</f>
        <v>#N/A</v>
      </c>
      <c r="J97" s="123"/>
      <c r="K97" s="123"/>
      <c r="L97" s="123" t="e">
        <f>ROUND(((MIN(L77-L94,L76)*L14+7200)/$C$25)*L6,0)</f>
        <v>#N/A</v>
      </c>
    </row>
    <row r="98" spans="1:13" hidden="1" x14ac:dyDescent="0.3">
      <c r="B98" s="2" t="s">
        <v>345</v>
      </c>
      <c r="C98" s="2">
        <f>IF(C14=0,0,$S$2/C14)</f>
        <v>1.5767634854771784</v>
      </c>
      <c r="F98" s="2">
        <f>IF(F14=0,0,$S$2/F14)</f>
        <v>1.3868613138686132</v>
      </c>
      <c r="I98" s="2">
        <f>IF(I14=0,0,$S$2/I14)</f>
        <v>0</v>
      </c>
      <c r="L98" s="2">
        <f>IF(L14=0,0,$S$2/L14)</f>
        <v>0</v>
      </c>
    </row>
    <row r="99" spans="1:13" hidden="1" x14ac:dyDescent="0.3">
      <c r="B99" s="2" t="s">
        <v>346</v>
      </c>
      <c r="C99" s="2">
        <f>MAX(0,0.5*(C77-C76-C94))</f>
        <v>0</v>
      </c>
      <c r="F99" s="2">
        <f>MAX(0,0.5*(F77-F76-F94))</f>
        <v>0</v>
      </c>
      <c r="I99" s="2" t="e">
        <f>MAX(0,0.5*(I77-I76-I94))</f>
        <v>#N/A</v>
      </c>
      <c r="L99" s="2" t="e">
        <f>MAX(0,0.5*(L77-L76-L94))</f>
        <v>#N/A</v>
      </c>
    </row>
    <row r="100" spans="1:13" hidden="1" x14ac:dyDescent="0.3">
      <c r="B100" s="2" t="s">
        <v>348</v>
      </c>
      <c r="C100" s="2">
        <f>IF(SUM(F3:H3)=0,0,F3/SUM(F3:H3))</f>
        <v>0.20993227990970656</v>
      </c>
      <c r="F100" s="2">
        <f>IF(SUM(C3:E3)=0,0,C3/SUM(C3:E3))</f>
        <v>0</v>
      </c>
      <c r="I100" s="2">
        <f>IF(SUM(L3:N3)=0,0,L3/SUM(L3:N3))</f>
        <v>6.2998405103668262E-2</v>
      </c>
      <c r="L100" s="2">
        <f>IF(SUM(I3:K3)=0,0,I3/SUM(I3:K3))</f>
        <v>0</v>
      </c>
    </row>
    <row r="101" spans="1:13" hidden="1" x14ac:dyDescent="0.3">
      <c r="B101" s="2" t="s">
        <v>347</v>
      </c>
      <c r="C101" s="2">
        <f>IF(C100=0,0,MAX(1,(1-(1-C100)^C99)/C100))</f>
        <v>1</v>
      </c>
      <c r="F101" s="2">
        <f>IF(F100=0,0,MAX(1,(1-(1-F100)^F99)/F100))</f>
        <v>0</v>
      </c>
      <c r="I101" s="2" t="e">
        <f>IF(I100=0,0,MAX(1,(1-(1-I100)^I99)/I100))</f>
        <v>#N/A</v>
      </c>
      <c r="L101" s="2">
        <f>IF(L100=0,0,MAX(1,(1-(1-L100)^L99)/L100))</f>
        <v>0</v>
      </c>
    </row>
    <row r="102" spans="1:13" hidden="1" x14ac:dyDescent="0.3">
      <c r="B102" s="2" t="s">
        <v>351</v>
      </c>
      <c r="C102" s="2">
        <f>IF(SUM(C3:E3)=0,0,C3/SUM(C3:E3))</f>
        <v>0</v>
      </c>
      <c r="F102" s="2">
        <f>IF(SUM(F3:H3)=0,0,F3/SUM(F3:H3))</f>
        <v>0.20993227990970656</v>
      </c>
      <c r="I102" s="2">
        <f>IF(SUM(I3:K3)=0,0,I3/SUM(I3:K3))</f>
        <v>0</v>
      </c>
      <c r="L102" s="2">
        <f>IF(SUM(L3:N3)=0,0,L3/SUM(L3:N3))</f>
        <v>6.2998405103668262E-2</v>
      </c>
    </row>
    <row r="103" spans="1:13" hidden="1" x14ac:dyDescent="0.3">
      <c r="B103" s="123" t="s">
        <v>350</v>
      </c>
      <c r="C103" s="123">
        <f>ROUND((C77*C14+3600*(1+C102))/$C$25,0)</f>
        <v>51</v>
      </c>
      <c r="D103" s="123"/>
      <c r="E103" s="123"/>
      <c r="F103" s="123">
        <f>ROUND((F77*F14+3600*(1+F102))/$C$25,0)</f>
        <v>62</v>
      </c>
      <c r="G103" s="123"/>
      <c r="H103" s="123"/>
      <c r="I103" s="123" t="e">
        <f>ROUND((I77*I14+3600*(1+I102))/$C$25,0)</f>
        <v>#N/A</v>
      </c>
      <c r="J103" s="123"/>
      <c r="K103" s="123"/>
      <c r="L103" s="123" t="e">
        <f>ROUND((L77*L14+3600*(1+L102))/$C$25,0)</f>
        <v>#N/A</v>
      </c>
    </row>
    <row r="104" spans="1:13" hidden="1" x14ac:dyDescent="0.3">
      <c r="B104" s="123" t="s">
        <v>352</v>
      </c>
      <c r="C104" s="123">
        <f>MAX(0,ROUND(((C63+C35-1)*C11/$C$25+(MIN(C77-C94,C76)*C14+7200)/$C$25)*C6,0))</f>
        <v>0</v>
      </c>
      <c r="D104" s="123"/>
      <c r="E104" s="123"/>
      <c r="F104" s="123">
        <f>MAX(0,ROUND(((F63+F35-1)*F11/$C$25+(MIN(F77-F94,F76)*F14+7200)/$C$25)*F6,0))</f>
        <v>2402</v>
      </c>
      <c r="G104" s="123"/>
      <c r="H104" s="123"/>
      <c r="I104" s="123" t="e">
        <f>MAX(0,ROUND(((I63+I35-1)*I11/$C$25+(MIN(I77-I94,I76)*I14+7200)/$C$25)*I6,0))</f>
        <v>#N/A</v>
      </c>
      <c r="J104" s="123"/>
      <c r="K104" s="123"/>
      <c r="L104" s="123" t="e">
        <f>MAX(0,ROUND(((L63+L35-1)*L11/$C$25+(MIN(L77-L94,L76)*L14+7200)/$C$25)*L6,0))</f>
        <v>#N/A</v>
      </c>
    </row>
    <row r="105" spans="1:13" hidden="1" x14ac:dyDescent="0.3"/>
    <row r="106" spans="1:13" hidden="1" x14ac:dyDescent="0.3">
      <c r="A106" s="296" t="s">
        <v>479</v>
      </c>
      <c r="B106" s="138" t="s">
        <v>73</v>
      </c>
      <c r="C106" s="138"/>
      <c r="D106" s="138" t="s">
        <v>14</v>
      </c>
      <c r="E106" s="138"/>
      <c r="F106" s="138"/>
      <c r="G106" s="138" t="s">
        <v>19</v>
      </c>
      <c r="H106" s="138"/>
      <c r="I106" s="138"/>
      <c r="J106" s="138" t="s">
        <v>4</v>
      </c>
      <c r="K106" s="138"/>
      <c r="L106" s="138"/>
      <c r="M106" s="160" t="s">
        <v>9</v>
      </c>
    </row>
    <row r="107" spans="1:13" hidden="1" x14ac:dyDescent="0.3">
      <c r="A107" s="283"/>
      <c r="B107" s="2" t="s">
        <v>470</v>
      </c>
      <c r="D107" s="2">
        <f>D37-Phasing!P19</f>
        <v>-21</v>
      </c>
      <c r="G107" s="2">
        <f>G37-Phasing!R19</f>
        <v>5.1000000000000014</v>
      </c>
      <c r="J107" s="2">
        <f>J37-Phasing!T19</f>
        <v>10.400000000000002</v>
      </c>
      <c r="M107" s="24">
        <f>M37-Phasing!V19</f>
        <v>29.400000000000002</v>
      </c>
    </row>
    <row r="108" spans="1:13" hidden="1" x14ac:dyDescent="0.3">
      <c r="A108" s="283"/>
      <c r="B108" s="2" t="s">
        <v>471</v>
      </c>
      <c r="D108" s="2">
        <f>D107+4</f>
        <v>-17</v>
      </c>
      <c r="G108" s="2">
        <f>G107+4</f>
        <v>9.1000000000000014</v>
      </c>
      <c r="J108" s="2">
        <f>J107+4</f>
        <v>14.400000000000002</v>
      </c>
      <c r="M108" s="24">
        <f>M107+4</f>
        <v>33.400000000000006</v>
      </c>
    </row>
    <row r="109" spans="1:13" hidden="1" x14ac:dyDescent="0.3">
      <c r="A109" s="283"/>
      <c r="B109" s="2" t="s">
        <v>472</v>
      </c>
      <c r="C109" s="187"/>
      <c r="D109" s="187">
        <f>(($C$25-D108)^2)/(2*$C$25)</f>
        <v>54.064285714285717</v>
      </c>
      <c r="E109" s="187"/>
      <c r="F109" s="187"/>
      <c r="G109" s="187">
        <f>(($C$25-G108)^2)/(2*$C$25)</f>
        <v>26.491499999999998</v>
      </c>
      <c r="H109" s="187"/>
      <c r="I109" s="187"/>
      <c r="J109" s="187">
        <f>(($C$25-J108)^2)/(2*$C$25)</f>
        <v>22.081142857142851</v>
      </c>
      <c r="K109" s="187"/>
      <c r="L109" s="187"/>
      <c r="M109" s="216">
        <f>(($C$25-M108)^2)/(2*$C$25)</f>
        <v>9.568285714285711</v>
      </c>
    </row>
    <row r="110" spans="1:13" hidden="1" x14ac:dyDescent="0.3">
      <c r="A110" s="283"/>
      <c r="B110" s="2" t="s">
        <v>476</v>
      </c>
      <c r="D110" s="2">
        <f>'Input sheet'!E17</f>
        <v>0</v>
      </c>
      <c r="G110" s="2">
        <f>'Input sheet'!Q17</f>
        <v>0</v>
      </c>
      <c r="J110" s="2">
        <f>'Input sheet'!O21</f>
        <v>0</v>
      </c>
      <c r="M110" s="24">
        <f>'Input sheet'!M6</f>
        <v>0</v>
      </c>
    </row>
    <row r="111" spans="1:13" hidden="1" x14ac:dyDescent="0.3">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3">
      <c r="A112" s="283"/>
      <c r="B112" s="2" t="s">
        <v>477</v>
      </c>
      <c r="D112" s="178">
        <f>D111+G111+J111+M111</f>
        <v>0</v>
      </c>
      <c r="E112" s="178"/>
      <c r="F112" s="178"/>
      <c r="G112" s="178"/>
      <c r="H112" s="178"/>
      <c r="I112" s="178"/>
      <c r="J112" s="178"/>
      <c r="K112" s="178"/>
      <c r="L112" s="178"/>
      <c r="M112" s="217"/>
    </row>
    <row r="113" spans="1:58" hidden="1" x14ac:dyDescent="0.3">
      <c r="A113" s="283"/>
      <c r="B113" s="2" t="s">
        <v>486</v>
      </c>
      <c r="D113" s="165">
        <f>Phasing!P3</f>
        <v>0</v>
      </c>
      <c r="E113" s="165"/>
      <c r="F113" s="165"/>
      <c r="G113" s="165">
        <f>Phasing!R3</f>
        <v>36</v>
      </c>
      <c r="H113" s="165"/>
      <c r="I113" s="165"/>
      <c r="J113" s="165">
        <f>Phasing!T3</f>
        <v>72</v>
      </c>
      <c r="K113" s="165"/>
      <c r="L113" s="165"/>
      <c r="M113" s="219">
        <f>Phasing!V3</f>
        <v>84</v>
      </c>
    </row>
    <row r="114" spans="1:58" hidden="1" x14ac:dyDescent="0.3">
      <c r="A114" s="297"/>
      <c r="B114" s="159" t="s">
        <v>487</v>
      </c>
      <c r="C114" s="159"/>
      <c r="D114" s="220">
        <f>MAX(D113:M113)</f>
        <v>84</v>
      </c>
      <c r="E114" s="220"/>
      <c r="F114" s="220"/>
      <c r="G114" s="220"/>
      <c r="H114" s="220"/>
      <c r="I114" s="220"/>
      <c r="J114" s="220"/>
      <c r="K114" s="220"/>
      <c r="L114" s="220"/>
      <c r="M114" s="221"/>
    </row>
    <row r="115" spans="1:58" hidden="1" x14ac:dyDescent="0.3"/>
    <row r="116" spans="1:58" hidden="1" x14ac:dyDescent="0.3">
      <c r="A116" s="296" t="s">
        <v>485</v>
      </c>
      <c r="B116" s="138" t="s">
        <v>73</v>
      </c>
      <c r="C116" s="138"/>
      <c r="D116" s="138" t="s">
        <v>14</v>
      </c>
      <c r="E116" s="138"/>
      <c r="F116" s="138"/>
      <c r="G116" s="138" t="s">
        <v>19</v>
      </c>
      <c r="H116" s="138"/>
      <c r="I116" s="138"/>
      <c r="J116" s="138" t="s">
        <v>4</v>
      </c>
      <c r="K116" s="138"/>
      <c r="L116" s="138"/>
      <c r="M116" s="160" t="s">
        <v>9</v>
      </c>
    </row>
    <row r="117" spans="1:58" hidden="1" x14ac:dyDescent="0.3">
      <c r="A117" s="283"/>
      <c r="B117" s="2" t="s">
        <v>480</v>
      </c>
      <c r="D117" s="165">
        <f>2000*D38/$C$25</f>
        <v>0</v>
      </c>
      <c r="E117" s="165"/>
      <c r="F117" s="165"/>
      <c r="G117" s="165">
        <f>2000*G38/$C$25</f>
        <v>857.14285714285711</v>
      </c>
      <c r="H117" s="165"/>
      <c r="I117" s="165"/>
      <c r="J117" s="165">
        <f>2000*J38/$C$25</f>
        <v>657.14285714285711</v>
      </c>
      <c r="K117" s="165"/>
      <c r="L117" s="165"/>
      <c r="M117" s="219">
        <f>2000*M38/$C$25</f>
        <v>914.28571428571433</v>
      </c>
    </row>
    <row r="118" spans="1:58" hidden="1" x14ac:dyDescent="0.3">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3">
      <c r="A119" s="283"/>
      <c r="B119" s="2" t="s">
        <v>483</v>
      </c>
      <c r="D119" s="165">
        <f>D38</f>
        <v>0</v>
      </c>
      <c r="E119" s="165"/>
      <c r="F119" s="165"/>
      <c r="G119" s="165">
        <f>G38</f>
        <v>30</v>
      </c>
      <c r="H119" s="165"/>
      <c r="I119" s="165"/>
      <c r="J119" s="165">
        <f>J38</f>
        <v>23</v>
      </c>
      <c r="K119" s="165"/>
      <c r="L119" s="165"/>
      <c r="M119" s="219">
        <f>M38</f>
        <v>32</v>
      </c>
    </row>
    <row r="120" spans="1:58" hidden="1" x14ac:dyDescent="0.3">
      <c r="A120" s="283"/>
      <c r="B120" s="2" t="s">
        <v>481</v>
      </c>
      <c r="D120" s="187" t="e">
        <f>(0.5*$C$25*(1-D119/$C$25)^2)/(1-(D118/D117)*(D119/$C$25))</f>
        <v>#DIV/0!</v>
      </c>
      <c r="E120" s="187"/>
      <c r="F120" s="187"/>
      <c r="G120" s="187">
        <f>(0.5*$C$25*(1-G119/$C$25)^2)/(1-(G118/G117)*(G119/$C$25))</f>
        <v>11.428571428571427</v>
      </c>
      <c r="H120" s="187"/>
      <c r="I120" s="187"/>
      <c r="J120" s="187">
        <f>(0.5*$C$25*(1-J119/$C$25)^2)/(1-(J118/J117)*(J119/$C$25))</f>
        <v>15.778571428571432</v>
      </c>
      <c r="K120" s="187"/>
      <c r="L120" s="187"/>
      <c r="M120" s="216">
        <f>(0.5*$C$25*(1-M119/$C$25)^2)/(1-(M118/M117)*(M119/$C$25))</f>
        <v>10.314285714285717</v>
      </c>
    </row>
    <row r="121" spans="1:58" hidden="1" x14ac:dyDescent="0.3">
      <c r="A121" s="297"/>
      <c r="B121" s="159" t="s">
        <v>484</v>
      </c>
      <c r="C121" s="159"/>
      <c r="D121" s="218" t="e">
        <f>(D118*D120+G118*G120+J118*J120+M118*M120)/3600</f>
        <v>#DIV/0!</v>
      </c>
      <c r="E121" s="159"/>
      <c r="F121" s="159"/>
      <c r="G121" s="159"/>
      <c r="H121" s="159"/>
      <c r="I121" s="159"/>
      <c r="J121" s="159"/>
      <c r="K121" s="159"/>
      <c r="L121" s="159"/>
      <c r="M121" s="161"/>
    </row>
    <row r="122" spans="1:58" hidden="1" x14ac:dyDescent="0.3"/>
    <row r="123" spans="1:58" hidden="1" x14ac:dyDescent="0.3">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3">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3.6519291666666667</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772.47666319444454</v>
      </c>
      <c r="K124" s="178">
        <f>(((100-'Input sheet'!$B$4)/100)*'Phase calculation'!K3*'Phase calculation'!K44*'Input sheet'!$B$2)/3600</f>
        <v>3.2816729166666669</v>
      </c>
      <c r="L124" s="178" t="e">
        <f>(((100-'Input sheet'!$B$4)/100)*'Phase calculation'!L3*'Phase calculation'!L44*'Input sheet'!$B$2)/3600</f>
        <v>#N/A</v>
      </c>
      <c r="M124" s="178">
        <f>(((100-'Input sheet'!$B$4)/100)*'Phase calculation'!M3*'Phase calculation'!M44*'Input sheet'!$B$2)/3600</f>
        <v>166.52769097222222</v>
      </c>
      <c r="N124" s="178">
        <f>(((100-'Input sheet'!$B$4)/100)*'Phase calculation'!N3*'Phase calculation'!N44*'Input sheet'!$B$2)/3600</f>
        <v>0</v>
      </c>
      <c r="BF124" s="217" t="e">
        <f>SUM(C124:N124)</f>
        <v>#N/A</v>
      </c>
    </row>
    <row r="125" spans="1:58" hidden="1" x14ac:dyDescent="0.3">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0.18781349999999999</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39.727371250000004</v>
      </c>
      <c r="K125" s="178">
        <f>(('Input sheet'!$B$4/100)*'Phase calculation'!K3*'Phase calculation'!K44*'Input sheet'!$B$3)/3600</f>
        <v>0.16877175</v>
      </c>
      <c r="L125" s="178" t="e">
        <f>(('Input sheet'!$B$4/100)*'Phase calculation'!L3*'Phase calculation'!L44*'Input sheet'!$B$3)/3600</f>
        <v>#N/A</v>
      </c>
      <c r="M125" s="178">
        <f>(('Input sheet'!$B$4/100)*'Phase calculation'!M3*'Phase calculation'!M44*'Input sheet'!$B$3)/3600</f>
        <v>8.5642812499999987</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1.7360000000000004E-2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4.1999999999999997E-3</v>
      </c>
      <c r="AK125" s="178">
        <f>(('Input sheet'!$B$4/100)*'Phase calculation'!AK3*'Phase calculation'!AK44*'Input sheet'!$B$3)/3600</f>
        <v>0</v>
      </c>
      <c r="AL125" s="178">
        <f>(('Input sheet'!$B$4/100)*'Phase calculation'!AL3*'Phase calculation'!AL44*'Input sheet'!$B$3)/3600</f>
        <v>1.89E-2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3">
      <c r="A126" s="283"/>
      <c r="B126" s="2" t="s">
        <v>54</v>
      </c>
      <c r="D126" s="178">
        <f>D111*'Input sheet'!$B$2</f>
        <v>0</v>
      </c>
      <c r="G126" s="178">
        <f>G111*'Input sheet'!$B$2</f>
        <v>0</v>
      </c>
      <c r="J126" s="178">
        <f>J111*'Input sheet'!$B$2</f>
        <v>0</v>
      </c>
      <c r="M126" s="178">
        <f>M111*'Input sheet'!$B$2</f>
        <v>0</v>
      </c>
      <c r="BF126" s="217">
        <f>SUM(C126:N126)</f>
        <v>0</v>
      </c>
    </row>
    <row r="127" spans="1:58" hidden="1" x14ac:dyDescent="0.3">
      <c r="A127" s="283"/>
      <c r="B127" s="2" t="s">
        <v>493</v>
      </c>
      <c r="D127" s="178" t="e">
        <f>(D118*D120/3600)*'Input sheet'!$B$2</f>
        <v>#DIV/0!</v>
      </c>
      <c r="G127" s="178">
        <f>(G118*G120/3600)*'Input sheet'!$B$2</f>
        <v>0</v>
      </c>
      <c r="J127" s="178">
        <f>(J118*J120/3600)*'Input sheet'!$B$2</f>
        <v>0</v>
      </c>
      <c r="M127" s="178">
        <f>(M118*M120/3600)*'Input sheet'!$B$2</f>
        <v>0</v>
      </c>
      <c r="BF127" s="217" t="e">
        <f>SUM(C127:N127)</f>
        <v>#DIV/0!</v>
      </c>
    </row>
    <row r="128" spans="1:58" hidden="1" x14ac:dyDescent="0.3">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3"/>
    <row r="130" spans="1:63" hidden="1" x14ac:dyDescent="0.3"/>
    <row r="131" spans="1:63" hidden="1" x14ac:dyDescent="0.3">
      <c r="B131" s="232"/>
      <c r="C131" s="138" t="s">
        <v>498</v>
      </c>
      <c r="D131" s="138" t="s">
        <v>499</v>
      </c>
      <c r="E131" s="138" t="s">
        <v>500</v>
      </c>
      <c r="F131" s="138" t="s">
        <v>501</v>
      </c>
      <c r="G131" s="160"/>
      <c r="BI131" s="2" t="s">
        <v>502</v>
      </c>
      <c r="BJ131" s="2" t="s">
        <v>503</v>
      </c>
      <c r="BK131" s="2" t="s">
        <v>504</v>
      </c>
    </row>
    <row r="132" spans="1:63" hidden="1" x14ac:dyDescent="0.3">
      <c r="B132" s="157" t="s">
        <v>497</v>
      </c>
      <c r="C132" s="2">
        <f>Phasing!P3</f>
        <v>0</v>
      </c>
      <c r="D132" s="2">
        <f>Phasing!R3</f>
        <v>36</v>
      </c>
      <c r="E132" s="2">
        <f>Phasing!T3</f>
        <v>72</v>
      </c>
      <c r="F132" s="2">
        <f>Phasing!V3</f>
        <v>84</v>
      </c>
      <c r="G132" s="24"/>
      <c r="BI132" s="2">
        <v>8</v>
      </c>
      <c r="BJ132" s="2" t="s">
        <v>508</v>
      </c>
      <c r="BK132" s="2">
        <v>300</v>
      </c>
    </row>
    <row r="133" spans="1:63" hidden="1" x14ac:dyDescent="0.3">
      <c r="B133" s="157" t="s">
        <v>42</v>
      </c>
      <c r="C133" s="2">
        <f>'Input sheet'!D13</f>
        <v>20</v>
      </c>
      <c r="D133" s="2">
        <f>'Input sheet'!P13</f>
        <v>20</v>
      </c>
      <c r="E133" s="2">
        <f>'Input sheet'!J24</f>
        <v>65</v>
      </c>
      <c r="F133" s="2">
        <f>'Input sheet'!J4</f>
        <v>65</v>
      </c>
      <c r="G133" s="24"/>
      <c r="BI133" s="2">
        <v>6</v>
      </c>
      <c r="BJ133" s="2" t="s">
        <v>507</v>
      </c>
      <c r="BK133" s="2">
        <v>350</v>
      </c>
    </row>
    <row r="134" spans="1:63" hidden="1" x14ac:dyDescent="0.3">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3">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3">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3">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3">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3">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3"/>
    <row r="141" spans="1:63" hidden="1" x14ac:dyDescent="0.3"/>
    <row r="142" spans="1:63" hidden="1" x14ac:dyDescent="0.3">
      <c r="A142" s="288" t="s">
        <v>520</v>
      </c>
      <c r="B142" s="138" t="s">
        <v>73</v>
      </c>
      <c r="C142" s="138"/>
      <c r="D142" s="138" t="s">
        <v>14</v>
      </c>
      <c r="E142" s="138"/>
      <c r="F142" s="138"/>
      <c r="G142" s="138" t="s">
        <v>19</v>
      </c>
      <c r="H142" s="138"/>
      <c r="I142" s="138"/>
      <c r="J142" s="138" t="s">
        <v>4</v>
      </c>
      <c r="K142" s="138"/>
      <c r="L142" s="138"/>
      <c r="M142" s="160" t="s">
        <v>9</v>
      </c>
    </row>
    <row r="143" spans="1:63" hidden="1" x14ac:dyDescent="0.3">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3">
      <c r="A144" s="289"/>
      <c r="B144" s="2" t="s">
        <v>522</v>
      </c>
      <c r="D144" s="165">
        <f>D38</f>
        <v>0</v>
      </c>
      <c r="E144" s="165"/>
      <c r="F144" s="165"/>
      <c r="G144" s="165">
        <f>G38</f>
        <v>30</v>
      </c>
      <c r="H144" s="165"/>
      <c r="I144" s="165"/>
      <c r="J144" s="165">
        <f>J38</f>
        <v>23</v>
      </c>
      <c r="K144" s="165"/>
      <c r="L144" s="165"/>
      <c r="M144" s="219">
        <f>M38</f>
        <v>32</v>
      </c>
    </row>
    <row r="145" spans="1:64" hidden="1" x14ac:dyDescent="0.3">
      <c r="A145" s="289"/>
      <c r="B145" s="2" t="s">
        <v>523</v>
      </c>
      <c r="D145" s="187">
        <f>D44</f>
        <v>0</v>
      </c>
      <c r="E145" s="187"/>
      <c r="F145" s="187"/>
      <c r="G145" s="187">
        <f>G44</f>
        <v>0</v>
      </c>
      <c r="H145" s="187"/>
      <c r="I145" s="187"/>
      <c r="J145" s="187">
        <f>J44</f>
        <v>142.15</v>
      </c>
      <c r="K145" s="187"/>
      <c r="L145" s="187"/>
      <c r="M145" s="216">
        <f>M44</f>
        <v>41.65</v>
      </c>
    </row>
    <row r="146" spans="1:64" hidden="1" x14ac:dyDescent="0.3">
      <c r="A146" s="290"/>
      <c r="B146" s="159" t="s">
        <v>524</v>
      </c>
      <c r="C146" s="159"/>
      <c r="D146" s="218">
        <f>(D143*D145+G143*G145+J143*J145+M143*M145)/3600</f>
        <v>0</v>
      </c>
      <c r="E146" s="159"/>
      <c r="F146" s="159"/>
      <c r="G146" s="159"/>
      <c r="H146" s="159"/>
      <c r="I146" s="159"/>
      <c r="J146" s="159"/>
      <c r="K146" s="159"/>
      <c r="L146" s="159"/>
      <c r="M146" s="161"/>
    </row>
    <row r="147" spans="1:64" hidden="1" x14ac:dyDescent="0.3"/>
    <row r="149" spans="1:64" x14ac:dyDescent="0.3">
      <c r="B149" s="2" t="s">
        <v>575</v>
      </c>
      <c r="C149" s="2" t="str">
        <f>IF(C33=0,D33&amp;"2",C33)</f>
        <v>02</v>
      </c>
      <c r="D149" s="2">
        <f>D33</f>
        <v>0</v>
      </c>
      <c r="E149" s="2" t="str">
        <f>E33&amp;"1"</f>
        <v>01</v>
      </c>
      <c r="F149" s="2">
        <f>IF(F33=0,G33&amp;"2",F33)</f>
        <v>8</v>
      </c>
      <c r="G149" s="2">
        <f>G33</f>
        <v>8</v>
      </c>
      <c r="H149" s="2" t="str">
        <f>H33&amp;"1"</f>
        <v>81</v>
      </c>
      <c r="I149" s="2" t="str">
        <f>IF(I33=0,J33&amp;"2",I33)</f>
        <v>22</v>
      </c>
      <c r="J149" s="2">
        <f>J33</f>
        <v>2</v>
      </c>
      <c r="K149" s="2" t="str">
        <f>K33&amp;"1"</f>
        <v>21</v>
      </c>
      <c r="L149" s="2">
        <f>IF(L33=0,M33&amp;"2",L33)</f>
        <v>1</v>
      </c>
      <c r="M149" s="2">
        <f>M33</f>
        <v>6</v>
      </c>
      <c r="N149" s="2" t="str">
        <f>N33&amp;"1"</f>
        <v>61</v>
      </c>
      <c r="BK149" s="2" t="s">
        <v>82</v>
      </c>
      <c r="BL149" s="2" t="s">
        <v>82</v>
      </c>
    </row>
    <row r="150" spans="1:64" x14ac:dyDescent="0.3">
      <c r="B150" s="2" t="s">
        <v>576</v>
      </c>
      <c r="C150" s="2">
        <f>IF(C33=0,D33,C33)</f>
        <v>0</v>
      </c>
      <c r="D150" s="2">
        <f>D33</f>
        <v>0</v>
      </c>
      <c r="E150" s="2">
        <f>E33</f>
        <v>0</v>
      </c>
      <c r="F150" s="2">
        <f>IF(F33=0,G33,F33)</f>
        <v>8</v>
      </c>
      <c r="G150" s="2">
        <f>G33</f>
        <v>8</v>
      </c>
      <c r="H150" s="2">
        <f>H33</f>
        <v>8</v>
      </c>
      <c r="I150" s="2">
        <f>IF(I33=0,J33,I33)</f>
        <v>2</v>
      </c>
      <c r="J150" s="2">
        <f>J33</f>
        <v>2</v>
      </c>
      <c r="K150" s="2">
        <f>K33</f>
        <v>2</v>
      </c>
      <c r="L150" s="2">
        <f>IF(L33=0,M33,L33)</f>
        <v>1</v>
      </c>
      <c r="M150" s="2">
        <f>M33</f>
        <v>6</v>
      </c>
      <c r="N150" s="2">
        <f>N33</f>
        <v>6</v>
      </c>
      <c r="BK150" s="2" t="s">
        <v>83</v>
      </c>
      <c r="BL150" s="2" t="s">
        <v>577</v>
      </c>
    </row>
    <row r="151" spans="1:64" x14ac:dyDescent="0.3">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3">
      <c r="B152" s="2" t="s">
        <v>580</v>
      </c>
      <c r="C152" s="2" t="str">
        <f>IFERROR(IF(C150=0,"",INDEX($BL$149:$BL$151,MATCH(C151,$BK$149:$BK$151,0))),"")</f>
        <v/>
      </c>
      <c r="D152" s="2" t="str">
        <f>IFERROR(IF(D150=0,"","Protected"),"")</f>
        <v/>
      </c>
      <c r="E152" s="2" t="str">
        <f>IFERROR(IF(E150=0,"","RTOR"),"")</f>
        <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3">
      <c r="B154" s="2" t="s">
        <v>581</v>
      </c>
    </row>
    <row r="155" spans="1:64" x14ac:dyDescent="0.3">
      <c r="B155" s="104" t="s">
        <v>582</v>
      </c>
      <c r="C155" s="2" t="str">
        <f>IF(C150=0,"",Sheet1!$B$2)</f>
        <v/>
      </c>
      <c r="D155" s="2" t="str">
        <f>IF(D150=0,"",Sheet1!$B$2)</f>
        <v/>
      </c>
      <c r="E155" s="2" t="str">
        <f>IF(E150=0,"",Sheet1!$B$2)</f>
        <v/>
      </c>
      <c r="F155" s="2" t="str">
        <f>IF(F150=0,"",Sheet1!$B$2)</f>
        <v>SR 95 &amp; 0</v>
      </c>
      <c r="G155" s="2" t="str">
        <f>IF(G150=0,"",Sheet1!$B$2)</f>
        <v>SR 95 &amp; 0</v>
      </c>
      <c r="H155" s="2" t="str">
        <f>IF(H150=0,"",Sheet1!$B$2)</f>
        <v>SR 95 &amp; 0</v>
      </c>
      <c r="I155" s="2" t="str">
        <f>IF(I150=0,"",Sheet1!$B$2)</f>
        <v>SR 95 &amp; 0</v>
      </c>
      <c r="J155" s="2" t="str">
        <f>IF(J150=0,"",Sheet1!$B$2)</f>
        <v>SR 95 &amp; 0</v>
      </c>
      <c r="K155" s="2" t="str">
        <f>IF(K150=0,"",Sheet1!$B$2)</f>
        <v>SR 95 &amp; 0</v>
      </c>
      <c r="L155" s="2" t="str">
        <f>IF(L150=0,"",Sheet1!$B$2)</f>
        <v>SR 95 &amp; 0</v>
      </c>
      <c r="M155" s="2" t="str">
        <f>IF(M150=0,"",Sheet1!$B$2)</f>
        <v>SR 95 &amp; 0</v>
      </c>
      <c r="N155" s="2" t="str">
        <f>IF(N150=0,"",Sheet1!$B$2)</f>
        <v>SR 95 &amp; 0</v>
      </c>
    </row>
    <row r="156" spans="1:64" x14ac:dyDescent="0.3">
      <c r="B156" s="104" t="s">
        <v>583</v>
      </c>
      <c r="C156" s="2" t="str">
        <f>IF(C150=0,"",C149)</f>
        <v/>
      </c>
      <c r="D156" s="2" t="str">
        <f t="shared" ref="D156:N156" si="27">IF(D150=0,"",D149)</f>
        <v/>
      </c>
      <c r="E156" s="2" t="str">
        <f t="shared" si="27"/>
        <v/>
      </c>
      <c r="F156" s="2">
        <f t="shared" si="27"/>
        <v>8</v>
      </c>
      <c r="G156" s="2">
        <f t="shared" si="27"/>
        <v>8</v>
      </c>
      <c r="H156" s="2" t="str">
        <f t="shared" si="27"/>
        <v>81</v>
      </c>
      <c r="I156" s="2" t="str">
        <f t="shared" si="27"/>
        <v>22</v>
      </c>
      <c r="J156" s="2">
        <f t="shared" si="27"/>
        <v>2</v>
      </c>
      <c r="K156" s="2" t="str">
        <f t="shared" si="27"/>
        <v>21</v>
      </c>
      <c r="L156" s="2">
        <f t="shared" si="27"/>
        <v>1</v>
      </c>
      <c r="M156" s="2">
        <f t="shared" si="27"/>
        <v>6</v>
      </c>
      <c r="N156" s="2" t="str">
        <f t="shared" si="27"/>
        <v>61</v>
      </c>
    </row>
    <row r="157" spans="1:64" x14ac:dyDescent="0.3">
      <c r="B157" s="104" t="s">
        <v>584</v>
      </c>
    </row>
    <row r="158" spans="1:64" x14ac:dyDescent="0.3">
      <c r="B158" s="104" t="s">
        <v>585</v>
      </c>
      <c r="C158" s="2" t="str">
        <f>IF(C150=0,"",C150)</f>
        <v/>
      </c>
      <c r="D158" s="2" t="str">
        <f t="shared" ref="D158:N158" si="28">IF(D150=0,"",D150)</f>
        <v/>
      </c>
      <c r="E158" s="2" t="str">
        <f t="shared" si="28"/>
        <v/>
      </c>
      <c r="F158" s="2">
        <f t="shared" si="28"/>
        <v>8</v>
      </c>
      <c r="G158" s="2">
        <f t="shared" si="28"/>
        <v>8</v>
      </c>
      <c r="H158" s="2">
        <f t="shared" si="28"/>
        <v>8</v>
      </c>
      <c r="I158" s="2">
        <f t="shared" si="28"/>
        <v>2</v>
      </c>
      <c r="J158" s="2">
        <f t="shared" si="28"/>
        <v>2</v>
      </c>
      <c r="K158" s="2">
        <f t="shared" si="28"/>
        <v>2</v>
      </c>
      <c r="L158" s="2">
        <f t="shared" si="28"/>
        <v>1</v>
      </c>
      <c r="M158" s="2">
        <f t="shared" si="28"/>
        <v>6</v>
      </c>
      <c r="N158" s="2">
        <f t="shared" si="28"/>
        <v>6</v>
      </c>
    </row>
    <row r="159" spans="1:64" x14ac:dyDescent="0.3">
      <c r="B159" s="104" t="s">
        <v>586</v>
      </c>
      <c r="C159" s="2" t="str">
        <f>C152</f>
        <v/>
      </c>
      <c r="D159" s="2" t="str">
        <f t="shared" ref="D159:N159" si="29">D152</f>
        <v/>
      </c>
      <c r="E159" s="2" t="str">
        <f t="shared" si="29"/>
        <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3">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4.4" x14ac:dyDescent="0.3"/>
  <cols>
    <col min="2" max="3" width="9.109375" style="2"/>
  </cols>
  <sheetData>
    <row r="3" spans="1:14" x14ac:dyDescent="0.3">
      <c r="D3" s="270" t="s">
        <v>116</v>
      </c>
      <c r="E3" s="270"/>
      <c r="F3" s="270"/>
      <c r="G3" s="270"/>
      <c r="H3" s="270"/>
      <c r="I3" s="270"/>
      <c r="J3" s="270"/>
      <c r="K3" s="270"/>
      <c r="L3" s="270" t="s">
        <v>117</v>
      </c>
      <c r="M3" s="270"/>
      <c r="N3" s="270"/>
    </row>
    <row r="4" spans="1:14" x14ac:dyDescent="0.3">
      <c r="D4" s="270" t="s">
        <v>118</v>
      </c>
      <c r="E4" s="270"/>
      <c r="F4" s="270"/>
      <c r="G4" s="270"/>
      <c r="H4" s="270"/>
      <c r="I4" s="270"/>
      <c r="J4" s="270"/>
      <c r="K4" s="270"/>
    </row>
    <row r="5" spans="1:14" ht="43.2" x14ac:dyDescent="0.3">
      <c r="B5" s="32" t="s">
        <v>119</v>
      </c>
      <c r="C5" s="136">
        <v>40</v>
      </c>
      <c r="D5" s="33">
        <v>50</v>
      </c>
      <c r="E5" s="33">
        <v>60</v>
      </c>
      <c r="F5" s="33">
        <v>70</v>
      </c>
      <c r="G5" s="33">
        <v>80</v>
      </c>
      <c r="H5" s="33">
        <v>90</v>
      </c>
      <c r="I5" s="33">
        <v>100</v>
      </c>
      <c r="J5" s="33">
        <v>110</v>
      </c>
      <c r="K5" s="33">
        <v>120</v>
      </c>
      <c r="L5" s="33">
        <v>130</v>
      </c>
      <c r="M5" s="33">
        <v>140</v>
      </c>
      <c r="N5" s="33">
        <v>150</v>
      </c>
    </row>
    <row r="6" spans="1:14" x14ac:dyDescent="0.3">
      <c r="B6" s="2" t="s">
        <v>120</v>
      </c>
      <c r="D6" s="270" t="s">
        <v>121</v>
      </c>
      <c r="E6" s="270"/>
      <c r="F6" s="270"/>
      <c r="G6" s="270"/>
      <c r="H6" s="270"/>
      <c r="I6" s="270"/>
      <c r="J6" s="270"/>
      <c r="K6" s="270"/>
    </row>
    <row r="7" spans="1:14" x14ac:dyDescent="0.3">
      <c r="A7" s="265" t="s">
        <v>133</v>
      </c>
      <c r="B7" s="34">
        <v>0</v>
      </c>
      <c r="C7" s="34">
        <v>5</v>
      </c>
      <c r="D7" s="34">
        <v>5</v>
      </c>
      <c r="E7" s="34">
        <v>5</v>
      </c>
      <c r="F7" s="34">
        <v>5</v>
      </c>
      <c r="G7" s="34">
        <v>5</v>
      </c>
      <c r="H7" s="34">
        <v>5</v>
      </c>
      <c r="I7" s="34">
        <v>5</v>
      </c>
      <c r="J7" s="34">
        <v>5</v>
      </c>
      <c r="K7" s="34">
        <v>5</v>
      </c>
      <c r="L7" s="34">
        <v>5</v>
      </c>
      <c r="M7" s="34">
        <v>5</v>
      </c>
      <c r="N7" s="34">
        <v>5</v>
      </c>
    </row>
    <row r="8" spans="1:14" x14ac:dyDescent="0.3">
      <c r="A8" s="265"/>
      <c r="B8" s="34">
        <v>50</v>
      </c>
      <c r="C8" s="34">
        <v>7</v>
      </c>
      <c r="D8" s="34">
        <v>7</v>
      </c>
      <c r="E8" s="34">
        <v>7</v>
      </c>
      <c r="F8" s="34">
        <v>7</v>
      </c>
      <c r="G8" s="34">
        <v>7</v>
      </c>
      <c r="H8" s="34">
        <v>7</v>
      </c>
      <c r="I8" s="34">
        <v>7</v>
      </c>
      <c r="J8" s="34">
        <v>7</v>
      </c>
      <c r="K8" s="34">
        <v>7</v>
      </c>
      <c r="L8" s="34">
        <v>7</v>
      </c>
      <c r="M8" s="34">
        <v>7</v>
      </c>
      <c r="N8" s="34">
        <v>7</v>
      </c>
    </row>
    <row r="9" spans="1:14" x14ac:dyDescent="0.3">
      <c r="B9" s="2">
        <v>100</v>
      </c>
      <c r="C9" s="2">
        <v>15</v>
      </c>
      <c r="D9" s="2">
        <v>15</v>
      </c>
      <c r="E9" s="2">
        <v>15</v>
      </c>
      <c r="F9" s="2">
        <v>15</v>
      </c>
      <c r="G9" s="2">
        <v>15</v>
      </c>
      <c r="H9" s="2">
        <v>15</v>
      </c>
      <c r="I9" s="2">
        <v>15</v>
      </c>
      <c r="J9" s="2">
        <v>15</v>
      </c>
      <c r="K9" s="2">
        <v>15</v>
      </c>
      <c r="L9" s="2">
        <v>15</v>
      </c>
      <c r="M9" s="2">
        <v>15</v>
      </c>
      <c r="N9" s="2">
        <v>15</v>
      </c>
    </row>
    <row r="10" spans="1:14" x14ac:dyDescent="0.3">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3">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3">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3">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3">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3">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3">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3">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4.4" x14ac:dyDescent="0.3"/>
  <sheetData>
    <row r="2" spans="2:4" x14ac:dyDescent="0.3">
      <c r="B2" s="43" t="s">
        <v>140</v>
      </c>
      <c r="C2" s="43" t="s">
        <v>141</v>
      </c>
      <c r="D2" s="43" t="s">
        <v>139</v>
      </c>
    </row>
    <row r="3" spans="2:4" x14ac:dyDescent="0.3">
      <c r="B3" s="2">
        <v>0</v>
      </c>
      <c r="C3" s="2">
        <v>10</v>
      </c>
      <c r="D3" s="43" t="s">
        <v>142</v>
      </c>
    </row>
    <row r="4" spans="2:4" x14ac:dyDescent="0.3">
      <c r="B4" s="2">
        <v>10.1</v>
      </c>
      <c r="C4" s="2">
        <v>20</v>
      </c>
      <c r="D4" s="43" t="s">
        <v>143</v>
      </c>
    </row>
    <row r="5" spans="2:4" x14ac:dyDescent="0.3">
      <c r="B5" s="2">
        <v>20.100000000000001</v>
      </c>
      <c r="C5" s="2">
        <v>35</v>
      </c>
      <c r="D5" s="43" t="s">
        <v>144</v>
      </c>
    </row>
    <row r="6" spans="2:4" x14ac:dyDescent="0.3">
      <c r="B6" s="2">
        <v>35.1</v>
      </c>
      <c r="C6" s="2">
        <v>55</v>
      </c>
      <c r="D6" s="43" t="s">
        <v>145</v>
      </c>
    </row>
    <row r="7" spans="2:4" x14ac:dyDescent="0.3">
      <c r="B7" s="2">
        <v>55.1</v>
      </c>
      <c r="C7" s="2">
        <v>80</v>
      </c>
      <c r="D7" s="43" t="s">
        <v>146</v>
      </c>
    </row>
    <row r="8" spans="2:4" x14ac:dyDescent="0.3">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09375" defaultRowHeight="14.4" x14ac:dyDescent="0.3"/>
  <cols>
    <col min="1" max="1" width="9.109375" style="2"/>
    <col min="2" max="2" width="18.33203125" style="2" bestFit="1" customWidth="1"/>
    <col min="3" max="11" width="9.109375" style="2"/>
    <col min="12" max="13" width="9.109375" style="2" customWidth="1"/>
    <col min="14" max="14" width="15.5546875" style="2" customWidth="1"/>
    <col min="15" max="28" width="9.109375" style="2" customWidth="1"/>
    <col min="29" max="31" width="9.109375" style="2"/>
    <col min="32" max="32" width="13" style="2" bestFit="1" customWidth="1"/>
    <col min="33" max="16384" width="9.109375" style="2"/>
  </cols>
  <sheetData>
    <row r="1" spans="2:22" x14ac:dyDescent="0.3">
      <c r="B1" s="2" t="s">
        <v>637</v>
      </c>
      <c r="D1" s="2">
        <v>111</v>
      </c>
      <c r="E1" s="2">
        <v>112</v>
      </c>
      <c r="F1" s="2">
        <v>212</v>
      </c>
      <c r="G1" s="2">
        <v>211</v>
      </c>
      <c r="H1" s="2">
        <v>121</v>
      </c>
      <c r="I1" s="2">
        <v>122</v>
      </c>
      <c r="J1" s="2">
        <v>221</v>
      </c>
      <c r="K1" s="2">
        <v>222</v>
      </c>
    </row>
    <row r="2" spans="2:22" x14ac:dyDescent="0.3">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3">
      <c r="B3" s="2" t="s">
        <v>277</v>
      </c>
      <c r="D3" s="2">
        <f>'Phase calculation'!C83</f>
        <v>9</v>
      </c>
      <c r="E3" s="2">
        <f>'Phase calculation'!D83</f>
        <v>27</v>
      </c>
      <c r="F3" s="2">
        <f>'Phase calculation'!E83</f>
        <v>0</v>
      </c>
      <c r="G3" s="2">
        <f>'Phase calculation'!F83</f>
        <v>0</v>
      </c>
      <c r="H3" s="2">
        <f>'Phase calculation'!C84</f>
        <v>0</v>
      </c>
      <c r="I3" s="2">
        <f>'Phase calculation'!D84</f>
        <v>36</v>
      </c>
      <c r="J3" s="2">
        <f>'Phase calculation'!E84</f>
        <v>0</v>
      </c>
      <c r="K3" s="2">
        <f>'Phase calculation'!F84</f>
        <v>34</v>
      </c>
      <c r="N3" s="2" t="s">
        <v>279</v>
      </c>
      <c r="P3" s="2">
        <f>IF('Summary sheet'!T15=0,0,MAX(30,12*'Summary sheet'!T15+12))</f>
        <v>0</v>
      </c>
      <c r="R3" s="2">
        <f>IF('Summary sheet'!Z15=0,0,MAX(30,12*'Summary sheet'!Z15+12))</f>
        <v>36</v>
      </c>
      <c r="T3" s="2">
        <f>IF('Summary sheet'!Y17=0,0,MAX(30,12*'Summary sheet'!Y17+12))</f>
        <v>72</v>
      </c>
      <c r="V3" s="2">
        <f>IF('Summary sheet'!Y4=0,0,MAX(30,12*'Summary sheet'!Y4+12))</f>
        <v>84</v>
      </c>
    </row>
    <row r="4" spans="2:22" x14ac:dyDescent="0.3">
      <c r="B4" s="2" t="s">
        <v>73</v>
      </c>
      <c r="D4" s="2" t="str">
        <f>'Phase designation'!K41</f>
        <v>SBL</v>
      </c>
      <c r="E4" s="2" t="str">
        <f>'Phase designation'!L41</f>
        <v>NBT</v>
      </c>
      <c r="F4" s="2" t="str">
        <f>'Phase designation'!M41</f>
        <v/>
      </c>
      <c r="G4" s="2" t="str">
        <f>'Phase designation'!N41</f>
        <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65</v>
      </c>
      <c r="V4" s="2">
        <f>MAX(Sheet1!I11:K11,Sheet1!AC11:AH11)</f>
        <v>65</v>
      </c>
    </row>
    <row r="5" spans="2:22" x14ac:dyDescent="0.3">
      <c r="B5" s="2" t="s">
        <v>42</v>
      </c>
      <c r="E5" s="2">
        <f>IF(E4="",0,INDEX($O$6:$V$6,1,E6))</f>
        <v>65</v>
      </c>
      <c r="G5" s="2">
        <f>IF(G4="",0,INDEX($O$6:$V$6,1,G6))</f>
        <v>0</v>
      </c>
      <c r="I5" s="2">
        <f>IF(I4="",0,INDEX($O$6:$V$6,1,I6))</f>
        <v>65</v>
      </c>
      <c r="K5" s="2">
        <f>IF(K4="",0,INDEX($O$6:$V$6,1,K6))</f>
        <v>25</v>
      </c>
      <c r="N5" s="147" t="s">
        <v>124</v>
      </c>
    </row>
    <row r="6" spans="2:22" x14ac:dyDescent="0.3">
      <c r="B6" s="2" t="s">
        <v>296</v>
      </c>
      <c r="D6" s="2">
        <f t="shared" ref="D6:K6" si="0">IF(D4="",0,MATCH(D4,$O$2:$V$2,0))</f>
        <v>7</v>
      </c>
      <c r="E6" s="2">
        <f t="shared" si="0"/>
        <v>6</v>
      </c>
      <c r="F6" s="2">
        <f t="shared" si="0"/>
        <v>0</v>
      </c>
      <c r="G6" s="2">
        <f t="shared" si="0"/>
        <v>0</v>
      </c>
      <c r="H6" s="2">
        <f t="shared" si="0"/>
        <v>0</v>
      </c>
      <c r="I6" s="2">
        <f t="shared" si="0"/>
        <v>8</v>
      </c>
      <c r="J6" s="2">
        <f t="shared" si="0"/>
        <v>0</v>
      </c>
      <c r="K6" s="2">
        <f t="shared" si="0"/>
        <v>4</v>
      </c>
      <c r="N6" s="2" t="s">
        <v>290</v>
      </c>
      <c r="P6" s="2">
        <f>IF(P4&lt;25,25,ROUNDDOWN(P4/5,0)*5)</f>
        <v>25</v>
      </c>
      <c r="R6" s="2">
        <f>IF(R4&lt;25,25,ROUNDDOWN(R4/5,0)*5)</f>
        <v>25</v>
      </c>
      <c r="T6" s="2">
        <f>IF(T4&lt;25,25,ROUNDDOWN(T4/5,0)*5)</f>
        <v>65</v>
      </c>
      <c r="V6" s="2">
        <f>IF(V4&lt;25,25,ROUNDDOWN(V4/5,0)*5)</f>
        <v>65</v>
      </c>
    </row>
    <row r="7" spans="2:22" x14ac:dyDescent="0.3">
      <c r="B7" s="2" t="s">
        <v>261</v>
      </c>
      <c r="D7" s="2">
        <f>IF(D6=0,0,INDEX($O$8:$V$8,1,D6))</f>
        <v>3</v>
      </c>
      <c r="E7" s="2">
        <f t="shared" ref="E7:K7" si="1">IF(E6=0,0,INDEX($O$8:$V$8,1,E6))</f>
        <v>5.4</v>
      </c>
      <c r="F7" s="2">
        <f t="shared" si="1"/>
        <v>0</v>
      </c>
      <c r="G7" s="2">
        <f t="shared" si="1"/>
        <v>0</v>
      </c>
      <c r="H7" s="2">
        <f t="shared" si="1"/>
        <v>0</v>
      </c>
      <c r="I7" s="2">
        <f t="shared" si="1"/>
        <v>5.4</v>
      </c>
      <c r="J7" s="2">
        <f t="shared" si="1"/>
        <v>0</v>
      </c>
      <c r="K7" s="2">
        <f t="shared" si="1"/>
        <v>3</v>
      </c>
      <c r="N7" s="2" t="s">
        <v>282</v>
      </c>
      <c r="P7" s="2">
        <f>IF(P6=0,0,MATCH(P6,'Y-AllRed'!$A:$A))</f>
        <v>4</v>
      </c>
      <c r="R7" s="2">
        <f>IF(R6=0,0,MATCH(R6,'Y-AllRed'!$A:$A))</f>
        <v>4</v>
      </c>
      <c r="T7" s="2">
        <f>IF(T6=0,0,MATCH(T6,'Y-AllRed'!$A:$A))</f>
        <v>11</v>
      </c>
      <c r="V7" s="2">
        <f>IF(V6=0,0,MATCH(V6,'Y-AllRed'!$A:$A))</f>
        <v>11</v>
      </c>
    </row>
    <row r="8" spans="2:22" x14ac:dyDescent="0.3">
      <c r="B8" s="2" t="s">
        <v>283</v>
      </c>
      <c r="D8" s="2">
        <f>IF(D6=0,0,INDEX($O$11:$V$11,1,D6))</f>
        <v>1</v>
      </c>
      <c r="E8" s="2">
        <f t="shared" ref="E8:K8" si="2">IF(E6=0,0,INDEX($O$11:$V$11,1,E6))</f>
        <v>1.2</v>
      </c>
      <c r="F8" s="2">
        <f t="shared" si="2"/>
        <v>0</v>
      </c>
      <c r="G8" s="2">
        <f t="shared" si="2"/>
        <v>0</v>
      </c>
      <c r="H8" s="2">
        <f t="shared" si="2"/>
        <v>0</v>
      </c>
      <c r="I8" s="2">
        <f t="shared" si="2"/>
        <v>1.2</v>
      </c>
      <c r="J8" s="2">
        <f t="shared" si="2"/>
        <v>0</v>
      </c>
      <c r="K8" s="2">
        <f t="shared" si="2"/>
        <v>1.9</v>
      </c>
      <c r="N8" s="3" t="s">
        <v>261</v>
      </c>
      <c r="O8" s="3">
        <f>IF('Phase calculation'!C34=0,P8,IF('Phase calculation'!C34&lt;11.9,3,P8))</f>
        <v>0</v>
      </c>
      <c r="P8" s="3">
        <f>IF(P3=0,0,INDEX('Y-AllRed'!$B:$B,Phasing!P7))</f>
        <v>0</v>
      </c>
      <c r="Q8" s="3">
        <f>IF('Phase calculation'!F34=0,R8,IF('Phase calculation'!F34&lt;11.9,3,R8))</f>
        <v>3</v>
      </c>
      <c r="R8" s="3">
        <f>IF(R3=0,0,INDEX('Y-AllRed'!$B:$B,Phasing!R7))</f>
        <v>3</v>
      </c>
      <c r="S8" s="3">
        <f>IF('Phase calculation'!I34=0,T8,IF('Phase calculation'!I34&lt;11.9,3,T8))</f>
        <v>5.4</v>
      </c>
      <c r="T8" s="3">
        <f>IF(T3=0,0,INDEX('Y-AllRed'!$B:$B,Phasing!T7))</f>
        <v>5.4</v>
      </c>
      <c r="U8" s="3">
        <f>IF('Phase calculation'!L34=0,V8,IF('Phase calculation'!L34&lt;11.9,3,V8))</f>
        <v>3</v>
      </c>
      <c r="V8" s="3">
        <f>IF(V3=0,0,INDEX('Y-AllRed'!$B:$B,Phasing!V7))</f>
        <v>5.4</v>
      </c>
    </row>
    <row r="9" spans="2:22" x14ac:dyDescent="0.3">
      <c r="B9" s="2" t="s">
        <v>264</v>
      </c>
      <c r="E9" s="2">
        <f>IF(E6=0,0,INDEX($O$22:$V$22,1,E6))</f>
        <v>5</v>
      </c>
      <c r="G9" s="2">
        <f>IF(G6=0,0,INDEX($O$22:$V$22,1,G6))</f>
        <v>0</v>
      </c>
      <c r="I9" s="2">
        <f>IF(I6=0,0,INDEX($O$22:$V$22,1,I6))</f>
        <v>5</v>
      </c>
      <c r="K9" s="2">
        <f>IF(K6=0,0,INDEX($O$22:$V$22,1,K6))</f>
        <v>5</v>
      </c>
      <c r="P9" s="2">
        <f>P7</f>
        <v>4</v>
      </c>
      <c r="R9" s="2">
        <f>R7</f>
        <v>4</v>
      </c>
      <c r="T9" s="2">
        <f>T7</f>
        <v>11</v>
      </c>
      <c r="V9" s="2">
        <f>V7</f>
        <v>11</v>
      </c>
    </row>
    <row r="10" spans="2:22" x14ac:dyDescent="0.3">
      <c r="B10" s="2" t="s">
        <v>284</v>
      </c>
      <c r="E10" s="2">
        <f>IF(E9=0,0,INDEX($O$19:$V$19,E6))</f>
        <v>10</v>
      </c>
      <c r="G10" s="2">
        <f>IF(G9=0,0,INDEX($O$19:$V$19,G6))</f>
        <v>0</v>
      </c>
      <c r="I10" s="2">
        <f>IF(I9=0,0,INDEX($O$19:$V$19,I6))</f>
        <v>0</v>
      </c>
      <c r="K10" s="2">
        <f>IF(K9=0,0,INDEX($O$19:$V$19,K6))</f>
        <v>24</v>
      </c>
      <c r="P10" s="2">
        <f>IF(P3=0,0,1+MATCH(P3,'Y-AllRed'!$3:$3))</f>
        <v>0</v>
      </c>
      <c r="R10" s="2">
        <f>IF(R3=0,0,1+MATCH(R3,'Y-AllRed'!$3:$3))</f>
        <v>4</v>
      </c>
      <c r="T10" s="2">
        <f>IF(T3=0,0,1+MATCH(T3,'Y-AllRed'!$3:$3))</f>
        <v>6</v>
      </c>
      <c r="V10" s="2">
        <f>IF(V3=0,0,1+MATCH(V3,'Y-AllRed'!$3:$3))</f>
        <v>6</v>
      </c>
    </row>
    <row r="11" spans="2:22" x14ac:dyDescent="0.3">
      <c r="B11" s="2" t="s">
        <v>285</v>
      </c>
      <c r="D11" s="2">
        <f>IF(D4="",0,5)</f>
        <v>5</v>
      </c>
      <c r="E11" s="2">
        <f>IF(E5&gt;40,15,10)</f>
        <v>15</v>
      </c>
      <c r="F11" s="2">
        <f>IF(F4="",0,5)</f>
        <v>0</v>
      </c>
      <c r="G11" s="2">
        <f>IF(G5&gt;40,15,10)</f>
        <v>10</v>
      </c>
      <c r="H11" s="2">
        <f>IF(H4="",0,5)</f>
        <v>0</v>
      </c>
      <c r="I11" s="2">
        <f>IF(I5&gt;40,15,10)</f>
        <v>15</v>
      </c>
      <c r="J11" s="2">
        <f>IF(J4="",0,5)</f>
        <v>0</v>
      </c>
      <c r="K11" s="2">
        <f>IF(K5&gt;40,15,10)</f>
        <v>10</v>
      </c>
      <c r="N11" s="31" t="s">
        <v>262</v>
      </c>
      <c r="O11" s="31">
        <f>IF('Phase calculation'!C34=0,P11,IF('Phase calculation'!C34&lt;11.9,'Phase calculation'!C34-O8-O12,P11))</f>
        <v>0</v>
      </c>
      <c r="P11" s="31">
        <f>INDEX('Y-AllRed'!1:1048576,Phasing!P9,Phasing!P10)</f>
        <v>0</v>
      </c>
      <c r="Q11" s="31">
        <f>IF('Phase calculation'!F34=0,R11,IF('Phase calculation'!F34&lt;11.9,'Phase calculation'!F34-Q8-Q12,R11))</f>
        <v>1.9</v>
      </c>
      <c r="R11" s="31">
        <f>INDEX('Y-AllRed'!1:1048576,Phasing!R9,Phasing!R10)</f>
        <v>1.9</v>
      </c>
      <c r="S11" s="31">
        <f>IF('Phase calculation'!I34=0,T11,IF('Phase calculation'!I34&lt;11.9,'Phase calculation'!I34-S8-S12,T11))</f>
        <v>1.2</v>
      </c>
      <c r="T11" s="31">
        <f>INDEX('Y-AllRed'!1:1048576,Phasing!T9,Phasing!T10)</f>
        <v>1.2</v>
      </c>
      <c r="U11" s="31">
        <f>IF('Phase calculation'!L34=0,V11,IF('Phase calculation'!L34&lt;11.9,'Phase calculation'!L34-U8-U12,V11))</f>
        <v>1</v>
      </c>
      <c r="V11" s="31">
        <f>INDEX('Y-AllRed'!1:1048576,Phasing!V9,Phasing!V10)</f>
        <v>1.2</v>
      </c>
    </row>
    <row r="12" spans="2:22" x14ac:dyDescent="0.3">
      <c r="B12" s="2" t="s">
        <v>286</v>
      </c>
      <c r="D12" s="2">
        <f>IF(D4="",0,ROUNDUP(INDEX($O$16:$V$16,D6),0))</f>
        <v>45</v>
      </c>
      <c r="E12" s="2">
        <f t="shared" ref="E12:K12" si="3">IF(E4="",0,ROUNDUP(INDEX($O$16:$V$16,E6),0))</f>
        <v>40</v>
      </c>
      <c r="F12" s="2">
        <f t="shared" si="3"/>
        <v>0</v>
      </c>
      <c r="G12" s="2">
        <f t="shared" si="3"/>
        <v>0</v>
      </c>
      <c r="H12" s="2">
        <f t="shared" si="3"/>
        <v>0</v>
      </c>
      <c r="I12" s="2">
        <f t="shared" si="3"/>
        <v>50</v>
      </c>
      <c r="J12" s="2">
        <f t="shared" si="3"/>
        <v>0</v>
      </c>
      <c r="K12" s="2">
        <f t="shared" si="3"/>
        <v>30</v>
      </c>
      <c r="N12" s="2" t="s">
        <v>255</v>
      </c>
      <c r="O12" s="2" t="str">
        <f>IFERROR(INDEX($D$11:$K$11,MATCH(O2,$D$4:$K$4,0)),"")</f>
        <v/>
      </c>
      <c r="P12" s="2" t="str">
        <f t="shared" ref="P12:V12" si="4">IFERROR(INDEX($D$11:$K$11,MATCH(P2,$D$4:$K$4,0)),"")</f>
        <v/>
      </c>
      <c r="Q12" s="2" t="str">
        <f t="shared" si="4"/>
        <v/>
      </c>
      <c r="R12" s="2">
        <f t="shared" si="4"/>
        <v>10</v>
      </c>
      <c r="S12" s="2" t="str">
        <f t="shared" si="4"/>
        <v/>
      </c>
      <c r="T12" s="2">
        <f t="shared" si="4"/>
        <v>15</v>
      </c>
      <c r="U12" s="2">
        <f t="shared" si="4"/>
        <v>5</v>
      </c>
      <c r="V12" s="2">
        <f t="shared" si="4"/>
        <v>15</v>
      </c>
    </row>
    <row r="13" spans="2:22" x14ac:dyDescent="0.3">
      <c r="B13" s="2" t="s">
        <v>567</v>
      </c>
      <c r="N13" s="2" t="s">
        <v>256</v>
      </c>
      <c r="O13" s="2">
        <v>1</v>
      </c>
      <c r="P13" s="2">
        <v>20</v>
      </c>
      <c r="Q13" s="2">
        <v>25</v>
      </c>
      <c r="R13" s="2">
        <v>30</v>
      </c>
      <c r="S13" s="2">
        <v>35</v>
      </c>
      <c r="T13" s="2">
        <v>40</v>
      </c>
      <c r="U13" s="2">
        <v>45</v>
      </c>
      <c r="V13" s="2">
        <v>50</v>
      </c>
    </row>
    <row r="14" spans="2:22" x14ac:dyDescent="0.3">
      <c r="B14" s="2" t="s">
        <v>258</v>
      </c>
      <c r="D14" s="2">
        <f>IF(D3=0,0,10)</f>
        <v>10</v>
      </c>
      <c r="E14" s="2">
        <f t="shared" ref="E14:K14" si="5">IF(E3=0,0,10)</f>
        <v>10</v>
      </c>
      <c r="F14" s="2">
        <f t="shared" si="5"/>
        <v>0</v>
      </c>
      <c r="G14" s="2">
        <f t="shared" si="5"/>
        <v>0</v>
      </c>
      <c r="H14" s="2">
        <f t="shared" si="5"/>
        <v>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3">
      <c r="B15" s="2" t="s">
        <v>259</v>
      </c>
      <c r="D15" s="2">
        <f>IF(D3=0,0,INDEX($O$14:$Z$14,1,O17))</f>
        <v>8</v>
      </c>
      <c r="E15" s="2">
        <f t="shared" ref="E15:K15" si="6">IF(E3=0,0,INDEX($O$14:$Z$14,1,P17))</f>
        <v>8</v>
      </c>
      <c r="F15" s="2">
        <f t="shared" si="6"/>
        <v>0</v>
      </c>
      <c r="G15" s="2">
        <f t="shared" si="6"/>
        <v>0</v>
      </c>
      <c r="H15" s="2">
        <f t="shared" si="6"/>
        <v>0</v>
      </c>
      <c r="I15" s="2">
        <f t="shared" si="6"/>
        <v>18</v>
      </c>
      <c r="J15" s="2">
        <f t="shared" si="6"/>
        <v>0</v>
      </c>
      <c r="K15" s="2">
        <f t="shared" si="6"/>
        <v>23</v>
      </c>
      <c r="O15" s="2">
        <v>1</v>
      </c>
      <c r="P15" s="2">
        <v>2</v>
      </c>
      <c r="Q15" s="2">
        <v>3</v>
      </c>
      <c r="R15" s="2">
        <v>4</v>
      </c>
      <c r="S15" s="2">
        <v>5</v>
      </c>
      <c r="T15" s="2">
        <v>6</v>
      </c>
      <c r="U15" s="2">
        <v>7</v>
      </c>
      <c r="V15" s="2">
        <v>8</v>
      </c>
    </row>
    <row r="16" spans="2:22" x14ac:dyDescent="0.3">
      <c r="B16" s="2" t="s">
        <v>287</v>
      </c>
      <c r="D16" s="2" t="e">
        <f>IF(D4="",0,INDEX($O$28:$V$28,D6))</f>
        <v>#N/A</v>
      </c>
      <c r="E16" s="2" t="e">
        <f t="shared" ref="E16:K16" si="7">IF(E4="",0,INDEX($O$28:$V$28,E6))</f>
        <v>#N/A</v>
      </c>
      <c r="F16" s="2">
        <f t="shared" si="7"/>
        <v>0</v>
      </c>
      <c r="G16" s="2">
        <f t="shared" si="7"/>
        <v>0</v>
      </c>
      <c r="H16" s="2">
        <f t="shared" si="7"/>
        <v>0</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3">
      <c r="B17" s="2" t="s">
        <v>257</v>
      </c>
      <c r="D17" s="2" t="e">
        <f>IF(D4="",0,INDEX($O$27:$V$27,D6))</f>
        <v>#N/A</v>
      </c>
      <c r="E17" s="2" t="e">
        <f t="shared" ref="E17:K17" si="8">IF(E4="",0,INDEX($O$27:$V$27,E6))</f>
        <v>#N/A</v>
      </c>
      <c r="F17" s="2">
        <f t="shared" si="8"/>
        <v>0</v>
      </c>
      <c r="G17" s="2">
        <f t="shared" si="8"/>
        <v>0</v>
      </c>
      <c r="H17" s="2">
        <f t="shared" si="8"/>
        <v>0</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3">
      <c r="B18" s="2" t="s">
        <v>267</v>
      </c>
      <c r="D18" s="2">
        <f>IF(D4="",0,9)</f>
        <v>9</v>
      </c>
      <c r="E18" s="2">
        <f>IF(E9=0,ROUNDUP(E11+E7+E8,0),ROUNDUP(E9+E10+E7+E8,0))</f>
        <v>22</v>
      </c>
      <c r="F18" s="2">
        <f>IF(F4="",0,9)</f>
        <v>0</v>
      </c>
      <c r="G18" s="2">
        <f>IF(G9=0,ROUNDUP(G11+G7+G8,0),ROUNDUP(G9+G10+G7+G8,0))</f>
        <v>10</v>
      </c>
      <c r="H18" s="2">
        <f>IF(H4="",0,9)</f>
        <v>0</v>
      </c>
      <c r="I18" s="2">
        <f>IF(I9=0,ROUNDUP(I11+I7+I8,0),ROUNDUP(I9+I10+I7+I8,0))</f>
        <v>12</v>
      </c>
      <c r="J18" s="2">
        <f>IF(J4="",0,9)</f>
        <v>0</v>
      </c>
      <c r="K18" s="2">
        <f>IF(K9=0,ROUNDUP(K11+K7+K8,0),ROUNDUP(K9+K10+K7+K8,0))</f>
        <v>34</v>
      </c>
      <c r="P18" s="2">
        <f>IF(E4="",0,MATCH(E4,$O$2:$V$2,0))</f>
        <v>6</v>
      </c>
      <c r="R18" s="2">
        <f>IF(G4="",0,MATCH(G4,$O$2:$V$2,0))</f>
        <v>0</v>
      </c>
      <c r="T18" s="2">
        <f>IF(I4="",0,MATCH(I4,$O$2:$V$2,0))</f>
        <v>8</v>
      </c>
      <c r="V18" s="2">
        <f>IF(K4="",0,MATCH(K4,$O$2:$V$2,0))</f>
        <v>4</v>
      </c>
    </row>
    <row r="19" spans="1:32" x14ac:dyDescent="0.3">
      <c r="B19" s="2" t="s">
        <v>270</v>
      </c>
      <c r="D19" s="2">
        <v>0</v>
      </c>
      <c r="E19" s="2">
        <f>IF(D3=0,0,D20)</f>
        <v>9</v>
      </c>
      <c r="F19" s="2">
        <f>E20</f>
        <v>36</v>
      </c>
      <c r="G19" s="2">
        <f>F20</f>
        <v>36</v>
      </c>
      <c r="H19" s="2">
        <v>0</v>
      </c>
      <c r="I19" s="2">
        <f>IF(H3=0,0,H20)</f>
        <v>0</v>
      </c>
      <c r="J19" s="2">
        <f>I20</f>
        <v>36</v>
      </c>
      <c r="K19" s="2">
        <f>J20</f>
        <v>36</v>
      </c>
      <c r="N19" s="258" t="s">
        <v>265</v>
      </c>
      <c r="P19" s="2">
        <f>ROUND(T3/'Input sheet'!$V$10,0)</f>
        <v>21</v>
      </c>
      <c r="R19" s="2">
        <f>ROUND(V3/'Input sheet'!$V$10,0)</f>
        <v>24</v>
      </c>
      <c r="T19" s="2">
        <f>ROUND(R3/'Input sheet'!$V$10,0)</f>
        <v>10</v>
      </c>
      <c r="V19" s="2">
        <f>ROUND(P3/'Input sheet'!$V$10,0)</f>
        <v>0</v>
      </c>
    </row>
    <row r="20" spans="1:32" x14ac:dyDescent="0.3">
      <c r="B20" s="2" t="s">
        <v>271</v>
      </c>
      <c r="D20" s="2">
        <f t="shared" ref="D20:K20" si="10">D19+D3</f>
        <v>9</v>
      </c>
      <c r="E20" s="2">
        <f t="shared" si="10"/>
        <v>36</v>
      </c>
      <c r="F20" s="2">
        <f t="shared" si="10"/>
        <v>36</v>
      </c>
      <c r="G20" s="2">
        <f t="shared" si="10"/>
        <v>36</v>
      </c>
      <c r="H20" s="2">
        <f t="shared" si="10"/>
        <v>0</v>
      </c>
      <c r="I20" s="2">
        <f t="shared" si="10"/>
        <v>36</v>
      </c>
      <c r="J20" s="2">
        <f t="shared" si="10"/>
        <v>36</v>
      </c>
      <c r="K20" s="2">
        <f t="shared" si="10"/>
        <v>70</v>
      </c>
      <c r="P20" s="2">
        <v>4</v>
      </c>
      <c r="R20" s="2">
        <v>4</v>
      </c>
      <c r="T20" s="2">
        <v>4</v>
      </c>
      <c r="V20" s="2">
        <v>4</v>
      </c>
    </row>
    <row r="21" spans="1:32" x14ac:dyDescent="0.3">
      <c r="B21" s="2" t="s">
        <v>272</v>
      </c>
      <c r="D21" s="2">
        <f>ROUND(IF(D3=0,0,D20-D7-D8),0)</f>
        <v>5</v>
      </c>
      <c r="E21" s="2">
        <f t="shared" ref="E21:K21" si="11">ROUND(IF(E3=0,0,E20-E7-E8),0)</f>
        <v>29</v>
      </c>
      <c r="F21" s="2">
        <f t="shared" si="11"/>
        <v>0</v>
      </c>
      <c r="G21" s="2">
        <f t="shared" si="11"/>
        <v>0</v>
      </c>
      <c r="H21" s="2">
        <f t="shared" si="11"/>
        <v>0</v>
      </c>
      <c r="I21" s="2">
        <f t="shared" si="11"/>
        <v>29</v>
      </c>
      <c r="J21" s="2">
        <f t="shared" si="11"/>
        <v>0</v>
      </c>
      <c r="K21" s="2">
        <f t="shared" si="11"/>
        <v>65</v>
      </c>
      <c r="N21" s="2" t="s">
        <v>288</v>
      </c>
      <c r="P21" s="2">
        <f>IF(E9=0,0,MIN(ROUNDDOWN(E3-E7-E8-E9,0),ROUNDUP(E9+P19+E7+E8,0)))</f>
        <v>15</v>
      </c>
      <c r="R21" s="2">
        <f>IF(G9=0,0,MIN(ROUNDDOWN(G3-G7-G8-G9,0),ROUNDUP(G9+R19+G7+G8,0)))</f>
        <v>0</v>
      </c>
      <c r="T21" s="2">
        <f>IF(I9=0,0,MIN(ROUNDDOWN(I3-I7-I8-I9,0),ROUNDUP(I9+T19+I7+I8,0)))</f>
        <v>22</v>
      </c>
      <c r="V21" s="2">
        <f>IF(K9=0,0,MIN(ROUNDDOWN(K3-K7-K8-K9,0),ROUNDUP(K9+V19+K7+K8,0)))</f>
        <v>10</v>
      </c>
    </row>
    <row r="22" spans="1:32" x14ac:dyDescent="0.3">
      <c r="B22" s="2" t="s">
        <v>273</v>
      </c>
      <c r="D22" s="2">
        <f>D21</f>
        <v>5</v>
      </c>
      <c r="E22" s="2">
        <f t="shared" ref="E22:K22" si="12">E21</f>
        <v>29</v>
      </c>
      <c r="F22" s="2">
        <f t="shared" si="12"/>
        <v>0</v>
      </c>
      <c r="G22" s="2">
        <f t="shared" si="12"/>
        <v>0</v>
      </c>
      <c r="H22" s="2">
        <f t="shared" si="12"/>
        <v>0</v>
      </c>
      <c r="I22" s="2">
        <f t="shared" si="12"/>
        <v>29</v>
      </c>
      <c r="J22" s="2">
        <f t="shared" si="12"/>
        <v>0</v>
      </c>
      <c r="K22" s="2">
        <f t="shared" si="12"/>
        <v>65</v>
      </c>
      <c r="N22" s="186" t="s">
        <v>264</v>
      </c>
      <c r="P22" s="2">
        <f>IF('Input sheet'!T2=1,5,0)</f>
        <v>5</v>
      </c>
      <c r="R22" s="2">
        <f>IF('Input sheet'!V2=1,5,0)</f>
        <v>5</v>
      </c>
      <c r="T22" s="2">
        <f>IF('Input sheet'!U2=1,5,0)</f>
        <v>5</v>
      </c>
      <c r="V22" s="2">
        <f>IF('Input sheet'!W2=1,5,0)</f>
        <v>5</v>
      </c>
    </row>
    <row r="23" spans="1:32" x14ac:dyDescent="0.3">
      <c r="B23" s="2" t="s">
        <v>274</v>
      </c>
      <c r="D23" s="2">
        <f>D19</f>
        <v>0</v>
      </c>
      <c r="E23" s="2">
        <f t="shared" ref="E23:K23" si="13">E19</f>
        <v>9</v>
      </c>
      <c r="F23" s="2">
        <f t="shared" si="13"/>
        <v>36</v>
      </c>
      <c r="G23" s="2">
        <f t="shared" si="13"/>
        <v>36</v>
      </c>
      <c r="H23" s="2">
        <f t="shared" si="13"/>
        <v>0</v>
      </c>
      <c r="I23" s="2">
        <f t="shared" si="13"/>
        <v>0</v>
      </c>
      <c r="J23" s="2">
        <f t="shared" si="13"/>
        <v>36</v>
      </c>
      <c r="K23" s="2">
        <f t="shared" si="13"/>
        <v>36</v>
      </c>
      <c r="N23" s="2" t="s">
        <v>304</v>
      </c>
      <c r="P23" s="2">
        <f>IF(P6&lt;=25,3,3.5)</f>
        <v>3</v>
      </c>
      <c r="R23" s="2">
        <f>IF(R6&lt;=25,3,3.5)</f>
        <v>3</v>
      </c>
      <c r="T23" s="2">
        <f>IF(T6&lt;=25,3,3.5)</f>
        <v>3.5</v>
      </c>
      <c r="V23" s="2">
        <f>IF(V6&lt;=25,3,3.5)</f>
        <v>3.5</v>
      </c>
    </row>
    <row r="24" spans="1:32" x14ac:dyDescent="0.3">
      <c r="B24" s="2" t="s">
        <v>275</v>
      </c>
      <c r="D24" s="2">
        <f>D21</f>
        <v>5</v>
      </c>
      <c r="E24" s="2">
        <f t="shared" ref="E24:K24" si="14">E21</f>
        <v>29</v>
      </c>
      <c r="F24" s="2">
        <f t="shared" si="14"/>
        <v>0</v>
      </c>
      <c r="G24" s="2">
        <f t="shared" si="14"/>
        <v>0</v>
      </c>
      <c r="H24" s="2">
        <f t="shared" si="14"/>
        <v>0</v>
      </c>
      <c r="I24" s="2">
        <f t="shared" si="14"/>
        <v>29</v>
      </c>
      <c r="J24" s="2">
        <f t="shared" si="14"/>
        <v>0</v>
      </c>
      <c r="K24" s="2">
        <f t="shared" si="14"/>
        <v>65</v>
      </c>
      <c r="N24" s="2" t="s">
        <v>294</v>
      </c>
      <c r="P24" s="2">
        <f>VLOOKUP(P6,DetZone!$G$4:$H$10,2,FALSE)</f>
        <v>60</v>
      </c>
      <c r="R24" s="2">
        <f>VLOOKUP(R6,DetZone!$G$4:$H$10,2,FALSE)</f>
        <v>60</v>
      </c>
      <c r="T24" s="2" t="e">
        <f>VLOOKUP(T6,DetZone!$G$4:$H$10,2,FALSE)</f>
        <v>#N/A</v>
      </c>
      <c r="V24" s="2" t="e">
        <f>VLOOKUP(V6,DetZone!$G$4:$H$10,2,FALSE)</f>
        <v>#N/A</v>
      </c>
    </row>
    <row r="25" spans="1:32" x14ac:dyDescent="0.3">
      <c r="B25" s="2" t="s">
        <v>276</v>
      </c>
      <c r="D25" s="2">
        <f>D24</f>
        <v>5</v>
      </c>
      <c r="E25" s="2">
        <f t="shared" ref="E25:K25" si="15">E24</f>
        <v>29</v>
      </c>
      <c r="F25" s="2">
        <f t="shared" si="15"/>
        <v>0</v>
      </c>
      <c r="G25" s="2">
        <f t="shared" si="15"/>
        <v>0</v>
      </c>
      <c r="H25" s="2">
        <f t="shared" si="15"/>
        <v>0</v>
      </c>
      <c r="I25" s="2">
        <f t="shared" si="15"/>
        <v>29</v>
      </c>
      <c r="J25" s="2">
        <f t="shared" si="15"/>
        <v>0</v>
      </c>
      <c r="K25" s="2">
        <f t="shared" si="15"/>
        <v>65</v>
      </c>
      <c r="N25" s="2" t="s">
        <v>311</v>
      </c>
      <c r="P25" s="2">
        <f>MATCH(P24,DetZone!$B$18:$B$22,0)</f>
        <v>2</v>
      </c>
      <c r="R25" s="2">
        <f>MATCH(R24,DetZone!$B$18:$B$22,0)</f>
        <v>2</v>
      </c>
      <c r="T25" s="2" t="e">
        <f>MATCH(T24,DetZone!$B$18:$B$22,0)</f>
        <v>#N/A</v>
      </c>
      <c r="V25" s="2" t="e">
        <f>MATCH(V24,DetZone!$B$18:$B$22,0)</f>
        <v>#N/A</v>
      </c>
    </row>
    <row r="26" spans="1:32" x14ac:dyDescent="0.3">
      <c r="G26" s="34" t="s">
        <v>298</v>
      </c>
      <c r="K26" s="34" t="s">
        <v>299</v>
      </c>
      <c r="L26" s="39" t="s">
        <v>297</v>
      </c>
      <c r="N26" s="2" t="s">
        <v>312</v>
      </c>
      <c r="P26" s="2">
        <f>MATCH(P6,DetZone!$C$17:$I$17,0)</f>
        <v>1</v>
      </c>
      <c r="R26" s="2">
        <f>MATCH(R6,DetZone!$C$17:$I$17,0)</f>
        <v>1</v>
      </c>
      <c r="T26" s="2" t="e">
        <f>MATCH(T6,DetZone!$C$17:$I$17,0)</f>
        <v>#N/A</v>
      </c>
      <c r="V26" s="2" t="e">
        <f>MATCH(V6,DetZone!$C$17:$I$17,0)</f>
        <v>#N/A</v>
      </c>
    </row>
    <row r="27" spans="1:32" x14ac:dyDescent="0.3">
      <c r="G27" s="34">
        <f>MAX(D43+E43,H43+I43)</f>
        <v>31</v>
      </c>
      <c r="K27" s="34">
        <f>MAX(F43+G43,J43+K43)</f>
        <v>34</v>
      </c>
      <c r="L27" s="39">
        <f>G27+K27</f>
        <v>65</v>
      </c>
      <c r="N27" s="56" t="s">
        <v>257</v>
      </c>
      <c r="O27" s="56">
        <f>P27</f>
        <v>1.5</v>
      </c>
      <c r="P27" s="56">
        <f>INDEX(DetZone!$C$18:$I$22,Phasing!P25,Phasing!P26)</f>
        <v>1.5</v>
      </c>
      <c r="Q27" s="56">
        <f>R27</f>
        <v>1.5</v>
      </c>
      <c r="R27" s="56">
        <f>INDEX(DetZone!$C$18:$I$22,Phasing!R25,Phasing!R26)</f>
        <v>1.5</v>
      </c>
      <c r="S27" s="56" t="e">
        <f>T27</f>
        <v>#N/A</v>
      </c>
      <c r="T27" s="56" t="e">
        <f>INDEX(DetZone!$C$18:$I$22,Phasing!T25,Phasing!T26)</f>
        <v>#N/A</v>
      </c>
      <c r="U27" s="56" t="e">
        <f>V27</f>
        <v>#N/A</v>
      </c>
      <c r="V27" s="56" t="e">
        <f>INDEX(DetZone!$C$18:$I$22,Phasing!V25,Phasing!V26)</f>
        <v>#N/A</v>
      </c>
    </row>
    <row r="28" spans="1:32" x14ac:dyDescent="0.3">
      <c r="A28" s="281" t="s">
        <v>204</v>
      </c>
      <c r="B28" s="281"/>
      <c r="C28" s="281"/>
      <c r="N28" s="110" t="s">
        <v>314</v>
      </c>
      <c r="O28" s="110">
        <f>P28</f>
        <v>0</v>
      </c>
      <c r="P28" s="110">
        <f>INDEX(DetZone!$C$27:$I$31,Phasing!P25,Phasing!P26)</f>
        <v>0</v>
      </c>
      <c r="Q28" s="110">
        <f>R28</f>
        <v>0</v>
      </c>
      <c r="R28" s="110">
        <f>INDEX(DetZone!$C$27:$I$31,Phasing!R25,Phasing!R26)</f>
        <v>0</v>
      </c>
      <c r="S28" s="110" t="e">
        <f>T28</f>
        <v>#N/A</v>
      </c>
      <c r="T28" s="110" t="e">
        <f>INDEX(DetZone!$C$27:$I$31,Phasing!T25,Phasing!T26)</f>
        <v>#N/A</v>
      </c>
      <c r="U28" s="110" t="e">
        <f>V28</f>
        <v>#N/A</v>
      </c>
      <c r="V28" s="110" t="e">
        <f>INDEX(DetZone!$C$27:$I$31,Phasing!V25,Phasing!V26)</f>
        <v>#N/A</v>
      </c>
    </row>
    <row r="29" spans="1:32" x14ac:dyDescent="0.3">
      <c r="B29" s="123" t="s">
        <v>0</v>
      </c>
      <c r="C29" s="123" t="s">
        <v>1</v>
      </c>
      <c r="D29" s="123" t="s">
        <v>246</v>
      </c>
      <c r="E29" s="123" t="s">
        <v>247</v>
      </c>
      <c r="F29" s="123" t="s">
        <v>248</v>
      </c>
      <c r="G29" s="123" t="s">
        <v>249</v>
      </c>
      <c r="H29" s="123" t="s">
        <v>250</v>
      </c>
      <c r="I29" s="123" t="s">
        <v>251</v>
      </c>
      <c r="J29" s="123" t="s">
        <v>252</v>
      </c>
      <c r="K29" s="123" t="s">
        <v>253</v>
      </c>
    </row>
    <row r="30" spans="1:32" x14ac:dyDescent="0.3">
      <c r="B30" s="2" t="s">
        <v>254</v>
      </c>
      <c r="C30" s="2" t="str">
        <f>Sheet1!B2</f>
        <v>SR 95 &amp; 0</v>
      </c>
      <c r="D30" s="2">
        <f>IF(D3=0,0,D1)</f>
        <v>111</v>
      </c>
      <c r="E30" s="2">
        <f t="shared" ref="E30:K30" si="16">IF(E3=0,0,E1)</f>
        <v>112</v>
      </c>
      <c r="F30" s="2">
        <f t="shared" si="16"/>
        <v>0</v>
      </c>
      <c r="G30" s="2">
        <f t="shared" si="16"/>
        <v>0</v>
      </c>
      <c r="H30" s="2">
        <f t="shared" si="16"/>
        <v>0</v>
      </c>
      <c r="I30" s="2">
        <f t="shared" si="16"/>
        <v>122</v>
      </c>
      <c r="J30" s="2">
        <f t="shared" si="16"/>
        <v>0</v>
      </c>
      <c r="K30" s="2">
        <f t="shared" si="16"/>
        <v>222</v>
      </c>
      <c r="N30" s="34"/>
      <c r="O30" s="34"/>
      <c r="P30" s="34"/>
      <c r="Q30" s="34"/>
      <c r="R30" s="34"/>
      <c r="S30" s="34"/>
      <c r="T30" s="34"/>
      <c r="U30" s="34"/>
      <c r="V30" s="34"/>
    </row>
    <row r="31" spans="1:32" x14ac:dyDescent="0.3">
      <c r="B31" s="123" t="s">
        <v>255</v>
      </c>
      <c r="C31" s="123" t="str">
        <f>C30</f>
        <v>SR 95 &amp; 0</v>
      </c>
      <c r="D31" s="123">
        <f>IF(D4="",0,D11)</f>
        <v>5</v>
      </c>
      <c r="E31" s="123">
        <f t="shared" ref="E31:K31" si="17">IF(E4="",0,E11)</f>
        <v>15</v>
      </c>
      <c r="F31" s="123">
        <f t="shared" si="17"/>
        <v>0</v>
      </c>
      <c r="G31" s="123">
        <f t="shared" si="17"/>
        <v>0</v>
      </c>
      <c r="H31" s="123">
        <f t="shared" si="17"/>
        <v>0</v>
      </c>
      <c r="I31" s="123">
        <f t="shared" si="17"/>
        <v>15</v>
      </c>
      <c r="J31" s="123">
        <f t="shared" si="17"/>
        <v>0</v>
      </c>
      <c r="K31" s="123">
        <f t="shared" si="17"/>
        <v>10</v>
      </c>
      <c r="W31" s="270" t="s">
        <v>456</v>
      </c>
      <c r="X31" s="270"/>
      <c r="Y31" s="270"/>
      <c r="Z31" s="270"/>
      <c r="AA31" s="270"/>
      <c r="AB31" s="270"/>
      <c r="AC31" s="270"/>
      <c r="AD31" s="270"/>
      <c r="AE31" s="270"/>
      <c r="AF31" s="270"/>
    </row>
    <row r="32" spans="1:32" x14ac:dyDescent="0.3">
      <c r="B32" s="2" t="s">
        <v>256</v>
      </c>
      <c r="C32" s="2" t="str">
        <f t="shared" ref="C32:C52" si="18">C31</f>
        <v>SR 95 &amp; 0</v>
      </c>
      <c r="D32" s="2">
        <f>D12</f>
        <v>45</v>
      </c>
      <c r="E32" s="2">
        <f t="shared" ref="E32:K32" si="19">E12</f>
        <v>40</v>
      </c>
      <c r="F32" s="2">
        <f t="shared" si="19"/>
        <v>0</v>
      </c>
      <c r="G32" s="2">
        <f t="shared" si="19"/>
        <v>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3">
      <c r="B33" s="123" t="s">
        <v>257</v>
      </c>
      <c r="C33" s="123" t="str">
        <f t="shared" si="18"/>
        <v>SR 95 &amp; 0</v>
      </c>
      <c r="D33" s="123" t="e">
        <f>IF(D4="",0,D17)</f>
        <v>#N/A</v>
      </c>
      <c r="E33" s="123" t="e">
        <f t="shared" ref="E33:K33" si="20">IF(E4="",0,E17)</f>
        <v>#N/A</v>
      </c>
      <c r="F33" s="123">
        <f t="shared" si="20"/>
        <v>0</v>
      </c>
      <c r="G33" s="123">
        <f t="shared" si="20"/>
        <v>0</v>
      </c>
      <c r="H33" s="123">
        <f t="shared" si="20"/>
        <v>0</v>
      </c>
      <c r="I33" s="123" t="e">
        <f t="shared" si="20"/>
        <v>#N/A</v>
      </c>
      <c r="J33" s="123">
        <f t="shared" si="20"/>
        <v>0</v>
      </c>
      <c r="K33" s="123">
        <f t="shared" si="20"/>
        <v>1.5</v>
      </c>
      <c r="W33" s="2">
        <v>8</v>
      </c>
      <c r="X33" s="38">
        <f>K58</f>
        <v>29.1</v>
      </c>
      <c r="Y33" s="3">
        <f>K56</f>
        <v>3</v>
      </c>
      <c r="Z33" s="31">
        <f>K59</f>
        <v>37.9</v>
      </c>
      <c r="AA33" s="34">
        <f>K57</f>
        <v>1.9</v>
      </c>
      <c r="AB33" s="2">
        <v>8</v>
      </c>
      <c r="AC33" s="2">
        <f>K62</f>
        <v>36.000000000000007</v>
      </c>
      <c r="AD33" s="2">
        <f>X33</f>
        <v>29.1</v>
      </c>
      <c r="AE33" s="2">
        <f>Y33</f>
        <v>3</v>
      </c>
      <c r="AF33" s="187">
        <f>$C$62-AE33-AD33-AC33</f>
        <v>1.8999999999999915</v>
      </c>
    </row>
    <row r="34" spans="2:32" x14ac:dyDescent="0.3">
      <c r="B34" s="2" t="s">
        <v>258</v>
      </c>
      <c r="C34" s="2" t="str">
        <f t="shared" si="18"/>
        <v>SR 95 &amp; 0</v>
      </c>
      <c r="D34" s="2">
        <f>D14</f>
        <v>10</v>
      </c>
      <c r="E34" s="2">
        <f t="shared" ref="E34:K35" si="21">E14</f>
        <v>10</v>
      </c>
      <c r="F34" s="2">
        <f t="shared" si="21"/>
        <v>0</v>
      </c>
      <c r="G34" s="2">
        <f t="shared" si="21"/>
        <v>0</v>
      </c>
      <c r="H34" s="2">
        <f t="shared" si="21"/>
        <v>0</v>
      </c>
      <c r="I34" s="2">
        <f t="shared" si="21"/>
        <v>10</v>
      </c>
      <c r="J34" s="2">
        <f t="shared" si="21"/>
        <v>0</v>
      </c>
      <c r="K34" s="2">
        <f t="shared" si="21"/>
        <v>10</v>
      </c>
      <c r="W34" s="2">
        <v>7</v>
      </c>
      <c r="X34" s="38">
        <f>J58</f>
        <v>0</v>
      </c>
      <c r="Y34" s="3">
        <f>J56</f>
        <v>0</v>
      </c>
      <c r="Z34" s="31">
        <f>J59</f>
        <v>70</v>
      </c>
      <c r="AA34" s="34">
        <f>J57</f>
        <v>0</v>
      </c>
      <c r="AB34" s="2">
        <v>7</v>
      </c>
      <c r="AC34" s="2">
        <f>J62</f>
        <v>36.000000000000007</v>
      </c>
      <c r="AD34" s="2">
        <f t="shared" ref="AD34:AD40" si="22">X34</f>
        <v>0</v>
      </c>
      <c r="AE34" s="2">
        <f t="shared" ref="AE34:AE40" si="23">Y34</f>
        <v>0</v>
      </c>
      <c r="AF34" s="187">
        <f t="shared" ref="AF34:AF40" si="24">$C$62-AE34-AD34-AC34</f>
        <v>33.999999999999993</v>
      </c>
    </row>
    <row r="35" spans="2:32" x14ac:dyDescent="0.3">
      <c r="B35" s="123" t="s">
        <v>259</v>
      </c>
      <c r="C35" s="123" t="str">
        <f t="shared" si="18"/>
        <v>SR 95 &amp; 0</v>
      </c>
      <c r="D35" s="123">
        <f>D15</f>
        <v>8</v>
      </c>
      <c r="E35" s="123">
        <f t="shared" si="21"/>
        <v>8</v>
      </c>
      <c r="F35" s="123">
        <f t="shared" si="21"/>
        <v>0</v>
      </c>
      <c r="G35" s="123">
        <f t="shared" si="21"/>
        <v>0</v>
      </c>
      <c r="H35" s="123">
        <f t="shared" si="21"/>
        <v>0</v>
      </c>
      <c r="I35" s="123">
        <f t="shared" si="21"/>
        <v>18</v>
      </c>
      <c r="J35" s="123">
        <f t="shared" si="21"/>
        <v>0</v>
      </c>
      <c r="K35" s="123">
        <f t="shared" si="21"/>
        <v>23</v>
      </c>
      <c r="W35" s="2">
        <v>6</v>
      </c>
      <c r="X35" s="38">
        <f>I58</f>
        <v>29.400000000000002</v>
      </c>
      <c r="Y35" s="3">
        <f>I56</f>
        <v>5.4</v>
      </c>
      <c r="Z35" s="31">
        <f>I59</f>
        <v>35.200000000000003</v>
      </c>
      <c r="AA35" s="34">
        <f>I57</f>
        <v>1.2</v>
      </c>
      <c r="AB35" s="2">
        <v>6</v>
      </c>
      <c r="AC35" s="2">
        <f>I62</f>
        <v>0</v>
      </c>
      <c r="AD35" s="2">
        <f t="shared" si="22"/>
        <v>29.400000000000002</v>
      </c>
      <c r="AE35" s="2">
        <f t="shared" si="23"/>
        <v>5.4</v>
      </c>
      <c r="AF35" s="187">
        <f t="shared" si="24"/>
        <v>35.199999999999989</v>
      </c>
    </row>
    <row r="36" spans="2:32" x14ac:dyDescent="0.3">
      <c r="B36" s="2" t="s">
        <v>260</v>
      </c>
      <c r="C36" s="2" t="str">
        <f t="shared" si="18"/>
        <v>SR 95 &amp; 0</v>
      </c>
      <c r="D36" s="2" t="e">
        <f>IF(D4="",0,D16)</f>
        <v>#N/A</v>
      </c>
      <c r="E36" s="2" t="e">
        <f t="shared" ref="E36:K36" si="25">IF(E4="",0,E16)</f>
        <v>#N/A</v>
      </c>
      <c r="F36" s="2">
        <f t="shared" si="25"/>
        <v>0</v>
      </c>
      <c r="G36" s="2">
        <f t="shared" si="25"/>
        <v>0</v>
      </c>
      <c r="H36" s="2">
        <f t="shared" si="25"/>
        <v>0</v>
      </c>
      <c r="I36" s="2" t="e">
        <f t="shared" si="25"/>
        <v>#N/A</v>
      </c>
      <c r="J36" s="2">
        <f t="shared" si="25"/>
        <v>0</v>
      </c>
      <c r="K36" s="2">
        <f t="shared" si="25"/>
        <v>0</v>
      </c>
      <c r="W36" s="2">
        <v>5</v>
      </c>
      <c r="X36" s="38">
        <f>H58</f>
        <v>0</v>
      </c>
      <c r="Y36" s="3">
        <f>H56</f>
        <v>0</v>
      </c>
      <c r="Z36" s="31">
        <f>H59</f>
        <v>70</v>
      </c>
      <c r="AA36" s="34">
        <f>H57</f>
        <v>0</v>
      </c>
      <c r="AB36" s="2">
        <v>5</v>
      </c>
      <c r="AC36" s="2">
        <f>H62</f>
        <v>0</v>
      </c>
      <c r="AD36" s="2">
        <f t="shared" si="22"/>
        <v>0</v>
      </c>
      <c r="AE36" s="2">
        <f t="shared" si="23"/>
        <v>0</v>
      </c>
      <c r="AF36" s="187">
        <f t="shared" si="24"/>
        <v>70</v>
      </c>
    </row>
    <row r="37" spans="2:32" x14ac:dyDescent="0.3">
      <c r="B37" s="123" t="s">
        <v>261</v>
      </c>
      <c r="C37" s="123" t="str">
        <f t="shared" si="18"/>
        <v>SR 95 &amp; 0</v>
      </c>
      <c r="D37" s="123">
        <f>D7</f>
        <v>3</v>
      </c>
      <c r="E37" s="123">
        <f t="shared" ref="E37:K38" si="26">E7</f>
        <v>5.4</v>
      </c>
      <c r="F37" s="123">
        <f t="shared" si="26"/>
        <v>0</v>
      </c>
      <c r="G37" s="123">
        <f t="shared" si="26"/>
        <v>0</v>
      </c>
      <c r="H37" s="123">
        <f t="shared" si="26"/>
        <v>0</v>
      </c>
      <c r="I37" s="123">
        <f t="shared" si="26"/>
        <v>5.4</v>
      </c>
      <c r="J37" s="123">
        <f t="shared" si="26"/>
        <v>0</v>
      </c>
      <c r="K37" s="123">
        <f t="shared" si="26"/>
        <v>3</v>
      </c>
      <c r="W37" s="2">
        <v>4</v>
      </c>
      <c r="X37" s="38">
        <f>G58</f>
        <v>0</v>
      </c>
      <c r="Y37" s="3">
        <f>G56</f>
        <v>0</v>
      </c>
      <c r="Z37" s="31">
        <f>G59</f>
        <v>70</v>
      </c>
      <c r="AA37" s="34">
        <f>G57</f>
        <v>0</v>
      </c>
      <c r="AB37" s="2">
        <v>4</v>
      </c>
      <c r="AC37" s="2">
        <f>G62</f>
        <v>36.000000000000007</v>
      </c>
      <c r="AD37" s="2">
        <f t="shared" si="22"/>
        <v>0</v>
      </c>
      <c r="AE37" s="2">
        <f t="shared" si="23"/>
        <v>0</v>
      </c>
      <c r="AF37" s="187">
        <f t="shared" si="24"/>
        <v>33.999999999999993</v>
      </c>
    </row>
    <row r="38" spans="2:32" x14ac:dyDescent="0.3">
      <c r="B38" s="2" t="s">
        <v>262</v>
      </c>
      <c r="C38" s="2" t="str">
        <f t="shared" si="18"/>
        <v>SR 95 &amp; 0</v>
      </c>
      <c r="D38" s="2">
        <f>D8</f>
        <v>1</v>
      </c>
      <c r="E38" s="2">
        <f t="shared" si="26"/>
        <v>1.2</v>
      </c>
      <c r="F38" s="2">
        <f t="shared" si="26"/>
        <v>0</v>
      </c>
      <c r="G38" s="2">
        <f t="shared" si="26"/>
        <v>0</v>
      </c>
      <c r="H38" s="2">
        <f t="shared" si="26"/>
        <v>0</v>
      </c>
      <c r="I38" s="2">
        <f t="shared" si="26"/>
        <v>1.2</v>
      </c>
      <c r="J38" s="2">
        <f t="shared" si="26"/>
        <v>0</v>
      </c>
      <c r="K38" s="2">
        <f t="shared" si="26"/>
        <v>1.9</v>
      </c>
      <c r="W38" s="2">
        <v>3</v>
      </c>
      <c r="X38" s="38">
        <f>F58</f>
        <v>0</v>
      </c>
      <c r="Y38" s="3">
        <f>F56</f>
        <v>0</v>
      </c>
      <c r="Z38" s="31">
        <f>F59</f>
        <v>70</v>
      </c>
      <c r="AA38" s="34">
        <f>F57</f>
        <v>0</v>
      </c>
      <c r="AB38" s="2">
        <v>3</v>
      </c>
      <c r="AC38" s="2">
        <f>F62</f>
        <v>36.000000000000007</v>
      </c>
      <c r="AD38" s="2">
        <f t="shared" si="22"/>
        <v>0</v>
      </c>
      <c r="AE38" s="2">
        <f t="shared" si="23"/>
        <v>0</v>
      </c>
      <c r="AF38" s="187">
        <f t="shared" si="24"/>
        <v>33.999999999999993</v>
      </c>
    </row>
    <row r="39" spans="2:32" x14ac:dyDescent="0.3">
      <c r="B39" s="123" t="s">
        <v>263</v>
      </c>
      <c r="C39" s="123" t="str">
        <f t="shared" si="18"/>
        <v>SR 95 &amp; 0</v>
      </c>
      <c r="D39" s="123">
        <v>0</v>
      </c>
      <c r="E39" s="123">
        <f>IF(E9=0,0,1)</f>
        <v>1</v>
      </c>
      <c r="F39" s="123">
        <v>0</v>
      </c>
      <c r="G39" s="123">
        <f>IF(G9=0,0,1)</f>
        <v>0</v>
      </c>
      <c r="H39" s="123">
        <v>0</v>
      </c>
      <c r="I39" s="123">
        <f>IF(I9=0,0,1)</f>
        <v>1</v>
      </c>
      <c r="J39" s="123">
        <v>0</v>
      </c>
      <c r="K39" s="123">
        <f>IF(K9=0,0,1)</f>
        <v>1</v>
      </c>
      <c r="W39" s="2">
        <v>2</v>
      </c>
      <c r="X39" s="38">
        <f>E58</f>
        <v>20.400000000000002</v>
      </c>
      <c r="Y39" s="3">
        <f>E56</f>
        <v>5.4</v>
      </c>
      <c r="Z39" s="31">
        <f>E59</f>
        <v>44.2</v>
      </c>
      <c r="AA39" s="34">
        <f>E57</f>
        <v>1.2</v>
      </c>
      <c r="AB39" s="2">
        <v>2</v>
      </c>
      <c r="AC39" s="2">
        <f>E62</f>
        <v>9</v>
      </c>
      <c r="AD39" s="2">
        <f t="shared" si="22"/>
        <v>20.400000000000002</v>
      </c>
      <c r="AE39" s="2">
        <f t="shared" si="23"/>
        <v>5.4</v>
      </c>
      <c r="AF39" s="187">
        <f t="shared" si="24"/>
        <v>35.199999999999989</v>
      </c>
    </row>
    <row r="40" spans="2:32" x14ac:dyDescent="0.3">
      <c r="B40" s="2" t="s">
        <v>264</v>
      </c>
      <c r="C40" s="2" t="str">
        <f t="shared" si="18"/>
        <v>SR 95 &amp; 0</v>
      </c>
      <c r="E40" s="2">
        <f>E9</f>
        <v>5</v>
      </c>
      <c r="G40" s="2">
        <f>G9</f>
        <v>0</v>
      </c>
      <c r="I40" s="2">
        <f>I9</f>
        <v>5</v>
      </c>
      <c r="K40" s="2">
        <f>K9</f>
        <v>5</v>
      </c>
      <c r="W40" s="2">
        <v>1</v>
      </c>
      <c r="X40" s="38">
        <f>D58</f>
        <v>5</v>
      </c>
      <c r="Y40" s="3">
        <f>D56</f>
        <v>3</v>
      </c>
      <c r="Z40" s="31">
        <f>D59</f>
        <v>62</v>
      </c>
      <c r="AA40" s="34">
        <f>D57</f>
        <v>1</v>
      </c>
      <c r="AB40" s="2">
        <v>1</v>
      </c>
      <c r="AC40" s="2">
        <f>D62</f>
        <v>0</v>
      </c>
      <c r="AD40" s="2">
        <f t="shared" si="22"/>
        <v>5</v>
      </c>
      <c r="AE40" s="2">
        <f t="shared" si="23"/>
        <v>3</v>
      </c>
      <c r="AF40" s="187">
        <f t="shared" si="24"/>
        <v>62</v>
      </c>
    </row>
    <row r="41" spans="2:32" x14ac:dyDescent="0.3">
      <c r="B41" s="123" t="s">
        <v>265</v>
      </c>
      <c r="C41" s="123" t="str">
        <f t="shared" si="18"/>
        <v>SR 95 &amp; 0</v>
      </c>
      <c r="D41" s="123"/>
      <c r="E41" s="123">
        <f>E10</f>
        <v>10</v>
      </c>
      <c r="F41" s="123"/>
      <c r="G41" s="123">
        <f>G10</f>
        <v>0</v>
      </c>
      <c r="H41" s="123"/>
      <c r="I41" s="123">
        <f>I10</f>
        <v>0</v>
      </c>
      <c r="J41" s="123"/>
      <c r="K41" s="123">
        <f>K10</f>
        <v>24</v>
      </c>
    </row>
    <row r="42" spans="2:32" x14ac:dyDescent="0.3">
      <c r="B42" s="2" t="s">
        <v>266</v>
      </c>
      <c r="C42" s="2" t="str">
        <f t="shared" si="18"/>
        <v>SR 95 &amp; 0</v>
      </c>
      <c r="E42" s="2">
        <f>IF(E40=0,0,1)</f>
        <v>1</v>
      </c>
      <c r="G42" s="2">
        <f>IF(G40=0,0,1)</f>
        <v>0</v>
      </c>
      <c r="I42" s="2">
        <f>IF(I40=0,0,1)</f>
        <v>1</v>
      </c>
      <c r="K42" s="2">
        <f>IF(K40=0,0,1)</f>
        <v>1</v>
      </c>
      <c r="AF42" s="187"/>
    </row>
    <row r="43" spans="2:32" x14ac:dyDescent="0.3">
      <c r="B43" s="123" t="s">
        <v>267</v>
      </c>
      <c r="C43" s="123" t="str">
        <f t="shared" si="18"/>
        <v>SR 95 &amp; 0</v>
      </c>
      <c r="D43" s="123">
        <f>IF(D4="",0,D18)</f>
        <v>9</v>
      </c>
      <c r="E43" s="123">
        <f t="shared" ref="E43:K43" si="27">IF(E4="",0,E18)</f>
        <v>22</v>
      </c>
      <c r="F43" s="123">
        <f t="shared" si="27"/>
        <v>0</v>
      </c>
      <c r="G43" s="123">
        <f t="shared" si="27"/>
        <v>0</v>
      </c>
      <c r="H43" s="123">
        <f t="shared" si="27"/>
        <v>0</v>
      </c>
      <c r="I43" s="123">
        <f t="shared" si="27"/>
        <v>12</v>
      </c>
      <c r="J43" s="123">
        <f t="shared" si="27"/>
        <v>0</v>
      </c>
      <c r="K43" s="123">
        <f t="shared" si="27"/>
        <v>34</v>
      </c>
      <c r="AF43" s="187"/>
    </row>
    <row r="44" spans="2:32" x14ac:dyDescent="0.3">
      <c r="B44" s="2" t="s">
        <v>268</v>
      </c>
      <c r="C44" s="2" t="str">
        <f t="shared" si="18"/>
        <v>SR 95 &amp; 0</v>
      </c>
      <c r="D44" s="2">
        <v>0</v>
      </c>
      <c r="E44" s="2">
        <f>IF(E3=0,0,1)</f>
        <v>1</v>
      </c>
      <c r="F44" s="2">
        <v>0</v>
      </c>
      <c r="G44" s="2">
        <f>IF(G3=0,0,1)</f>
        <v>0</v>
      </c>
      <c r="H44" s="2">
        <v>0</v>
      </c>
      <c r="I44" s="2">
        <f>IF(I3=0,0,1)</f>
        <v>1</v>
      </c>
      <c r="J44" s="2">
        <v>0</v>
      </c>
      <c r="K44" s="2">
        <f>IF(K3=0,0,1)</f>
        <v>1</v>
      </c>
      <c r="AF44" s="187"/>
    </row>
    <row r="45" spans="2:32" x14ac:dyDescent="0.3">
      <c r="B45" s="123" t="s">
        <v>269</v>
      </c>
      <c r="C45" s="123" t="str">
        <f t="shared" si="18"/>
        <v>SR 95 &amp; 0</v>
      </c>
      <c r="D45" s="123">
        <f>IF(D3=0,0,1)</f>
        <v>1</v>
      </c>
      <c r="E45" s="123">
        <f t="shared" ref="E45:K45" si="28">IF(E3=0,0,1)</f>
        <v>1</v>
      </c>
      <c r="F45" s="123">
        <f t="shared" si="28"/>
        <v>0</v>
      </c>
      <c r="G45" s="123">
        <f t="shared" si="28"/>
        <v>0</v>
      </c>
      <c r="H45" s="123">
        <f t="shared" si="28"/>
        <v>0</v>
      </c>
      <c r="I45" s="123">
        <f t="shared" si="28"/>
        <v>1</v>
      </c>
      <c r="J45" s="123">
        <f t="shared" si="28"/>
        <v>0</v>
      </c>
      <c r="K45" s="123">
        <f t="shared" si="28"/>
        <v>1</v>
      </c>
      <c r="AF45" s="187"/>
    </row>
    <row r="46" spans="2:32" x14ac:dyDescent="0.3">
      <c r="B46" s="2" t="s">
        <v>270</v>
      </c>
      <c r="C46" s="2" t="str">
        <f t="shared" si="18"/>
        <v>SR 95 &amp; 0</v>
      </c>
      <c r="D46" s="2">
        <f>IF(D4="",0,D19)</f>
        <v>0</v>
      </c>
      <c r="E46" s="2">
        <f t="shared" ref="E46:K46" si="29">IF(E4="",0,E19)</f>
        <v>9</v>
      </c>
      <c r="F46" s="2">
        <f t="shared" si="29"/>
        <v>0</v>
      </c>
      <c r="G46" s="2">
        <f t="shared" si="29"/>
        <v>0</v>
      </c>
      <c r="H46" s="2">
        <f t="shared" si="29"/>
        <v>0</v>
      </c>
      <c r="I46" s="2">
        <f t="shared" si="29"/>
        <v>0</v>
      </c>
      <c r="J46" s="2">
        <f t="shared" si="29"/>
        <v>0</v>
      </c>
      <c r="K46" s="2">
        <f t="shared" si="29"/>
        <v>36</v>
      </c>
      <c r="AF46" s="187"/>
    </row>
    <row r="47" spans="2:32" x14ac:dyDescent="0.3">
      <c r="B47" s="123" t="s">
        <v>271</v>
      </c>
      <c r="C47" s="123" t="str">
        <f t="shared" si="18"/>
        <v>SR 95 &amp; 0</v>
      </c>
      <c r="D47" s="123">
        <f>IF(D4="",0,D20)</f>
        <v>9</v>
      </c>
      <c r="E47" s="123">
        <f t="shared" ref="E47:K47" si="30">IF(E4="",0,E20)</f>
        <v>36</v>
      </c>
      <c r="F47" s="123">
        <f t="shared" si="30"/>
        <v>0</v>
      </c>
      <c r="G47" s="123">
        <f t="shared" si="30"/>
        <v>0</v>
      </c>
      <c r="H47" s="123">
        <f t="shared" si="30"/>
        <v>0</v>
      </c>
      <c r="I47" s="123">
        <f t="shared" si="30"/>
        <v>36</v>
      </c>
      <c r="J47" s="123">
        <f t="shared" si="30"/>
        <v>0</v>
      </c>
      <c r="K47" s="123">
        <f t="shared" si="30"/>
        <v>70</v>
      </c>
      <c r="AF47" s="187"/>
    </row>
    <row r="48" spans="2:32" x14ac:dyDescent="0.3">
      <c r="B48" s="2" t="s">
        <v>272</v>
      </c>
      <c r="C48" s="2" t="str">
        <f t="shared" si="18"/>
        <v>SR 95 &amp; 0</v>
      </c>
      <c r="D48" s="2">
        <f>IF(D4="",0,D21)</f>
        <v>5</v>
      </c>
      <c r="E48" s="2">
        <f t="shared" ref="E48:K48" si="31">IF(E4="",0,E21)</f>
        <v>29</v>
      </c>
      <c r="F48" s="2">
        <f t="shared" si="31"/>
        <v>0</v>
      </c>
      <c r="G48" s="2">
        <f t="shared" si="31"/>
        <v>0</v>
      </c>
      <c r="H48" s="2">
        <f t="shared" si="31"/>
        <v>0</v>
      </c>
      <c r="I48" s="2">
        <f t="shared" si="31"/>
        <v>29</v>
      </c>
      <c r="J48" s="2">
        <f t="shared" si="31"/>
        <v>0</v>
      </c>
      <c r="K48" s="2">
        <f t="shared" si="31"/>
        <v>65</v>
      </c>
      <c r="AF48" s="187"/>
    </row>
    <row r="49" spans="2:32" x14ac:dyDescent="0.3">
      <c r="B49" s="123" t="s">
        <v>273</v>
      </c>
      <c r="C49" s="123" t="str">
        <f t="shared" si="18"/>
        <v>SR 95 &amp; 0</v>
      </c>
      <c r="D49" s="123">
        <f>IF(D4="",0,D22)</f>
        <v>5</v>
      </c>
      <c r="E49" s="123">
        <f t="shared" ref="E49:K49" si="32">IF(E4="",0,E22)</f>
        <v>29</v>
      </c>
      <c r="F49" s="123">
        <f t="shared" si="32"/>
        <v>0</v>
      </c>
      <c r="G49" s="123">
        <f t="shared" si="32"/>
        <v>0</v>
      </c>
      <c r="H49" s="123">
        <f t="shared" si="32"/>
        <v>0</v>
      </c>
      <c r="I49" s="123">
        <f t="shared" si="32"/>
        <v>29</v>
      </c>
      <c r="J49" s="123">
        <f t="shared" si="32"/>
        <v>0</v>
      </c>
      <c r="K49" s="123">
        <f t="shared" si="32"/>
        <v>65</v>
      </c>
      <c r="AF49" s="187"/>
    </row>
    <row r="50" spans="2:32" x14ac:dyDescent="0.3">
      <c r="B50" s="2" t="s">
        <v>274</v>
      </c>
      <c r="C50" s="2" t="str">
        <f t="shared" si="18"/>
        <v>SR 95 &amp; 0</v>
      </c>
      <c r="D50" s="2">
        <f>IF(D4="",0,D23)</f>
        <v>0</v>
      </c>
      <c r="E50" s="2">
        <f t="shared" ref="E50:K50" si="33">IF(E4="",0,E23)</f>
        <v>9</v>
      </c>
      <c r="F50" s="2">
        <f t="shared" si="33"/>
        <v>0</v>
      </c>
      <c r="G50" s="2">
        <f t="shared" si="33"/>
        <v>0</v>
      </c>
      <c r="H50" s="2">
        <f t="shared" si="33"/>
        <v>0</v>
      </c>
      <c r="I50" s="2">
        <f t="shared" si="33"/>
        <v>0</v>
      </c>
      <c r="J50" s="2">
        <f t="shared" si="33"/>
        <v>0</v>
      </c>
      <c r="K50" s="2">
        <f t="shared" si="33"/>
        <v>36</v>
      </c>
    </row>
    <row r="51" spans="2:32" x14ac:dyDescent="0.3">
      <c r="B51" s="123" t="s">
        <v>275</v>
      </c>
      <c r="C51" s="123" t="str">
        <f t="shared" si="18"/>
        <v>SR 95 &amp; 0</v>
      </c>
      <c r="D51" s="123">
        <f>IF(D4="",0,D24)</f>
        <v>5</v>
      </c>
      <c r="E51" s="123">
        <f t="shared" ref="E51:K51" si="34">IF(E4="",0,E24)</f>
        <v>29</v>
      </c>
      <c r="F51" s="123">
        <f t="shared" si="34"/>
        <v>0</v>
      </c>
      <c r="G51" s="123">
        <f t="shared" si="34"/>
        <v>0</v>
      </c>
      <c r="H51" s="123">
        <f t="shared" si="34"/>
        <v>0</v>
      </c>
      <c r="I51" s="123">
        <f t="shared" si="34"/>
        <v>29</v>
      </c>
      <c r="J51" s="123">
        <f t="shared" si="34"/>
        <v>0</v>
      </c>
      <c r="K51" s="123">
        <f t="shared" si="34"/>
        <v>65</v>
      </c>
    </row>
    <row r="52" spans="2:32" x14ac:dyDescent="0.3">
      <c r="B52" s="2" t="s">
        <v>276</v>
      </c>
      <c r="C52" s="2" t="str">
        <f t="shared" si="18"/>
        <v>SR 95 &amp; 0</v>
      </c>
      <c r="D52" s="2">
        <f>IF(D4="",0,D25)</f>
        <v>5</v>
      </c>
      <c r="E52" s="2">
        <f t="shared" ref="E52:K52" si="35">IF(E4="",0,E25)</f>
        <v>29</v>
      </c>
      <c r="F52" s="2">
        <f t="shared" si="35"/>
        <v>0</v>
      </c>
      <c r="G52" s="2">
        <f t="shared" si="35"/>
        <v>0</v>
      </c>
      <c r="H52" s="2">
        <f t="shared" si="35"/>
        <v>0</v>
      </c>
      <c r="I52" s="2">
        <f t="shared" si="35"/>
        <v>29</v>
      </c>
      <c r="J52" s="2">
        <f t="shared" si="35"/>
        <v>0</v>
      </c>
      <c r="K52" s="2">
        <f t="shared" si="35"/>
        <v>65</v>
      </c>
    </row>
    <row r="53" spans="2:32" x14ac:dyDescent="0.3">
      <c r="B53" s="123" t="s">
        <v>567</v>
      </c>
      <c r="C53" s="123">
        <f>UTDF_input!B123</f>
        <v>78</v>
      </c>
      <c r="D53" s="123">
        <f>UTDF_input!C123</f>
        <v>6.5</v>
      </c>
      <c r="E53" s="123">
        <f>UTDF_input!D123</f>
        <v>18</v>
      </c>
      <c r="F53" s="123">
        <f>UTDF_input!E123</f>
        <v>0</v>
      </c>
      <c r="G53" s="123">
        <f>UTDF_input!F123</f>
        <v>18</v>
      </c>
      <c r="H53" s="123">
        <f>UTDF_input!G123</f>
        <v>0</v>
      </c>
      <c r="I53" s="123">
        <f>UTDF_input!H123</f>
        <v>28.5</v>
      </c>
      <c r="J53" s="123">
        <f>UTDF_input!I123</f>
        <v>0</v>
      </c>
      <c r="K53" s="123">
        <f>UTDF_input!J123</f>
        <v>18.8</v>
      </c>
    </row>
    <row r="54" spans="2:32" x14ac:dyDescent="0.3">
      <c r="D54" s="2">
        <v>1</v>
      </c>
      <c r="E54" s="2">
        <v>2</v>
      </c>
      <c r="F54" s="2">
        <v>3</v>
      </c>
      <c r="G54" s="2">
        <v>4</v>
      </c>
      <c r="H54" s="2">
        <v>5</v>
      </c>
      <c r="I54" s="2">
        <v>6</v>
      </c>
      <c r="J54" s="2">
        <v>7</v>
      </c>
      <c r="K54" s="2">
        <v>8</v>
      </c>
    </row>
    <row r="55" spans="2:32" x14ac:dyDescent="0.3">
      <c r="B55" s="123" t="s">
        <v>316</v>
      </c>
      <c r="C55" s="123"/>
      <c r="D55" s="123">
        <f>D3</f>
        <v>9</v>
      </c>
      <c r="E55" s="123">
        <f t="shared" ref="E55:K55" si="36">E3</f>
        <v>27</v>
      </c>
      <c r="F55" s="123">
        <f t="shared" si="36"/>
        <v>0</v>
      </c>
      <c r="G55" s="123">
        <f t="shared" si="36"/>
        <v>0</v>
      </c>
      <c r="H55" s="123">
        <f t="shared" si="36"/>
        <v>0</v>
      </c>
      <c r="I55" s="123">
        <f t="shared" si="36"/>
        <v>36</v>
      </c>
      <c r="J55" s="123">
        <f t="shared" si="36"/>
        <v>0</v>
      </c>
      <c r="K55" s="123">
        <f t="shared" si="36"/>
        <v>34</v>
      </c>
    </row>
    <row r="56" spans="2:32" x14ac:dyDescent="0.3">
      <c r="B56" s="2" t="s">
        <v>261</v>
      </c>
      <c r="D56" s="3">
        <f>D7</f>
        <v>3</v>
      </c>
      <c r="E56" s="3">
        <f t="shared" ref="E56:K56" si="37">E7</f>
        <v>5.4</v>
      </c>
      <c r="F56" s="3">
        <f t="shared" si="37"/>
        <v>0</v>
      </c>
      <c r="G56" s="3">
        <f t="shared" si="37"/>
        <v>0</v>
      </c>
      <c r="H56" s="3">
        <f t="shared" si="37"/>
        <v>0</v>
      </c>
      <c r="I56" s="3">
        <f t="shared" si="37"/>
        <v>5.4</v>
      </c>
      <c r="J56" s="3">
        <f t="shared" si="37"/>
        <v>0</v>
      </c>
      <c r="K56" s="3">
        <f t="shared" si="37"/>
        <v>3</v>
      </c>
    </row>
    <row r="57" spans="2:32" x14ac:dyDescent="0.3">
      <c r="B57" s="123" t="s">
        <v>283</v>
      </c>
      <c r="C57" s="123"/>
      <c r="D57" s="123">
        <f>D8</f>
        <v>1</v>
      </c>
      <c r="E57" s="123">
        <f t="shared" ref="E57:K57" si="38">E8</f>
        <v>1.2</v>
      </c>
      <c r="F57" s="123">
        <f t="shared" si="38"/>
        <v>0</v>
      </c>
      <c r="G57" s="123">
        <f t="shared" si="38"/>
        <v>0</v>
      </c>
      <c r="H57" s="123">
        <f t="shared" si="38"/>
        <v>0</v>
      </c>
      <c r="I57" s="123">
        <f t="shared" si="38"/>
        <v>1.2</v>
      </c>
      <c r="J57" s="123">
        <f t="shared" si="38"/>
        <v>0</v>
      </c>
      <c r="K57" s="123">
        <f t="shared" si="38"/>
        <v>1.9</v>
      </c>
    </row>
    <row r="58" spans="2:32" x14ac:dyDescent="0.3">
      <c r="B58" s="2" t="s">
        <v>446</v>
      </c>
      <c r="D58" s="38">
        <f>D55-D56-D57</f>
        <v>5</v>
      </c>
      <c r="E58" s="38">
        <f t="shared" ref="E58:K58" si="39">E55-E56-E57</f>
        <v>20.400000000000002</v>
      </c>
      <c r="F58" s="38">
        <f t="shared" si="39"/>
        <v>0</v>
      </c>
      <c r="G58" s="38">
        <f t="shared" si="39"/>
        <v>0</v>
      </c>
      <c r="H58" s="38">
        <f t="shared" si="39"/>
        <v>0</v>
      </c>
      <c r="I58" s="38">
        <f t="shared" si="39"/>
        <v>29.400000000000002</v>
      </c>
      <c r="J58" s="38">
        <f t="shared" si="39"/>
        <v>0</v>
      </c>
      <c r="K58" s="38">
        <f t="shared" si="39"/>
        <v>29.1</v>
      </c>
    </row>
    <row r="59" spans="2:32" x14ac:dyDescent="0.3">
      <c r="B59" s="2" t="s">
        <v>451</v>
      </c>
      <c r="D59" s="2">
        <f>$C$62-D55+D57</f>
        <v>62</v>
      </c>
      <c r="E59" s="2">
        <f t="shared" ref="E59:K59" si="40">$C$62-E55+E57</f>
        <v>44.2</v>
      </c>
      <c r="F59" s="2">
        <f t="shared" si="40"/>
        <v>70</v>
      </c>
      <c r="G59" s="2">
        <f t="shared" si="40"/>
        <v>70</v>
      </c>
      <c r="H59" s="2">
        <f t="shared" si="40"/>
        <v>70</v>
      </c>
      <c r="I59" s="2">
        <f t="shared" si="40"/>
        <v>35.200000000000003</v>
      </c>
      <c r="J59" s="2">
        <f t="shared" si="40"/>
        <v>70</v>
      </c>
      <c r="K59" s="2">
        <f t="shared" si="40"/>
        <v>37.9</v>
      </c>
    </row>
    <row r="61" spans="2:32" x14ac:dyDescent="0.3">
      <c r="C61" s="2" t="s">
        <v>144</v>
      </c>
      <c r="D61" s="159">
        <v>1</v>
      </c>
      <c r="E61" s="159">
        <v>2</v>
      </c>
      <c r="F61" s="159">
        <v>3</v>
      </c>
      <c r="G61" s="159">
        <v>4</v>
      </c>
      <c r="H61" s="158">
        <v>5</v>
      </c>
      <c r="I61" s="159">
        <v>6</v>
      </c>
      <c r="J61" s="159">
        <v>7</v>
      </c>
      <c r="K61" s="159">
        <v>8</v>
      </c>
    </row>
    <row r="62" spans="2:32" x14ac:dyDescent="0.3">
      <c r="B62" s="123" t="s">
        <v>447</v>
      </c>
      <c r="C62" s="186">
        <f>'Phase calculation'!C25</f>
        <v>70</v>
      </c>
      <c r="D62" s="38">
        <v>0</v>
      </c>
      <c r="E62" s="38">
        <f>D65</f>
        <v>9</v>
      </c>
      <c r="F62" s="38">
        <f>E65</f>
        <v>36.000000000000007</v>
      </c>
      <c r="G62" s="38">
        <f>F65</f>
        <v>36.000000000000007</v>
      </c>
      <c r="H62" s="183">
        <v>0</v>
      </c>
      <c r="I62" s="38">
        <f>H65</f>
        <v>0</v>
      </c>
      <c r="J62" s="38">
        <f>I65</f>
        <v>36.000000000000007</v>
      </c>
      <c r="K62" s="38">
        <f>J65</f>
        <v>36.000000000000007</v>
      </c>
    </row>
    <row r="63" spans="2:32" x14ac:dyDescent="0.3">
      <c r="B63" s="2" t="s">
        <v>448</v>
      </c>
      <c r="D63" s="3">
        <f t="shared" ref="D63:K63" si="41">D62+D58</f>
        <v>5</v>
      </c>
      <c r="E63" s="3">
        <f t="shared" si="41"/>
        <v>29.400000000000002</v>
      </c>
      <c r="F63" s="3">
        <f t="shared" si="41"/>
        <v>36.000000000000007</v>
      </c>
      <c r="G63" s="3">
        <f t="shared" si="41"/>
        <v>36.000000000000007</v>
      </c>
      <c r="H63" s="184">
        <f t="shared" si="41"/>
        <v>0</v>
      </c>
      <c r="I63" s="3">
        <f t="shared" si="41"/>
        <v>29.400000000000002</v>
      </c>
      <c r="J63" s="3">
        <f t="shared" si="41"/>
        <v>36.000000000000007</v>
      </c>
      <c r="K63" s="3">
        <f t="shared" si="41"/>
        <v>65.100000000000009</v>
      </c>
    </row>
    <row r="64" spans="2:32" x14ac:dyDescent="0.3">
      <c r="B64" s="123" t="s">
        <v>449</v>
      </c>
      <c r="C64" s="123"/>
      <c r="D64" s="31">
        <f t="shared" ref="D64:K65" si="42">D63+D56</f>
        <v>8</v>
      </c>
      <c r="E64" s="31">
        <f t="shared" si="42"/>
        <v>34.800000000000004</v>
      </c>
      <c r="F64" s="31">
        <f t="shared" si="42"/>
        <v>36.000000000000007</v>
      </c>
      <c r="G64" s="31">
        <f t="shared" si="42"/>
        <v>36.000000000000007</v>
      </c>
      <c r="H64" s="185">
        <f t="shared" si="42"/>
        <v>0</v>
      </c>
      <c r="I64" s="31">
        <f t="shared" si="42"/>
        <v>34.800000000000004</v>
      </c>
      <c r="J64" s="31">
        <f t="shared" si="42"/>
        <v>36.000000000000007</v>
      </c>
      <c r="K64" s="31">
        <f t="shared" si="42"/>
        <v>68.100000000000009</v>
      </c>
    </row>
    <row r="65" spans="2:11" x14ac:dyDescent="0.3">
      <c r="B65" s="2" t="s">
        <v>450</v>
      </c>
      <c r="D65" s="2">
        <f t="shared" si="42"/>
        <v>9</v>
      </c>
      <c r="E65" s="2">
        <f t="shared" si="42"/>
        <v>36.000000000000007</v>
      </c>
      <c r="F65" s="2">
        <f t="shared" si="42"/>
        <v>36.000000000000007</v>
      </c>
      <c r="G65" s="2">
        <f t="shared" si="42"/>
        <v>36.000000000000007</v>
      </c>
      <c r="H65" s="157">
        <f t="shared" si="42"/>
        <v>0</v>
      </c>
      <c r="I65" s="2">
        <f t="shared" si="42"/>
        <v>36.000000000000007</v>
      </c>
      <c r="J65" s="2">
        <f t="shared" si="42"/>
        <v>36.000000000000007</v>
      </c>
      <c r="K65" s="2">
        <f t="shared" si="42"/>
        <v>70.000000000000014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opLeftCell="A93" zoomScale="70" zoomScaleNormal="70" workbookViewId="0">
      <selection activeCell="V132" sqref="V132"/>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3">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0</v>
      </c>
      <c r="AE2" s="2">
        <f>'Phase designation'!D27</f>
        <v>0</v>
      </c>
      <c r="AF2" s="2">
        <f>'Phase designation'!E27</f>
        <v>8</v>
      </c>
      <c r="AG2" s="2">
        <f>'Phase designation'!F27</f>
        <v>0</v>
      </c>
      <c r="AH2" s="2">
        <f>'Phase designation'!G27</f>
        <v>2</v>
      </c>
      <c r="AI2" s="2">
        <f>'Phase designation'!H27</f>
        <v>1</v>
      </c>
      <c r="AJ2" s="2">
        <f>'Phase designation'!I27</f>
        <v>6</v>
      </c>
    </row>
    <row r="3" spans="1:36" x14ac:dyDescent="0.3">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3">
      <c r="D4" s="56">
        <f>IF(Y4=0,0,Sheet1!K4+Sheet1!AE4+Sheet1!AH4)</f>
        <v>0</v>
      </c>
      <c r="E4" s="56">
        <f>IF(Y4=0,0,Sheet1!J4+Sheet1!AD4+Sheet1!AG4)</f>
        <v>1175</v>
      </c>
      <c r="F4" s="56">
        <f>IF(Y4=0,0,Sheet1!I4+Sheet1!AC4+Sheet1!AF4)</f>
        <v>79</v>
      </c>
      <c r="N4" s="65">
        <f>'Phase calculation'!N33</f>
        <v>6</v>
      </c>
      <c r="O4" s="65">
        <f>IF(W4=0,"N/A",AJ5)</f>
        <v>6</v>
      </c>
      <c r="P4" s="65" t="str">
        <f>IF(X4=0,"N/A",AI5)</f>
        <v>1+0</v>
      </c>
      <c r="V4" s="56">
        <f>Sheet1!K5+Sheet1!AE5+Sheet1!AH5</f>
        <v>0</v>
      </c>
      <c r="W4" s="56">
        <f>Sheet1!J5+Sheet1!AD5+Sheet1!AG5</f>
        <v>2</v>
      </c>
      <c r="X4" s="56">
        <f>Sheet1!I5+Sheet1!AC5+Sheet1!AF5</f>
        <v>1</v>
      </c>
      <c r="Y4" s="99">
        <f>SUM(V4:X4)+W17</f>
        <v>6</v>
      </c>
    </row>
    <row r="5" spans="1:36" x14ac:dyDescent="0.3">
      <c r="S5" s="2"/>
      <c r="AC5" s="2">
        <f>IF(AC2=0,AC3,AC2&amp;"+"&amp;AC3)</f>
        <v>0</v>
      </c>
      <c r="AD5" s="2">
        <f>AD2</f>
        <v>0</v>
      </c>
      <c r="AE5" s="2">
        <f>IF(AE2=0,AE3,AE2&amp;"+"&amp;AE3)</f>
        <v>8</v>
      </c>
      <c r="AF5" s="2">
        <f>AF2</f>
        <v>8</v>
      </c>
      <c r="AG5" s="2">
        <f>IF(AG2=0,AG3,AG2&amp;"+"&amp;AG3)</f>
        <v>0</v>
      </c>
      <c r="AH5" s="2">
        <f>AH2</f>
        <v>2</v>
      </c>
      <c r="AI5" s="2" t="str">
        <f>IF(AI2=0,AI3,AI2&amp;"+"&amp;AI3)</f>
        <v>1+0</v>
      </c>
      <c r="AJ5" s="2">
        <f>AJ2</f>
        <v>6</v>
      </c>
    </row>
    <row r="6" spans="1:36" x14ac:dyDescent="0.3">
      <c r="I6" s="9" t="s">
        <v>76</v>
      </c>
      <c r="S6" s="2"/>
    </row>
    <row r="7" spans="1:36" x14ac:dyDescent="0.3">
      <c r="S7" s="2"/>
    </row>
    <row r="9" spans="1:36" x14ac:dyDescent="0.3">
      <c r="B9" s="45">
        <f>IF(T15=0,0,Sheet1!N4)</f>
        <v>0</v>
      </c>
      <c r="C9" s="41"/>
      <c r="H9" s="57">
        <f>IF(Z15=0,0,Sheet1!U4)</f>
        <v>175</v>
      </c>
      <c r="L9" s="66" t="str">
        <f>IF(T9=0,"N/A",AC5)</f>
        <v>N/A</v>
      </c>
      <c r="R9" s="68">
        <f>'Phase calculation'!H33</f>
        <v>8</v>
      </c>
      <c r="S9" s="2"/>
      <c r="T9" s="45">
        <f>Sheet1!N5</f>
        <v>0</v>
      </c>
      <c r="U9" s="41"/>
      <c r="Z9" s="57">
        <f>Sheet1!U5</f>
        <v>0</v>
      </c>
    </row>
    <row r="10" spans="1:36" x14ac:dyDescent="0.3">
      <c r="D10" s="5"/>
      <c r="E10" s="5"/>
      <c r="F10" s="5"/>
      <c r="G10" s="5"/>
      <c r="H10" s="12"/>
      <c r="I10" s="5"/>
      <c r="M10" s="5"/>
      <c r="N10" s="5"/>
      <c r="O10" s="5"/>
      <c r="P10" s="5"/>
      <c r="V10" s="5"/>
      <c r="W10" s="5"/>
      <c r="X10" s="5"/>
      <c r="Y10" s="5"/>
      <c r="Z10" s="12"/>
    </row>
    <row r="11" spans="1:36" x14ac:dyDescent="0.3">
      <c r="A11" s="107">
        <f>Sheet1!O38</f>
        <v>0</v>
      </c>
      <c r="B11" s="45">
        <f>IF(T15=0,0,Sheet1!O4)</f>
        <v>0</v>
      </c>
      <c r="D11" s="5"/>
      <c r="E11" s="6" t="str">
        <f>Sheet1!B2</f>
        <v>SR 95 &amp; 0</v>
      </c>
      <c r="F11" s="5"/>
      <c r="G11" s="5"/>
      <c r="H11" s="58">
        <f>IF(Z15=0,0,Sheet1!T4)</f>
        <v>0</v>
      </c>
      <c r="I11" s="106" t="str">
        <f>Sheet1!T38</f>
        <v>El Rodeo Rd</v>
      </c>
      <c r="K11" s="107">
        <f>A11</f>
        <v>0</v>
      </c>
      <c r="L11" s="66" t="str">
        <f>IF(T11=0,"N/A",AD5)</f>
        <v>N/A</v>
      </c>
      <c r="M11" s="5"/>
      <c r="N11" s="5"/>
      <c r="O11" s="5"/>
      <c r="P11" s="5"/>
      <c r="R11" s="68" t="str">
        <f>IF(Z11=0,"N/A",AF5)</f>
        <v>N/A</v>
      </c>
      <c r="T11" s="45">
        <f>Sheet1!O5</f>
        <v>0</v>
      </c>
      <c r="V11" s="5"/>
      <c r="W11" s="5"/>
      <c r="X11" s="5"/>
      <c r="Y11" s="5"/>
      <c r="Z11" s="58">
        <f>Sheet1!T5</f>
        <v>0</v>
      </c>
    </row>
    <row r="12" spans="1:36" x14ac:dyDescent="0.3">
      <c r="D12" s="15"/>
      <c r="E12" s="8"/>
      <c r="F12" s="8"/>
      <c r="G12" s="8"/>
      <c r="H12" s="12"/>
      <c r="I12" s="7"/>
      <c r="M12" s="15"/>
      <c r="N12" s="8"/>
      <c r="O12" s="8"/>
      <c r="P12" s="8"/>
      <c r="R12" s="12"/>
      <c r="V12" s="15"/>
      <c r="W12" s="8"/>
      <c r="X12" s="8"/>
      <c r="Y12" s="8"/>
      <c r="Z12" s="12"/>
    </row>
    <row r="13" spans="1:36" x14ac:dyDescent="0.3">
      <c r="B13" s="45">
        <f>IF(T15=0,0,Sheet1!P4)</f>
        <v>0</v>
      </c>
      <c r="D13" s="16"/>
      <c r="E13" s="17"/>
      <c r="F13" s="17"/>
      <c r="G13" s="8"/>
      <c r="H13" s="59">
        <f>IF(Z15=0,0,Sheet1!S4)</f>
        <v>93</v>
      </c>
      <c r="I13" s="8"/>
      <c r="L13" s="149">
        <f>'Phase calculation'!E33</f>
        <v>0</v>
      </c>
      <c r="M13" s="16"/>
      <c r="N13" s="17"/>
      <c r="O13" s="17"/>
      <c r="P13" s="8"/>
      <c r="R13" s="69">
        <f>IF(Z13=0,"N/A",AE5)</f>
        <v>8</v>
      </c>
      <c r="T13" s="45">
        <f>Sheet1!P5</f>
        <v>0</v>
      </c>
      <c r="V13" s="16"/>
      <c r="W13" s="17"/>
      <c r="X13" s="17"/>
      <c r="Y13" s="8"/>
      <c r="Z13" s="59">
        <f>Sheet1!S5</f>
        <v>2</v>
      </c>
    </row>
    <row r="14" spans="1:36" x14ac:dyDescent="0.3">
      <c r="D14" s="8"/>
      <c r="E14" s="8"/>
      <c r="F14" s="8"/>
      <c r="G14" s="8"/>
      <c r="H14" s="10"/>
      <c r="I14" s="10"/>
      <c r="M14" s="8"/>
      <c r="N14" s="8"/>
      <c r="O14" s="8"/>
      <c r="P14" s="8"/>
      <c r="Q14" s="10"/>
      <c r="R14" s="10"/>
      <c r="V14" s="8"/>
      <c r="W14" s="8"/>
      <c r="X14" s="8"/>
      <c r="Y14" s="8"/>
      <c r="Z14" s="10"/>
    </row>
    <row r="15" spans="1:36" x14ac:dyDescent="0.3">
      <c r="D15" s="8"/>
      <c r="E15" s="8"/>
      <c r="F15" s="8" t="s">
        <v>77</v>
      </c>
      <c r="G15" s="8"/>
      <c r="H15" s="8"/>
      <c r="I15" s="8"/>
      <c r="M15" s="8"/>
      <c r="N15" s="8"/>
      <c r="O15" s="8" t="s">
        <v>77</v>
      </c>
      <c r="P15" s="8"/>
      <c r="Q15" s="8"/>
      <c r="R15" s="8"/>
      <c r="T15" s="99">
        <f>SUM(T9:T13)+Z11</f>
        <v>0</v>
      </c>
      <c r="V15" s="8"/>
      <c r="W15" s="8"/>
      <c r="X15" s="8" t="s">
        <v>77</v>
      </c>
      <c r="Y15" s="8"/>
      <c r="Z15" s="100">
        <f>SUM(Z9:Z13)+T11</f>
        <v>2</v>
      </c>
    </row>
    <row r="16" spans="1:36" x14ac:dyDescent="0.3">
      <c r="D16" s="6"/>
      <c r="E16" s="11"/>
      <c r="F16" s="11"/>
      <c r="G16" s="8"/>
      <c r="H16" s="8"/>
      <c r="I16" s="8"/>
      <c r="M16" s="6"/>
      <c r="P16" s="8"/>
      <c r="Q16" s="8"/>
      <c r="R16" s="8"/>
      <c r="V16" s="6"/>
      <c r="W16" s="11"/>
      <c r="X16" s="11"/>
      <c r="Y16" s="8"/>
      <c r="Z16" s="8"/>
    </row>
    <row r="17" spans="1:25" x14ac:dyDescent="0.3">
      <c r="D17" s="56">
        <f>IF(Y17=0,0,Sheet1!D4+Sheet1!Z4+Sheet1!W4)</f>
        <v>0</v>
      </c>
      <c r="E17" s="56">
        <f>IF(Y17=0,0,Sheet1!E4+Sheet1!X4+Sheet1!AA4)</f>
        <v>1536</v>
      </c>
      <c r="F17" s="56">
        <f>IF(Y17=0,0,Sheet1!F4+Sheet1!Y4+Sheet1!AB4)</f>
        <v>61</v>
      </c>
      <c r="N17" s="67" t="str">
        <f>IF(V17=0,"N/A",AG5)</f>
        <v>N/A</v>
      </c>
      <c r="O17" s="67">
        <f>IF(W17=0,"N/A",AH5)</f>
        <v>2</v>
      </c>
      <c r="P17" s="65">
        <f>'Phase calculation'!K33</f>
        <v>2</v>
      </c>
      <c r="V17" s="56">
        <f>Sheet1!D5+Sheet1!W5+Sheet1!Z5</f>
        <v>0</v>
      </c>
      <c r="W17" s="56">
        <f>Sheet1!E5+Sheet1!X5+Sheet1!AA5</f>
        <v>3</v>
      </c>
      <c r="X17" s="56">
        <f>Sheet1!F5+Sheet1!Y5+Sheet1!AB5</f>
        <v>0</v>
      </c>
      <c r="Y17" s="99">
        <f>SUM(V17:X17)+W4</f>
        <v>5</v>
      </c>
    </row>
    <row r="18" spans="1:25" x14ac:dyDescent="0.3">
      <c r="D18" s="300" t="str">
        <f>Sheet1!E38</f>
        <v>SR 95</v>
      </c>
      <c r="E18" s="300"/>
      <c r="F18" s="300"/>
      <c r="N18" s="300" t="str">
        <f>D18</f>
        <v>SR 95</v>
      </c>
      <c r="O18" s="300"/>
      <c r="P18" s="300"/>
    </row>
    <row r="20" spans="1:25" x14ac:dyDescent="0.3">
      <c r="B20" s="302" t="s">
        <v>215</v>
      </c>
      <c r="C20" s="302"/>
      <c r="D20" s="302"/>
      <c r="E20" s="302"/>
      <c r="F20" s="302"/>
      <c r="G20" s="302"/>
      <c r="H20" s="22"/>
      <c r="L20" s="269" t="s">
        <v>214</v>
      </c>
      <c r="M20" s="269"/>
      <c r="N20" s="269"/>
      <c r="O20" s="269"/>
      <c r="P20" s="269"/>
      <c r="Q20" s="269"/>
    </row>
    <row r="21" spans="1:25" x14ac:dyDescent="0.3">
      <c r="D21" s="300" t="str">
        <f>D3</f>
        <v>SR 95</v>
      </c>
      <c r="E21" s="300"/>
      <c r="F21" s="300"/>
      <c r="N21" s="300" t="str">
        <f>D3</f>
        <v>SR 95</v>
      </c>
      <c r="O21" s="300"/>
      <c r="P21" s="300"/>
    </row>
    <row r="22" spans="1:25" x14ac:dyDescent="0.3">
      <c r="D22" s="38">
        <f>'Phase calculation'!N34</f>
        <v>36</v>
      </c>
      <c r="E22" s="38">
        <f>IF(W4=0,0,'Phase calculation'!M34)</f>
        <v>36</v>
      </c>
      <c r="F22" s="38">
        <f>IF(Y17=0,'Phase calculation'!M34,'Phase calculation'!L34)</f>
        <v>9</v>
      </c>
      <c r="N22" s="3">
        <f>'Phase calculation'!N41</f>
        <v>2574</v>
      </c>
      <c r="O22" s="3">
        <f>IF(W4=0,0,'Phase calculation'!M41)</f>
        <v>1287</v>
      </c>
      <c r="P22" s="3" t="e">
        <f>IF(X4=0,0,'Phase calculation'!L41)</f>
        <v>#N/A</v>
      </c>
    </row>
    <row r="24" spans="1:25" x14ac:dyDescent="0.3">
      <c r="I24" s="9" t="s">
        <v>76</v>
      </c>
    </row>
    <row r="27" spans="1:25" x14ac:dyDescent="0.3">
      <c r="B27" s="60">
        <f>IF(Z15=0,'Phase calculation'!D34,'Phase calculation'!C34)</f>
        <v>0</v>
      </c>
      <c r="E27" s="64"/>
      <c r="H27" s="61">
        <f>'Phase calculation'!H34</f>
        <v>34</v>
      </c>
      <c r="L27" s="23">
        <f>IF(T9=0,0,'Phase calculation'!C41)</f>
        <v>0</v>
      </c>
      <c r="N27" s="64"/>
      <c r="O27" s="64"/>
      <c r="R27" s="4">
        <f>'Phase calculation'!H41</f>
        <v>0</v>
      </c>
    </row>
    <row r="28" spans="1:25" x14ac:dyDescent="0.3">
      <c r="C28" s="5"/>
      <c r="D28" s="64"/>
      <c r="E28" s="304" t="str">
        <f>IF(E22+F22+H27+H29+E35+D35+B29+B27=0,0,"C = "&amp;'Phase calculation'!C25&amp;" s")</f>
        <v>C = 70 s</v>
      </c>
      <c r="G28" s="5"/>
      <c r="H28" s="12"/>
      <c r="I28" s="5"/>
      <c r="L28" s="41"/>
      <c r="M28" s="5"/>
      <c r="N28" s="64"/>
      <c r="O28" s="64"/>
      <c r="P28" s="5"/>
    </row>
    <row r="29" spans="1:25" x14ac:dyDescent="0.3">
      <c r="A29" s="107">
        <f>A11</f>
        <v>0</v>
      </c>
      <c r="B29" s="36">
        <f>IF(T11=0,0,'Phase calculation'!D34)</f>
        <v>0</v>
      </c>
      <c r="C29" s="5"/>
      <c r="D29" s="5"/>
      <c r="E29" s="304"/>
      <c r="G29" s="5"/>
      <c r="H29" s="62">
        <f>IF(Z11=0,0,'Phase calculation'!G34)</f>
        <v>0</v>
      </c>
      <c r="I29" s="107" t="str">
        <f>I11</f>
        <v>El Rodeo Rd</v>
      </c>
      <c r="K29" s="107">
        <f>A11</f>
        <v>0</v>
      </c>
      <c r="L29" s="23">
        <f>IF(T11=0,0,'Phase calculation'!D41)</f>
        <v>0</v>
      </c>
      <c r="M29" s="5"/>
      <c r="N29" s="5"/>
      <c r="O29" s="5"/>
      <c r="P29" s="5"/>
      <c r="R29" s="4">
        <f>IF(Z11=0,0,'Phase calculation'!G41)</f>
        <v>0</v>
      </c>
    </row>
    <row r="30" spans="1:25" x14ac:dyDescent="0.3">
      <c r="C30" s="15"/>
      <c r="D30" s="8"/>
      <c r="E30" s="304"/>
      <c r="G30" s="8"/>
      <c r="H30" s="5"/>
      <c r="I30" s="7"/>
      <c r="M30" s="15"/>
      <c r="N30" s="8"/>
      <c r="O30" s="8"/>
      <c r="P30" s="8"/>
      <c r="Q30" s="5"/>
      <c r="R30" s="12"/>
    </row>
    <row r="31" spans="1:25" x14ac:dyDescent="0.3">
      <c r="B31" s="36">
        <f>'Phase calculation'!E34</f>
        <v>0</v>
      </c>
      <c r="C31" s="16"/>
      <c r="D31" s="17"/>
      <c r="E31" s="17"/>
      <c r="F31" s="8"/>
      <c r="G31" s="8"/>
      <c r="H31" s="148">
        <f>IF(T15=0,'Phase calculation'!G34,'Phase calculation'!F34)</f>
        <v>34</v>
      </c>
      <c r="L31" s="1">
        <f>'Phase calculation'!E41</f>
        <v>0</v>
      </c>
      <c r="M31" s="16"/>
      <c r="N31" s="17"/>
      <c r="O31" s="17"/>
      <c r="P31" s="8"/>
      <c r="Q31" s="8"/>
      <c r="R31" s="13">
        <f>IF(Z13=0,0,'Phase calculation'!F41)</f>
        <v>4826</v>
      </c>
    </row>
    <row r="32" spans="1:25" x14ac:dyDescent="0.3">
      <c r="C32" s="8"/>
      <c r="D32" s="8"/>
      <c r="E32" s="8"/>
      <c r="F32" s="8"/>
      <c r="G32" s="10"/>
      <c r="H32" s="10"/>
      <c r="M32" s="8"/>
      <c r="N32" s="8"/>
      <c r="O32" s="8"/>
      <c r="P32" s="8"/>
      <c r="Q32" s="10"/>
    </row>
    <row r="33" spans="2:19" x14ac:dyDescent="0.3">
      <c r="C33" s="8"/>
      <c r="D33" s="8"/>
      <c r="E33" s="8" t="s">
        <v>77</v>
      </c>
      <c r="F33" s="8"/>
      <c r="G33" s="8"/>
      <c r="H33" s="8"/>
      <c r="M33" s="8"/>
      <c r="N33" s="8"/>
      <c r="O33" s="8" t="s">
        <v>77</v>
      </c>
      <c r="P33" s="8"/>
      <c r="Q33" s="8"/>
    </row>
    <row r="34" spans="2:19" x14ac:dyDescent="0.3">
      <c r="C34" s="6"/>
      <c r="F34" s="8"/>
      <c r="G34" s="8"/>
      <c r="H34" s="8"/>
      <c r="M34" s="6"/>
      <c r="P34" s="8"/>
      <c r="Q34" s="8"/>
    </row>
    <row r="35" spans="2:19" x14ac:dyDescent="0.3">
      <c r="D35" s="63">
        <f>IF(Y4=0,'Phase calculation'!J34,'Phase calculation'!I34)</f>
        <v>0</v>
      </c>
      <c r="E35" s="63">
        <f>IF(W17=0,0,'Phase calculation'!J34)</f>
        <v>27</v>
      </c>
      <c r="F35" s="38">
        <f>'Phase calculation'!K34</f>
        <v>27</v>
      </c>
      <c r="N35" s="18">
        <f>IF(V17=0,0,'Phase calculation'!I41)</f>
        <v>0</v>
      </c>
      <c r="O35" s="18">
        <f>IF(W17=0,0,'Phase calculation'!J41)</f>
        <v>1388</v>
      </c>
      <c r="P35" s="3">
        <f>'Phase calculation'!K41</f>
        <v>11562</v>
      </c>
    </row>
    <row r="36" spans="2:19" x14ac:dyDescent="0.3">
      <c r="D36" s="300" t="str">
        <f>D18</f>
        <v>SR 95</v>
      </c>
      <c r="E36" s="300"/>
      <c r="F36" s="300"/>
      <c r="N36" s="300" t="str">
        <f>D18</f>
        <v>SR 95</v>
      </c>
      <c r="O36" s="300"/>
      <c r="P36" s="300"/>
    </row>
    <row r="37" spans="2:19" x14ac:dyDescent="0.3">
      <c r="D37" s="2"/>
      <c r="E37" s="2"/>
    </row>
    <row r="39" spans="2:19" x14ac:dyDescent="0.3">
      <c r="M39" s="311" t="s">
        <v>219</v>
      </c>
      <c r="N39" s="311"/>
      <c r="O39" s="311"/>
      <c r="P39" s="311"/>
      <c r="Q39" s="311"/>
      <c r="R39" s="311"/>
    </row>
    <row r="40" spans="2:19" x14ac:dyDescent="0.3">
      <c r="B40" s="307" t="s">
        <v>218</v>
      </c>
      <c r="C40" s="307"/>
      <c r="D40" s="307"/>
      <c r="E40" s="307"/>
      <c r="F40" s="307"/>
      <c r="G40" s="307"/>
      <c r="L40" s="84"/>
      <c r="M40" s="84"/>
      <c r="O40" s="300" t="str">
        <f>D3</f>
        <v>SR 95</v>
      </c>
      <c r="P40" s="300"/>
      <c r="Q40" s="300"/>
    </row>
    <row r="41" spans="2:19" x14ac:dyDescent="0.3">
      <c r="D41" s="300" t="str">
        <f>D3</f>
        <v>SR 95</v>
      </c>
      <c r="E41" s="300"/>
      <c r="F41" s="300"/>
      <c r="O41" s="305" t="e">
        <f>'Phase calculation'!L46</f>
        <v>#N/A</v>
      </c>
      <c r="P41" s="305"/>
      <c r="Q41" s="305"/>
    </row>
    <row r="42" spans="2:19" x14ac:dyDescent="0.3">
      <c r="B42" s="70"/>
      <c r="C42" s="70"/>
      <c r="D42" s="71">
        <f>'Phase calculation'!N40</f>
        <v>0</v>
      </c>
      <c r="E42" s="71">
        <f>IF(W4=0,"N/A",'Phase calculation'!M40)</f>
        <v>0.99</v>
      </c>
      <c r="F42" s="71" t="e">
        <f>IF(X4=0,"N/A",'Phase calculation'!L40)</f>
        <v>#N/A</v>
      </c>
      <c r="G42" s="70"/>
      <c r="M42" s="127"/>
      <c r="N42" s="127"/>
      <c r="O42" s="128">
        <f>'Phase calculation'!N44</f>
        <v>0</v>
      </c>
      <c r="P42" s="128">
        <f>IF(W4=0,"N/A",'Phase calculation'!M44)</f>
        <v>41.65</v>
      </c>
      <c r="Q42" s="128" t="e">
        <f>IF(X4=0,"N/A",'Phase calculation'!L44)</f>
        <v>#N/A</v>
      </c>
      <c r="R42" s="127"/>
    </row>
    <row r="43" spans="2:19" x14ac:dyDescent="0.3">
      <c r="B43" s="70"/>
      <c r="C43" s="70"/>
      <c r="D43" s="70"/>
      <c r="E43" s="70"/>
      <c r="F43" s="70"/>
      <c r="G43" s="70"/>
      <c r="M43" s="127"/>
      <c r="N43" s="127"/>
      <c r="O43" s="127"/>
      <c r="P43" s="127"/>
      <c r="Q43" s="127"/>
      <c r="R43" s="127"/>
    </row>
    <row r="44" spans="2:19" x14ac:dyDescent="0.3">
      <c r="B44" s="70"/>
      <c r="C44" s="70"/>
      <c r="D44" s="70"/>
      <c r="E44" s="70"/>
      <c r="F44" s="70"/>
      <c r="G44" s="70"/>
      <c r="I44" s="9" t="s">
        <v>76</v>
      </c>
      <c r="M44" s="127"/>
      <c r="N44" s="127"/>
      <c r="O44" s="127"/>
      <c r="P44" s="127"/>
      <c r="Q44" s="127"/>
      <c r="R44" s="127"/>
      <c r="S44" s="9" t="s">
        <v>76</v>
      </c>
    </row>
    <row r="45" spans="2:19" x14ac:dyDescent="0.3">
      <c r="B45" s="70"/>
      <c r="C45" s="70"/>
      <c r="D45" s="70"/>
      <c r="E45" s="70"/>
      <c r="F45" s="70"/>
      <c r="G45" s="70"/>
      <c r="M45" s="127"/>
      <c r="N45" s="127"/>
      <c r="O45" s="127"/>
      <c r="P45" s="127"/>
      <c r="Q45" s="127"/>
      <c r="R45" s="127"/>
    </row>
    <row r="46" spans="2:19" x14ac:dyDescent="0.3">
      <c r="B46" s="70"/>
      <c r="C46" s="70"/>
      <c r="D46" s="70"/>
      <c r="E46" s="70"/>
      <c r="F46" s="70"/>
      <c r="G46" s="70"/>
      <c r="M46" s="127"/>
      <c r="N46" s="127"/>
      <c r="O46" s="127"/>
      <c r="P46" s="127"/>
      <c r="Q46" s="127"/>
      <c r="R46" s="127"/>
    </row>
    <row r="47" spans="2:19" x14ac:dyDescent="0.3">
      <c r="B47" s="72" t="str">
        <f>IF(T9=0,"N/A",'Phase calculation'!C40)</f>
        <v>N/A</v>
      </c>
      <c r="C47" s="70"/>
      <c r="H47" s="73">
        <f>'Phase calculation'!H40</f>
        <v>0</v>
      </c>
      <c r="M47" s="129" t="str">
        <f>IF(T9=0,"N/A",'Phase calculation'!C44)</f>
        <v>N/A</v>
      </c>
      <c r="N47" s="127"/>
      <c r="P47" s="152"/>
      <c r="Q47" s="127"/>
    </row>
    <row r="48" spans="2:19" x14ac:dyDescent="0.3">
      <c r="B48" s="70"/>
      <c r="C48" s="74"/>
      <c r="D48" s="310">
        <f>'Phase calculation'!T82</f>
        <v>0.52</v>
      </c>
      <c r="E48" s="310"/>
      <c r="F48" s="310"/>
      <c r="M48" s="127"/>
      <c r="N48" s="130"/>
      <c r="O48" s="303" t="e">
        <f>'Phase calculation'!T84</f>
        <v>#N/A</v>
      </c>
      <c r="P48" s="303"/>
      <c r="Q48" s="303"/>
    </row>
    <row r="49" spans="1:20" x14ac:dyDescent="0.3">
      <c r="A49" s="107">
        <f>A11</f>
        <v>0</v>
      </c>
      <c r="B49" s="72" t="str">
        <f>IF(T11=0,"N/A",'Phase calculation'!D40)</f>
        <v>N/A</v>
      </c>
      <c r="C49" s="74"/>
      <c r="D49" s="310" t="str">
        <f>'Phase calculation'!C52</f>
        <v>Under Capacity</v>
      </c>
      <c r="E49" s="310"/>
      <c r="F49" s="310"/>
      <c r="H49" s="73" t="str">
        <f>IF(Z11=0,"N/A",'Phase calculation'!G40)</f>
        <v>N/A</v>
      </c>
      <c r="I49" s="107" t="str">
        <f>I11</f>
        <v>El Rodeo Rd</v>
      </c>
      <c r="K49" s="107">
        <f>A11</f>
        <v>0</v>
      </c>
      <c r="L49" s="177">
        <f>'Phase calculation'!C46</f>
        <v>0</v>
      </c>
      <c r="M49" s="129" t="str">
        <f>IF(T11=0,"N/A",'Phase calculation'!D44)</f>
        <v>N/A</v>
      </c>
      <c r="N49" s="130"/>
      <c r="O49" s="303"/>
      <c r="P49" s="303"/>
      <c r="Q49" s="303"/>
      <c r="S49" s="177">
        <f>'Phase calculation'!F46</f>
        <v>2.4226185101580135</v>
      </c>
      <c r="T49" s="107" t="str">
        <f>I11</f>
        <v>El Rodeo Rd</v>
      </c>
    </row>
    <row r="50" spans="1:20" x14ac:dyDescent="0.3">
      <c r="B50" s="70"/>
      <c r="C50" s="16"/>
      <c r="D50" s="16"/>
      <c r="E50" s="16"/>
      <c r="F50" s="16"/>
      <c r="G50" s="74"/>
      <c r="H50" s="75"/>
      <c r="M50" s="127"/>
      <c r="N50" s="131"/>
      <c r="O50" s="303"/>
      <c r="P50" s="303"/>
      <c r="Q50" s="303"/>
      <c r="R50" s="130"/>
    </row>
    <row r="51" spans="1:20" x14ac:dyDescent="0.3">
      <c r="B51" s="150">
        <f>'Phase calculation'!E40</f>
        <v>0</v>
      </c>
      <c r="C51" s="16"/>
      <c r="D51" s="77"/>
      <c r="E51" s="77"/>
      <c r="F51" s="16"/>
      <c r="G51" s="16"/>
      <c r="H51" s="76">
        <f>IF(Z13=0,"N/A",'Phase calculation'!F40)</f>
        <v>0.02</v>
      </c>
      <c r="M51" s="151">
        <f>'Phase calculation'!E44</f>
        <v>0</v>
      </c>
      <c r="N51" s="131"/>
      <c r="O51" s="132"/>
      <c r="P51" s="132"/>
      <c r="Q51" s="131"/>
      <c r="R51" s="131"/>
    </row>
    <row r="52" spans="1:20" x14ac:dyDescent="0.3">
      <c r="B52" s="70"/>
      <c r="C52" s="16"/>
      <c r="D52" s="16"/>
      <c r="E52" s="16"/>
      <c r="F52" s="16"/>
      <c r="G52" s="78"/>
      <c r="M52" s="127"/>
      <c r="N52" s="131"/>
      <c r="O52" s="131"/>
      <c r="P52" s="131"/>
      <c r="Q52" s="131"/>
      <c r="R52" s="133"/>
    </row>
    <row r="53" spans="1:20" x14ac:dyDescent="0.3">
      <c r="B53" s="70"/>
      <c r="C53" s="16"/>
      <c r="D53" s="16"/>
      <c r="E53" s="16" t="s">
        <v>77</v>
      </c>
      <c r="F53" s="16"/>
      <c r="G53" s="16"/>
      <c r="M53" s="127"/>
      <c r="N53" s="131"/>
      <c r="O53" s="131"/>
      <c r="P53" s="131" t="s">
        <v>77</v>
      </c>
      <c r="Q53" s="131"/>
      <c r="R53" s="131"/>
    </row>
    <row r="54" spans="1:20" x14ac:dyDescent="0.3">
      <c r="B54" s="70"/>
      <c r="C54" s="79"/>
      <c r="G54" s="16"/>
      <c r="M54" s="127"/>
      <c r="N54" s="134"/>
      <c r="Q54" s="131"/>
      <c r="R54" s="131"/>
    </row>
    <row r="55" spans="1:20" x14ac:dyDescent="0.3">
      <c r="D55" s="80" t="str">
        <f>IF(V17=0,"N/A",'Phase calculation'!I40)</f>
        <v>N/A</v>
      </c>
      <c r="E55" s="80">
        <f>IF(W17=0,"N/A",'Phase calculation'!J40)</f>
        <v>1.25</v>
      </c>
      <c r="F55" s="80">
        <f>'Phase calculation'!K40</f>
        <v>5.1029233696592282E-3</v>
      </c>
      <c r="O55" s="135" t="str">
        <f>IF(V17=0,"N/A",'Phase calculation'!I44)</f>
        <v>N/A</v>
      </c>
      <c r="P55" s="135">
        <f>IF(W17=0,"N/A",'Phase calculation'!J44)</f>
        <v>142.15</v>
      </c>
      <c r="Q55" s="128">
        <f>'Phase calculation'!K44</f>
        <v>15.81</v>
      </c>
    </row>
    <row r="56" spans="1:20" x14ac:dyDescent="0.3">
      <c r="D56" s="300" t="str">
        <f>D18</f>
        <v>SR 95</v>
      </c>
      <c r="E56" s="300"/>
      <c r="F56" s="300"/>
      <c r="O56" s="305">
        <f>'Phase calculation'!I46</f>
        <v>137.50178528347408</v>
      </c>
      <c r="P56" s="305"/>
      <c r="Q56" s="305"/>
    </row>
    <row r="57" spans="1:20" x14ac:dyDescent="0.3">
      <c r="O57" s="300" t="str">
        <f>D18</f>
        <v>SR 95</v>
      </c>
      <c r="P57" s="300"/>
      <c r="Q57" s="300"/>
    </row>
    <row r="58" spans="1:20" x14ac:dyDescent="0.3">
      <c r="G58" s="308" t="s">
        <v>220</v>
      </c>
      <c r="H58" s="308"/>
      <c r="I58" s="308"/>
      <c r="J58" s="308"/>
      <c r="K58" s="308"/>
      <c r="L58" s="308"/>
      <c r="M58" s="22"/>
    </row>
    <row r="59" spans="1:20" x14ac:dyDescent="0.3">
      <c r="I59" s="300" t="str">
        <f>D3</f>
        <v>SR 95</v>
      </c>
      <c r="J59" s="300"/>
      <c r="K59" s="300"/>
    </row>
    <row r="60" spans="1:20" x14ac:dyDescent="0.3">
      <c r="I60" s="2"/>
      <c r="J60" s="9" t="e">
        <f>'Phase calculation'!L47</f>
        <v>#N/A</v>
      </c>
      <c r="K60" s="2"/>
    </row>
    <row r="61" spans="1:20" x14ac:dyDescent="0.3">
      <c r="I61" s="84" t="str">
        <f>'Phase calculation'!N45</f>
        <v>N/A</v>
      </c>
      <c r="J61" s="84" t="str">
        <f>'Phase calculation'!M45</f>
        <v>D</v>
      </c>
      <c r="K61" s="84" t="e">
        <f>'Phase calculation'!L45</f>
        <v>#N/A</v>
      </c>
      <c r="P61" s="2" t="s">
        <v>139</v>
      </c>
      <c r="Q61" s="2" t="s">
        <v>221</v>
      </c>
    </row>
    <row r="62" spans="1:20" x14ac:dyDescent="0.3">
      <c r="P62" s="2" t="s">
        <v>142</v>
      </c>
      <c r="Q62" s="36"/>
    </row>
    <row r="63" spans="1:20" x14ac:dyDescent="0.3">
      <c r="N63" s="9" t="s">
        <v>76</v>
      </c>
      <c r="P63" s="2" t="s">
        <v>143</v>
      </c>
      <c r="Q63" s="82"/>
    </row>
    <row r="64" spans="1:20" x14ac:dyDescent="0.3">
      <c r="P64" s="2" t="s">
        <v>144</v>
      </c>
      <c r="Q64" s="83"/>
    </row>
    <row r="65" spans="5:17" x14ac:dyDescent="0.3">
      <c r="P65" s="2" t="s">
        <v>145</v>
      </c>
      <c r="Q65" s="1"/>
    </row>
    <row r="66" spans="5:17" ht="15" customHeight="1" x14ac:dyDescent="0.3">
      <c r="G66" s="154" t="str">
        <f>'Phase calculation'!C45</f>
        <v>N/A</v>
      </c>
      <c r="J66" s="153"/>
      <c r="M66" s="85" t="str">
        <f>'Phase calculation'!H45</f>
        <v>N/A</v>
      </c>
      <c r="P66" s="2" t="s">
        <v>146</v>
      </c>
      <c r="Q66" s="81"/>
    </row>
    <row r="67" spans="5:17" ht="15" customHeight="1" x14ac:dyDescent="0.3">
      <c r="G67" s="40"/>
      <c r="H67" s="5"/>
      <c r="I67" s="309" t="e">
        <f>'Phase calculation'!U84</f>
        <v>#N/A</v>
      </c>
      <c r="J67" s="309"/>
      <c r="K67" s="309"/>
      <c r="P67" s="2" t="s">
        <v>147</v>
      </c>
      <c r="Q67" s="28"/>
    </row>
    <row r="68" spans="5:17" ht="15" customHeight="1" x14ac:dyDescent="0.3">
      <c r="E68" s="107">
        <f>A11</f>
        <v>0</v>
      </c>
      <c r="F68" s="9" t="str">
        <f>'Phase calculation'!C47</f>
        <v>N/A</v>
      </c>
      <c r="G68" s="40" t="str">
        <f>'Phase calculation'!D45</f>
        <v>N/A</v>
      </c>
      <c r="H68" s="5"/>
      <c r="I68" s="309"/>
      <c r="J68" s="309"/>
      <c r="K68" s="309"/>
      <c r="M68" s="85" t="str">
        <f>'Phase calculation'!G45</f>
        <v>N/A</v>
      </c>
      <c r="N68" s="9" t="str">
        <f>'Phase calculation'!F47</f>
        <v>A</v>
      </c>
      <c r="O68" s="107" t="str">
        <f>I11</f>
        <v>El Rodeo Rd</v>
      </c>
    </row>
    <row r="69" spans="5:17" ht="15" customHeight="1" x14ac:dyDescent="0.3">
      <c r="H69" s="15"/>
      <c r="I69" s="309"/>
      <c r="J69" s="309"/>
      <c r="K69" s="309"/>
      <c r="L69" s="5"/>
      <c r="M69" s="86"/>
      <c r="N69" s="5"/>
    </row>
    <row r="70" spans="5:17" x14ac:dyDescent="0.3">
      <c r="G70" s="40" t="str">
        <f>'Phase calculation'!E45</f>
        <v>N/A</v>
      </c>
      <c r="H70" s="16"/>
      <c r="I70" s="17"/>
      <c r="J70" s="17"/>
      <c r="K70" s="8"/>
      <c r="L70" s="8"/>
      <c r="M70" s="86" t="str">
        <f>'Phase calculation'!F45</f>
        <v>B</v>
      </c>
      <c r="N70" s="5"/>
    </row>
    <row r="71" spans="5:17" x14ac:dyDescent="0.3">
      <c r="H71" s="8"/>
      <c r="I71" s="8"/>
      <c r="J71" s="8"/>
      <c r="K71" s="8"/>
      <c r="L71" s="10"/>
      <c r="M71" s="10"/>
    </row>
    <row r="72" spans="5:17" x14ac:dyDescent="0.3">
      <c r="H72" s="8"/>
      <c r="I72" s="8"/>
      <c r="J72" s="8" t="s">
        <v>77</v>
      </c>
      <c r="K72" s="8"/>
      <c r="L72" s="8"/>
      <c r="M72" s="8"/>
    </row>
    <row r="73" spans="5:17" x14ac:dyDescent="0.3">
      <c r="H73" s="6"/>
      <c r="K73" s="8"/>
      <c r="L73" s="8"/>
      <c r="M73" s="8"/>
    </row>
    <row r="74" spans="5:17" x14ac:dyDescent="0.3">
      <c r="I74" s="9" t="str">
        <f>'Phase calculation'!I45</f>
        <v>N/A</v>
      </c>
      <c r="J74" s="9" t="str">
        <f>'Phase calculation'!J45</f>
        <v>F</v>
      </c>
      <c r="K74" s="84" t="str">
        <f>'Phase calculation'!K45</f>
        <v>B</v>
      </c>
    </row>
    <row r="75" spans="5:17" x14ac:dyDescent="0.3">
      <c r="J75" s="9" t="str">
        <f>'Phase calculation'!I47</f>
        <v>F</v>
      </c>
    </row>
    <row r="76" spans="5:17" x14ac:dyDescent="0.3">
      <c r="I76" s="300" t="str">
        <f>D18</f>
        <v>SR 95</v>
      </c>
      <c r="J76" s="300"/>
      <c r="K76" s="300"/>
    </row>
    <row r="82" spans="6:19" x14ac:dyDescent="0.3">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3">
      <c r="F83" s="2" t="s">
        <v>124</v>
      </c>
      <c r="G83" s="2">
        <f>'Phase calculation'!C33</f>
        <v>0</v>
      </c>
      <c r="H83" s="2">
        <f>'Phase calculation'!D33</f>
        <v>0</v>
      </c>
      <c r="I83" s="2">
        <f>'Phase calculation'!F33</f>
        <v>8</v>
      </c>
      <c r="J83" s="2">
        <f>'Phase calculation'!G33</f>
        <v>8</v>
      </c>
      <c r="K83" s="2">
        <f>'Phase calculation'!I33</f>
        <v>0</v>
      </c>
      <c r="L83" s="2">
        <f>'Phase calculation'!J33</f>
        <v>2</v>
      </c>
      <c r="M83" s="2">
        <f>'Phase calculation'!L33</f>
        <v>1</v>
      </c>
      <c r="N83" s="2">
        <f>'Phase calculation'!M33</f>
        <v>6</v>
      </c>
    </row>
    <row r="84" spans="6:19" x14ac:dyDescent="0.3">
      <c r="F84" s="2" t="s">
        <v>316</v>
      </c>
      <c r="G84" s="2">
        <f>'Phase calculation'!C34</f>
        <v>0</v>
      </c>
      <c r="H84" s="2">
        <f>'Phase calculation'!D34</f>
        <v>0</v>
      </c>
      <c r="I84" s="2">
        <f>'Phase calculation'!F34</f>
        <v>34</v>
      </c>
      <c r="J84" s="2">
        <f>'Phase calculation'!G34</f>
        <v>34</v>
      </c>
      <c r="K84" s="2">
        <f>'Phase calculation'!I34</f>
        <v>0</v>
      </c>
      <c r="L84" s="2">
        <f>'Phase calculation'!J34</f>
        <v>27</v>
      </c>
      <c r="M84" s="2">
        <f>'Phase calculation'!L34</f>
        <v>9</v>
      </c>
      <c r="N84" s="2">
        <f>'Phase calculation'!M34</f>
        <v>36</v>
      </c>
    </row>
    <row r="85" spans="6:19" x14ac:dyDescent="0.3">
      <c r="F85" s="2" t="s">
        <v>149</v>
      </c>
      <c r="G85" s="2">
        <f>'Phase calculation'!C41</f>
        <v>0</v>
      </c>
      <c r="H85" s="2">
        <f>'Phase calculation'!D41</f>
        <v>0</v>
      </c>
      <c r="I85" s="2">
        <f>'Phase calculation'!F41</f>
        <v>4826</v>
      </c>
      <c r="J85" s="2">
        <f>'Phase calculation'!G41</f>
        <v>2413</v>
      </c>
      <c r="K85" s="2" t="e">
        <f>'Phase calculation'!I41</f>
        <v>#N/A</v>
      </c>
      <c r="L85" s="2">
        <f>'Phase calculation'!J41</f>
        <v>1388</v>
      </c>
      <c r="M85" s="2" t="e">
        <f>'Phase calculation'!L41</f>
        <v>#N/A</v>
      </c>
      <c r="N85" s="2">
        <f>'Phase calculation'!M41</f>
        <v>1287</v>
      </c>
    </row>
    <row r="86" spans="6:19" x14ac:dyDescent="0.3">
      <c r="F86" s="2" t="s">
        <v>135</v>
      </c>
      <c r="G86" s="2">
        <f>'Phase calculation'!C40</f>
        <v>0</v>
      </c>
      <c r="H86" s="2">
        <f>'Phase calculation'!D40</f>
        <v>0</v>
      </c>
      <c r="I86" s="2">
        <f>'Phase calculation'!F40</f>
        <v>0.02</v>
      </c>
      <c r="J86" s="2">
        <f>'Phase calculation'!G40</f>
        <v>0.08</v>
      </c>
      <c r="K86" s="2" t="e">
        <f>'Phase calculation'!I40</f>
        <v>#N/A</v>
      </c>
      <c r="L86" s="2">
        <f>'Phase calculation'!J40</f>
        <v>1.25</v>
      </c>
      <c r="M86" s="2" t="e">
        <f>'Phase calculation'!L40</f>
        <v>#N/A</v>
      </c>
      <c r="N86" s="2">
        <f>'Phase calculation'!M40</f>
        <v>0.99</v>
      </c>
    </row>
    <row r="87" spans="6:19" x14ac:dyDescent="0.3">
      <c r="F87" s="2" t="s">
        <v>150</v>
      </c>
      <c r="G87" s="2">
        <f>'Phase calculation'!C44</f>
        <v>0</v>
      </c>
      <c r="H87" s="2">
        <f>'Phase calculation'!D44</f>
        <v>0</v>
      </c>
      <c r="I87" s="2">
        <f>'Phase calculation'!F44</f>
        <v>11.54</v>
      </c>
      <c r="J87" s="2">
        <f>'Phase calculation'!G44</f>
        <v>0</v>
      </c>
      <c r="K87" s="2">
        <f>'Phase calculation'!I44</f>
        <v>0</v>
      </c>
      <c r="L87" s="2">
        <f>'Phase calculation'!J44</f>
        <v>142.15</v>
      </c>
      <c r="M87" s="2" t="e">
        <f>'Phase calculation'!L44</f>
        <v>#N/A</v>
      </c>
      <c r="N87" s="2">
        <f>'Phase calculation'!M44</f>
        <v>41.65</v>
      </c>
    </row>
    <row r="88" spans="6:19" x14ac:dyDescent="0.3">
      <c r="F88" s="2" t="s">
        <v>139</v>
      </c>
      <c r="G88" s="2" t="str">
        <f>'Phase calculation'!C45</f>
        <v>N/A</v>
      </c>
      <c r="H88" s="2" t="str">
        <f>'Phase calculation'!D45</f>
        <v>N/A</v>
      </c>
      <c r="I88" s="2" t="str">
        <f>'Phase calculation'!F45</f>
        <v>B</v>
      </c>
      <c r="J88" s="2" t="str">
        <f>'Phase calculation'!G45</f>
        <v>N/A</v>
      </c>
      <c r="K88" s="2" t="str">
        <f>'Phase calculation'!I45</f>
        <v>N/A</v>
      </c>
      <c r="L88" s="2" t="str">
        <f>'Phase calculation'!J45</f>
        <v>F</v>
      </c>
      <c r="M88" s="2" t="e">
        <f>'Phase calculation'!L45</f>
        <v>#N/A</v>
      </c>
      <c r="N88" s="2" t="str">
        <f>'Phase calculation'!M45</f>
        <v>D</v>
      </c>
    </row>
    <row r="89" spans="6:19" ht="21" thickBot="1" x14ac:dyDescent="0.4">
      <c r="G89" s="248" t="s">
        <v>560</v>
      </c>
      <c r="H89" s="248" t="s">
        <v>556</v>
      </c>
      <c r="I89" s="248" t="s">
        <v>561</v>
      </c>
      <c r="J89" s="248" t="s">
        <v>555</v>
      </c>
      <c r="K89" s="248" t="s">
        <v>559</v>
      </c>
      <c r="L89" s="248" t="s">
        <v>557</v>
      </c>
      <c r="M89" s="248">
        <v>9</v>
      </c>
      <c r="N89" s="248" t="s">
        <v>558</v>
      </c>
    </row>
    <row r="90" spans="6:19" s="2" customFormat="1" ht="20.399999999999999" x14ac:dyDescent="0.35">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4">
      <c r="F91" s="114" t="s">
        <v>315</v>
      </c>
      <c r="G91" s="114">
        <f>IFERROR(MATCH(G90,$G$83:$N$83,0),0)</f>
        <v>7</v>
      </c>
      <c r="H91" s="84">
        <f t="shared" ref="H91:N91" si="0">IFERROR(MATCH(H90,$G$83:$N$83,0),0)</f>
        <v>6</v>
      </c>
      <c r="I91" s="84">
        <f t="shared" si="0"/>
        <v>0</v>
      </c>
      <c r="J91" s="84">
        <f t="shared" si="0"/>
        <v>0</v>
      </c>
      <c r="K91" s="84">
        <f t="shared" si="0"/>
        <v>0</v>
      </c>
      <c r="L91" s="84">
        <f t="shared" si="0"/>
        <v>8</v>
      </c>
      <c r="M91" s="84">
        <f t="shared" si="0"/>
        <v>0</v>
      </c>
      <c r="N91" s="115">
        <f t="shared" si="0"/>
        <v>3</v>
      </c>
      <c r="Q91" s="249" t="e">
        <f t="shared" ref="Q91:Q98" si="1">INDEX($G$93:$N$93,1,P91)</f>
        <v>#VALUE!</v>
      </c>
      <c r="R91" s="249"/>
      <c r="S91" s="249"/>
    </row>
    <row r="92" spans="6:19" s="2" customFormat="1" ht="20.399999999999999" x14ac:dyDescent="0.35">
      <c r="F92" s="306" t="s">
        <v>73</v>
      </c>
      <c r="G92" s="114" t="str">
        <f>IF(G91=0,"Not used",INDEX($G$82:$N$82,G91))</f>
        <v>SBL</v>
      </c>
      <c r="H92" s="84" t="str">
        <f t="shared" ref="H92:N92" si="2">IF(H91=0,"Not used",INDEX($G$82:$N$82,H91))</f>
        <v>NBT</v>
      </c>
      <c r="I92" s="84" t="str">
        <f t="shared" si="2"/>
        <v>Not used</v>
      </c>
      <c r="J92" s="84" t="str">
        <f t="shared" si="2"/>
        <v>Not used</v>
      </c>
      <c r="K92" s="84" t="str">
        <f t="shared" si="2"/>
        <v>Not used</v>
      </c>
      <c r="L92" s="84" t="str">
        <f t="shared" si="2"/>
        <v>SBT</v>
      </c>
      <c r="M92" s="84" t="str">
        <f t="shared" si="2"/>
        <v>Not used</v>
      </c>
      <c r="N92" s="115" t="str">
        <f t="shared" si="2"/>
        <v>WBL</v>
      </c>
      <c r="P92" s="2">
        <v>7</v>
      </c>
      <c r="Q92" s="248" t="str">
        <f t="shared" si="1"/>
        <v/>
      </c>
      <c r="R92" s="248"/>
      <c r="S92" s="248"/>
    </row>
    <row r="93" spans="6:19" s="2" customFormat="1" ht="25.2" x14ac:dyDescent="0.45">
      <c r="F93" s="306"/>
      <c r="G93" s="250">
        <f t="shared" ref="G93:N93" si="3">IF(G91=0,"",INDEX($G$89:$N$89,G91))</f>
        <v>9</v>
      </c>
      <c r="H93" s="251" t="str">
        <f t="shared" si="3"/>
        <v>#</v>
      </c>
      <c r="I93" s="251" t="str">
        <f t="shared" si="3"/>
        <v/>
      </c>
      <c r="J93" s="251" t="str">
        <f t="shared" si="3"/>
        <v/>
      </c>
      <c r="K93" s="251" t="str">
        <f t="shared" si="3"/>
        <v/>
      </c>
      <c r="L93" s="251" t="str">
        <f t="shared" si="3"/>
        <v>$</v>
      </c>
      <c r="M93" s="251" t="str">
        <f t="shared" si="3"/>
        <v/>
      </c>
      <c r="N93" s="252" t="str">
        <f t="shared" si="3"/>
        <v>&gt;</v>
      </c>
      <c r="P93" s="2">
        <v>6</v>
      </c>
      <c r="Q93" s="248" t="str">
        <f t="shared" si="1"/>
        <v>$</v>
      </c>
      <c r="R93" s="248"/>
      <c r="S93" s="248"/>
    </row>
    <row r="94" spans="6:19" s="2" customFormat="1" ht="20.399999999999999" x14ac:dyDescent="0.35">
      <c r="F94" s="114" t="s">
        <v>317</v>
      </c>
      <c r="G94" s="114">
        <f>IF(G91=0,"Not used",INDEX($G$84:$N$84,G91))</f>
        <v>9</v>
      </c>
      <c r="H94" s="84">
        <f t="shared" ref="H94:N94" si="4">IF(H91=0,"Not used",INDEX($G$84:$N$84,H91))</f>
        <v>27</v>
      </c>
      <c r="I94" s="84" t="str">
        <f t="shared" si="4"/>
        <v>Not used</v>
      </c>
      <c r="J94" s="84" t="str">
        <f t="shared" si="4"/>
        <v>Not used</v>
      </c>
      <c r="K94" s="84" t="str">
        <f t="shared" si="4"/>
        <v>Not used</v>
      </c>
      <c r="L94" s="84">
        <f t="shared" si="4"/>
        <v>36</v>
      </c>
      <c r="M94" s="84" t="str">
        <f t="shared" si="4"/>
        <v>Not used</v>
      </c>
      <c r="N94" s="115">
        <f t="shared" si="4"/>
        <v>34</v>
      </c>
      <c r="P94" s="2">
        <v>5</v>
      </c>
      <c r="Q94" s="248" t="str">
        <f t="shared" si="1"/>
        <v/>
      </c>
      <c r="R94" s="248"/>
      <c r="S94" s="248"/>
    </row>
    <row r="95" spans="6:19" s="2" customFormat="1" ht="20.399999999999999" x14ac:dyDescent="0.35">
      <c r="F95" s="114" t="s">
        <v>318</v>
      </c>
      <c r="G95" s="114" t="e">
        <f>IF(G91=0,"Not used",INDEX($G$85:$N$85,G91))</f>
        <v>#N/A</v>
      </c>
      <c r="H95" s="84">
        <f t="shared" ref="H95:N95" si="5">IF(H91=0,"Not used",INDEX($G$85:$N$85,H91))</f>
        <v>1388</v>
      </c>
      <c r="I95" s="84" t="str">
        <f t="shared" si="5"/>
        <v>Not used</v>
      </c>
      <c r="J95" s="84" t="str">
        <f t="shared" si="5"/>
        <v>Not used</v>
      </c>
      <c r="K95" s="84" t="str">
        <f t="shared" si="5"/>
        <v>Not used</v>
      </c>
      <c r="L95" s="84">
        <f t="shared" si="5"/>
        <v>1287</v>
      </c>
      <c r="M95" s="84" t="str">
        <f t="shared" si="5"/>
        <v>Not used</v>
      </c>
      <c r="N95" s="115">
        <f t="shared" si="5"/>
        <v>4826</v>
      </c>
      <c r="P95" s="2">
        <v>4</v>
      </c>
      <c r="Q95" s="248" t="str">
        <f t="shared" si="1"/>
        <v/>
      </c>
      <c r="R95" s="248"/>
      <c r="S95" s="248"/>
    </row>
    <row r="96" spans="6:19" s="2" customFormat="1" ht="20.399999999999999" x14ac:dyDescent="0.35">
      <c r="F96" s="114" t="s">
        <v>135</v>
      </c>
      <c r="G96" s="114" t="e">
        <f>IF(G91=0,"Not used",INDEX($G$86:$N$86,G91))</f>
        <v>#N/A</v>
      </c>
      <c r="H96" s="84">
        <f t="shared" ref="H96:N96" si="6">IF(H91=0,"Not used",INDEX($G$86:$N$86,H91))</f>
        <v>1.25</v>
      </c>
      <c r="I96" s="84" t="str">
        <f t="shared" si="6"/>
        <v>Not used</v>
      </c>
      <c r="J96" s="84" t="str">
        <f t="shared" si="6"/>
        <v>Not used</v>
      </c>
      <c r="K96" s="84" t="str">
        <f t="shared" si="6"/>
        <v>Not used</v>
      </c>
      <c r="L96" s="84">
        <f t="shared" si="6"/>
        <v>0.99</v>
      </c>
      <c r="M96" s="84" t="str">
        <f t="shared" si="6"/>
        <v>Not used</v>
      </c>
      <c r="N96" s="115">
        <f t="shared" si="6"/>
        <v>0.02</v>
      </c>
      <c r="P96" s="2">
        <v>3</v>
      </c>
      <c r="Q96" s="248" t="str">
        <f t="shared" si="1"/>
        <v/>
      </c>
      <c r="R96" s="248"/>
      <c r="S96" s="248"/>
    </row>
    <row r="97" spans="6:19" s="2" customFormat="1" ht="20.399999999999999" x14ac:dyDescent="0.35">
      <c r="F97" s="114" t="s">
        <v>319</v>
      </c>
      <c r="G97" s="114" t="e">
        <f>IF(G91=0,"Not used",INDEX($G$87:$N$87,G91))</f>
        <v>#N/A</v>
      </c>
      <c r="H97" s="84">
        <f t="shared" ref="H97:N97" si="7">IF(H91=0,"Not used",INDEX($G$87:$N$87,H91))</f>
        <v>142.15</v>
      </c>
      <c r="I97" s="84" t="str">
        <f t="shared" si="7"/>
        <v>Not used</v>
      </c>
      <c r="J97" s="84" t="str">
        <f t="shared" si="7"/>
        <v>Not used</v>
      </c>
      <c r="K97" s="84" t="str">
        <f t="shared" si="7"/>
        <v>Not used</v>
      </c>
      <c r="L97" s="84">
        <f t="shared" si="7"/>
        <v>41.65</v>
      </c>
      <c r="M97" s="84" t="str">
        <f t="shared" si="7"/>
        <v>Not used</v>
      </c>
      <c r="N97" s="115">
        <f t="shared" si="7"/>
        <v>11.54</v>
      </c>
      <c r="P97" s="2">
        <v>2</v>
      </c>
      <c r="Q97" s="248" t="str">
        <f t="shared" si="1"/>
        <v>#</v>
      </c>
      <c r="R97" s="248"/>
      <c r="S97" s="248"/>
    </row>
    <row r="98" spans="6:19" s="2" customFormat="1" ht="21" thickBot="1" x14ac:dyDescent="0.4">
      <c r="F98" s="116" t="s">
        <v>139</v>
      </c>
      <c r="G98" s="116" t="e">
        <f>IF(G91=0,"Not used",INDEX($G$88:$N$88,G91))</f>
        <v>#N/A</v>
      </c>
      <c r="H98" s="117" t="str">
        <f t="shared" ref="H98:N98" si="8">IF(H91=0,"Not used",INDEX($G$88:$N$88,H91))</f>
        <v>F</v>
      </c>
      <c r="I98" s="117" t="str">
        <f t="shared" si="8"/>
        <v>Not used</v>
      </c>
      <c r="J98" s="117" t="str">
        <f t="shared" si="8"/>
        <v>Not used</v>
      </c>
      <c r="K98" s="117" t="str">
        <f t="shared" si="8"/>
        <v>Not used</v>
      </c>
      <c r="L98" s="117" t="str">
        <f t="shared" si="8"/>
        <v>D</v>
      </c>
      <c r="M98" s="117" t="str">
        <f t="shared" si="8"/>
        <v>Not used</v>
      </c>
      <c r="N98" s="118" t="str">
        <f t="shared" si="8"/>
        <v>B</v>
      </c>
      <c r="P98" s="2">
        <v>1</v>
      </c>
      <c r="Q98" s="248">
        <f t="shared" si="1"/>
        <v>9</v>
      </c>
      <c r="R98" s="248"/>
      <c r="S98" s="248"/>
    </row>
    <row r="99" spans="6:19" s="2" customFormat="1" x14ac:dyDescent="0.3"/>
    <row r="100" spans="6:19" s="2" customFormat="1" x14ac:dyDescent="0.3"/>
    <row r="101" spans="6:19" s="2" customFormat="1" x14ac:dyDescent="0.3"/>
    <row r="102" spans="6:19" s="2" customFormat="1" x14ac:dyDescent="0.3"/>
    <row r="103" spans="6:19" s="2" customFormat="1" x14ac:dyDescent="0.3"/>
    <row r="104" spans="6:19" s="2" customFormat="1" x14ac:dyDescent="0.3"/>
    <row r="105" spans="6:19" s="2" customFormat="1" x14ac:dyDescent="0.3"/>
    <row r="106" spans="6:19" s="2" customFormat="1" x14ac:dyDescent="0.3"/>
    <row r="107" spans="6:19" s="2" customFormat="1" x14ac:dyDescent="0.3"/>
    <row r="108" spans="6:19" s="2" customFormat="1" x14ac:dyDescent="0.3"/>
    <row r="109" spans="6:19" s="2" customFormat="1" x14ac:dyDescent="0.3"/>
    <row r="110" spans="6:19" s="2" customFormat="1" x14ac:dyDescent="0.3"/>
    <row r="111" spans="6:19" s="2" customFormat="1" x14ac:dyDescent="0.3"/>
    <row r="112" spans="6:19" s="2" customFormat="1" x14ac:dyDescent="0.3"/>
    <row r="113" s="2"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4.4" x14ac:dyDescent="0.3"/>
  <sheetData>
    <row r="1" spans="1:2" x14ac:dyDescent="0.3">
      <c r="A1" t="s">
        <v>641</v>
      </c>
    </row>
    <row r="2" spans="1:2" x14ac:dyDescent="0.3">
      <c r="A2" t="s">
        <v>642</v>
      </c>
    </row>
    <row r="3" spans="1:2" x14ac:dyDescent="0.3">
      <c r="A3" t="s">
        <v>0</v>
      </c>
      <c r="B3" t="s">
        <v>643</v>
      </c>
    </row>
    <row r="4" spans="1:2" x14ac:dyDescent="0.3">
      <c r="A4" t="s">
        <v>644</v>
      </c>
      <c r="B4">
        <v>8</v>
      </c>
    </row>
    <row r="5" spans="1:2" x14ac:dyDescent="0.3">
      <c r="A5" t="s">
        <v>645</v>
      </c>
      <c r="B5">
        <v>0</v>
      </c>
    </row>
    <row r="6" spans="1:2" x14ac:dyDescent="0.3">
      <c r="A6" t="s">
        <v>646</v>
      </c>
      <c r="B6">
        <v>3.5</v>
      </c>
    </row>
    <row r="7" spans="1:2" x14ac:dyDescent="0.3">
      <c r="A7" t="s">
        <v>647</v>
      </c>
      <c r="B7">
        <v>1</v>
      </c>
    </row>
    <row r="8" spans="1:2" x14ac:dyDescent="0.3">
      <c r="A8" t="s">
        <v>264</v>
      </c>
      <c r="B8">
        <v>7</v>
      </c>
    </row>
    <row r="9" spans="1:2" x14ac:dyDescent="0.3">
      <c r="A9" t="s">
        <v>265</v>
      </c>
      <c r="B9">
        <v>11</v>
      </c>
    </row>
    <row r="10" spans="1:2" x14ac:dyDescent="0.3">
      <c r="A10" t="s">
        <v>648</v>
      </c>
      <c r="B10">
        <v>0.02</v>
      </c>
    </row>
    <row r="11" spans="1:2" x14ac:dyDescent="0.3">
      <c r="A11" t="s">
        <v>56</v>
      </c>
      <c r="B11">
        <v>0.92</v>
      </c>
    </row>
    <row r="12" spans="1:2" x14ac:dyDescent="0.3">
      <c r="A12" t="s">
        <v>649</v>
      </c>
      <c r="B12">
        <v>12</v>
      </c>
    </row>
    <row r="13" spans="1:2" x14ac:dyDescent="0.3">
      <c r="A13" t="s">
        <v>650</v>
      </c>
      <c r="B13">
        <v>1900</v>
      </c>
    </row>
    <row r="14" spans="1:2" x14ac:dyDescent="0.3">
      <c r="A14" t="s">
        <v>651</v>
      </c>
      <c r="B14">
        <v>25</v>
      </c>
    </row>
    <row r="15" spans="1:2" x14ac:dyDescent="0.3">
      <c r="A15" t="s">
        <v>652</v>
      </c>
      <c r="B15">
        <v>45</v>
      </c>
    </row>
    <row r="16" spans="1:2" x14ac:dyDescent="0.3">
      <c r="A16" t="s">
        <v>653</v>
      </c>
      <c r="B16">
        <v>4.5</v>
      </c>
    </row>
    <row r="17" spans="1:11" x14ac:dyDescent="0.3">
      <c r="A17" t="s">
        <v>654</v>
      </c>
      <c r="B17">
        <v>2.5</v>
      </c>
    </row>
    <row r="18" spans="1:11" x14ac:dyDescent="0.3">
      <c r="A18" t="s">
        <v>655</v>
      </c>
      <c r="B18">
        <v>5</v>
      </c>
    </row>
    <row r="19" spans="1:11" x14ac:dyDescent="0.3">
      <c r="A19" t="s">
        <v>656</v>
      </c>
      <c r="B19">
        <v>3.7</v>
      </c>
    </row>
    <row r="20" spans="1:11" x14ac:dyDescent="0.3">
      <c r="A20" t="s">
        <v>657</v>
      </c>
      <c r="B20">
        <v>1</v>
      </c>
    </row>
    <row r="21" spans="1:11" x14ac:dyDescent="0.3">
      <c r="A21" t="s">
        <v>658</v>
      </c>
      <c r="B21">
        <v>3.5</v>
      </c>
    </row>
    <row r="22" spans="1:11" x14ac:dyDescent="0.3">
      <c r="A22" t="s">
        <v>659</v>
      </c>
      <c r="B22">
        <v>0</v>
      </c>
    </row>
    <row r="23" spans="1:11" x14ac:dyDescent="0.3">
      <c r="A23" t="s">
        <v>731</v>
      </c>
      <c r="B23" s="262">
        <v>43550</v>
      </c>
    </row>
    <row r="24" spans="1:11" x14ac:dyDescent="0.3">
      <c r="A24" t="s">
        <v>660</v>
      </c>
      <c r="B24" s="259">
        <v>0.375</v>
      </c>
    </row>
    <row r="26" spans="1:11" x14ac:dyDescent="0.3">
      <c r="A26" t="s">
        <v>661</v>
      </c>
    </row>
    <row r="27" spans="1:11" x14ac:dyDescent="0.3">
      <c r="A27" t="s">
        <v>662</v>
      </c>
    </row>
    <row r="28" spans="1:11" x14ac:dyDescent="0.3">
      <c r="A28" t="s">
        <v>1</v>
      </c>
      <c r="B28" t="s">
        <v>663</v>
      </c>
      <c r="C28" t="s">
        <v>664</v>
      </c>
      <c r="D28" t="s">
        <v>665</v>
      </c>
      <c r="E28" t="s">
        <v>666</v>
      </c>
      <c r="F28" t="s">
        <v>667</v>
      </c>
      <c r="G28" t="s">
        <v>405</v>
      </c>
      <c r="H28" t="s">
        <v>668</v>
      </c>
      <c r="I28" t="s">
        <v>669</v>
      </c>
      <c r="J28" t="s">
        <v>670</v>
      </c>
      <c r="K28" t="s">
        <v>671</v>
      </c>
    </row>
    <row r="29" spans="1:11" x14ac:dyDescent="0.3">
      <c r="A29">
        <v>31</v>
      </c>
      <c r="B29">
        <v>1</v>
      </c>
      <c r="C29">
        <v>13783</v>
      </c>
      <c r="D29">
        <v>-73346</v>
      </c>
      <c r="E29">
        <v>0</v>
      </c>
    </row>
    <row r="30" spans="1:11" x14ac:dyDescent="0.3">
      <c r="A30">
        <v>39</v>
      </c>
      <c r="B30">
        <v>0</v>
      </c>
      <c r="C30">
        <v>13811</v>
      </c>
      <c r="D30">
        <v>-51558</v>
      </c>
      <c r="E30">
        <v>0</v>
      </c>
    </row>
    <row r="31" spans="1:11" x14ac:dyDescent="0.3">
      <c r="A31">
        <v>73</v>
      </c>
      <c r="B31">
        <v>1</v>
      </c>
      <c r="C31">
        <v>13593</v>
      </c>
      <c r="D31">
        <v>-51555</v>
      </c>
      <c r="E31">
        <v>0</v>
      </c>
    </row>
    <row r="32" spans="1:11" x14ac:dyDescent="0.3">
      <c r="A32">
        <v>74</v>
      </c>
      <c r="B32">
        <v>1</v>
      </c>
      <c r="C32">
        <v>14093</v>
      </c>
      <c r="D32">
        <v>-51562</v>
      </c>
      <c r="E32">
        <v>0</v>
      </c>
    </row>
    <row r="33" spans="1:5" x14ac:dyDescent="0.3">
      <c r="A33">
        <v>75</v>
      </c>
      <c r="B33">
        <v>0</v>
      </c>
      <c r="C33">
        <v>13807</v>
      </c>
      <c r="D33">
        <v>-54543</v>
      </c>
      <c r="E33">
        <v>0</v>
      </c>
    </row>
    <row r="34" spans="1:5" x14ac:dyDescent="0.3">
      <c r="A34">
        <v>76</v>
      </c>
      <c r="B34">
        <v>1</v>
      </c>
      <c r="C34">
        <v>13625</v>
      </c>
      <c r="D34">
        <v>-54543</v>
      </c>
      <c r="E34">
        <v>0</v>
      </c>
    </row>
    <row r="35" spans="1:5" x14ac:dyDescent="0.3">
      <c r="A35">
        <v>77</v>
      </c>
      <c r="B35">
        <v>1</v>
      </c>
      <c r="C35">
        <v>14017</v>
      </c>
      <c r="D35">
        <v>-54544</v>
      </c>
      <c r="E35">
        <v>0</v>
      </c>
    </row>
    <row r="36" spans="1:5" x14ac:dyDescent="0.3">
      <c r="A36">
        <v>78</v>
      </c>
      <c r="B36">
        <v>0</v>
      </c>
      <c r="C36">
        <v>13804</v>
      </c>
      <c r="D36">
        <v>-56850</v>
      </c>
      <c r="E36">
        <v>0</v>
      </c>
    </row>
    <row r="37" spans="1:5" x14ac:dyDescent="0.3">
      <c r="A37">
        <v>79</v>
      </c>
      <c r="B37">
        <v>1</v>
      </c>
      <c r="C37">
        <v>14052</v>
      </c>
      <c r="D37">
        <v>-56853</v>
      </c>
      <c r="E37">
        <v>0</v>
      </c>
    </row>
    <row r="38" spans="1:5" x14ac:dyDescent="0.3">
      <c r="A38">
        <v>80</v>
      </c>
      <c r="B38">
        <v>0</v>
      </c>
      <c r="C38">
        <v>13800</v>
      </c>
      <c r="D38">
        <v>-59510</v>
      </c>
      <c r="E38">
        <v>0</v>
      </c>
    </row>
    <row r="39" spans="1:5" x14ac:dyDescent="0.3">
      <c r="A39">
        <v>81</v>
      </c>
      <c r="B39">
        <v>1</v>
      </c>
      <c r="C39">
        <v>14084</v>
      </c>
      <c r="D39">
        <v>-59519</v>
      </c>
      <c r="E39">
        <v>0</v>
      </c>
    </row>
    <row r="40" spans="1:5" x14ac:dyDescent="0.3">
      <c r="A40">
        <v>82</v>
      </c>
      <c r="B40">
        <v>0</v>
      </c>
      <c r="C40">
        <v>13800</v>
      </c>
      <c r="D40">
        <v>-62170</v>
      </c>
      <c r="E40">
        <v>0</v>
      </c>
    </row>
    <row r="41" spans="1:5" x14ac:dyDescent="0.3">
      <c r="A41">
        <v>83</v>
      </c>
      <c r="B41">
        <v>1</v>
      </c>
      <c r="C41">
        <v>14177</v>
      </c>
      <c r="D41">
        <v>-62169</v>
      </c>
      <c r="E41">
        <v>0</v>
      </c>
    </row>
    <row r="42" spans="1:5" x14ac:dyDescent="0.3">
      <c r="A42">
        <v>84</v>
      </c>
      <c r="B42">
        <v>0</v>
      </c>
      <c r="C42">
        <v>13792</v>
      </c>
      <c r="D42">
        <v>-67466</v>
      </c>
      <c r="E42">
        <v>0</v>
      </c>
    </row>
    <row r="43" spans="1:5" x14ac:dyDescent="0.3">
      <c r="A43">
        <v>85</v>
      </c>
      <c r="B43">
        <v>1</v>
      </c>
      <c r="C43">
        <v>13536</v>
      </c>
      <c r="D43">
        <v>-67466</v>
      </c>
      <c r="E43">
        <v>0</v>
      </c>
    </row>
    <row r="44" spans="1:5" x14ac:dyDescent="0.3">
      <c r="A44">
        <v>86</v>
      </c>
      <c r="B44">
        <v>1</v>
      </c>
      <c r="C44">
        <v>14139</v>
      </c>
      <c r="D44">
        <v>-67465</v>
      </c>
      <c r="E44">
        <v>0</v>
      </c>
    </row>
    <row r="45" spans="1:5" x14ac:dyDescent="0.3">
      <c r="A45">
        <v>87</v>
      </c>
      <c r="B45">
        <v>0</v>
      </c>
      <c r="C45">
        <v>13784</v>
      </c>
      <c r="D45">
        <v>-72776</v>
      </c>
      <c r="E45">
        <v>0</v>
      </c>
    </row>
    <row r="46" spans="1:5" x14ac:dyDescent="0.3">
      <c r="A46">
        <v>88</v>
      </c>
      <c r="B46">
        <v>1</v>
      </c>
      <c r="C46">
        <v>13584</v>
      </c>
      <c r="D46">
        <v>-72775</v>
      </c>
      <c r="E46">
        <v>0</v>
      </c>
    </row>
    <row r="47" spans="1:5" x14ac:dyDescent="0.3">
      <c r="A47">
        <v>89</v>
      </c>
      <c r="B47">
        <v>1</v>
      </c>
      <c r="C47">
        <v>14142</v>
      </c>
      <c r="D47">
        <v>-72779</v>
      </c>
      <c r="E47">
        <v>0</v>
      </c>
    </row>
    <row r="48" spans="1:5" x14ac:dyDescent="0.3">
      <c r="A48">
        <v>97</v>
      </c>
      <c r="B48">
        <v>1</v>
      </c>
      <c r="C48">
        <v>13495</v>
      </c>
      <c r="D48">
        <v>-68792</v>
      </c>
      <c r="E48">
        <v>0</v>
      </c>
    </row>
    <row r="49" spans="1:6" x14ac:dyDescent="0.3">
      <c r="A49">
        <v>98</v>
      </c>
      <c r="B49">
        <v>0</v>
      </c>
      <c r="C49">
        <v>13780</v>
      </c>
      <c r="D49">
        <v>-68780</v>
      </c>
      <c r="E49">
        <v>0</v>
      </c>
    </row>
    <row r="50" spans="1:6" x14ac:dyDescent="0.3">
      <c r="A50">
        <v>106</v>
      </c>
      <c r="B50">
        <v>1</v>
      </c>
      <c r="C50">
        <v>13805</v>
      </c>
      <c r="D50">
        <v>-51459</v>
      </c>
      <c r="E50">
        <v>0</v>
      </c>
    </row>
    <row r="52" spans="1:6" x14ac:dyDescent="0.3">
      <c r="A52" t="s">
        <v>562</v>
      </c>
    </row>
    <row r="53" spans="1:6" x14ac:dyDescent="0.3">
      <c r="A53" t="s">
        <v>672</v>
      </c>
    </row>
    <row r="54" spans="1:6" x14ac:dyDescent="0.3">
      <c r="A54" t="s">
        <v>0</v>
      </c>
      <c r="B54" t="s">
        <v>1</v>
      </c>
      <c r="C54" t="s">
        <v>399</v>
      </c>
      <c r="D54" t="s">
        <v>400</v>
      </c>
      <c r="E54" t="s">
        <v>397</v>
      </c>
      <c r="F54" t="s">
        <v>398</v>
      </c>
    </row>
    <row r="55" spans="1:6" x14ac:dyDescent="0.3">
      <c r="A55" t="s">
        <v>673</v>
      </c>
      <c r="B55">
        <v>31</v>
      </c>
      <c r="D55">
        <v>87</v>
      </c>
    </row>
    <row r="56" spans="1:6" x14ac:dyDescent="0.3">
      <c r="A56" t="s">
        <v>36</v>
      </c>
      <c r="B56">
        <v>31</v>
      </c>
      <c r="D56">
        <v>2</v>
      </c>
    </row>
    <row r="57" spans="1:6" x14ac:dyDescent="0.3">
      <c r="A57" t="s">
        <v>503</v>
      </c>
      <c r="B57">
        <v>31</v>
      </c>
      <c r="D57" t="s">
        <v>735</v>
      </c>
    </row>
    <row r="58" spans="1:6" x14ac:dyDescent="0.3">
      <c r="A58" t="s">
        <v>674</v>
      </c>
      <c r="B58">
        <v>31</v>
      </c>
      <c r="D58">
        <v>570</v>
      </c>
    </row>
    <row r="59" spans="1:6" x14ac:dyDescent="0.3">
      <c r="A59" t="s">
        <v>42</v>
      </c>
      <c r="B59">
        <v>31</v>
      </c>
      <c r="D59">
        <v>45</v>
      </c>
    </row>
    <row r="60" spans="1:6" x14ac:dyDescent="0.3">
      <c r="A60" t="s">
        <v>675</v>
      </c>
      <c r="B60">
        <v>31</v>
      </c>
      <c r="D60">
        <v>8.6</v>
      </c>
    </row>
    <row r="61" spans="1:6" x14ac:dyDescent="0.3">
      <c r="A61" t="s">
        <v>41</v>
      </c>
      <c r="B61">
        <v>31</v>
      </c>
      <c r="D61">
        <v>0</v>
      </c>
    </row>
    <row r="62" spans="1:6" x14ac:dyDescent="0.3">
      <c r="A62" t="s">
        <v>676</v>
      </c>
      <c r="B62">
        <v>31</v>
      </c>
      <c r="D62">
        <v>0</v>
      </c>
    </row>
    <row r="63" spans="1:6" x14ac:dyDescent="0.3">
      <c r="A63" t="s">
        <v>563</v>
      </c>
      <c r="B63">
        <v>31</v>
      </c>
      <c r="D63">
        <v>0</v>
      </c>
    </row>
    <row r="64" spans="1:6" x14ac:dyDescent="0.3">
      <c r="A64" t="s">
        <v>677</v>
      </c>
      <c r="B64">
        <v>31</v>
      </c>
      <c r="D64">
        <v>0</v>
      </c>
    </row>
    <row r="65" spans="1:6" x14ac:dyDescent="0.3">
      <c r="A65" t="s">
        <v>678</v>
      </c>
      <c r="B65">
        <v>31</v>
      </c>
      <c r="D65">
        <v>16</v>
      </c>
    </row>
    <row r="66" spans="1:6" x14ac:dyDescent="0.3">
      <c r="A66" t="s">
        <v>679</v>
      </c>
      <c r="B66">
        <v>31</v>
      </c>
      <c r="D66">
        <v>200</v>
      </c>
    </row>
    <row r="67" spans="1:6" x14ac:dyDescent="0.3">
      <c r="A67" t="s">
        <v>680</v>
      </c>
      <c r="B67">
        <v>31</v>
      </c>
      <c r="D67">
        <v>1980</v>
      </c>
    </row>
    <row r="68" spans="1:6" x14ac:dyDescent="0.3">
      <c r="A68" t="s">
        <v>681</v>
      </c>
      <c r="B68">
        <v>31</v>
      </c>
      <c r="D68">
        <v>1320</v>
      </c>
    </row>
    <row r="69" spans="1:6" x14ac:dyDescent="0.3">
      <c r="A69" t="s">
        <v>682</v>
      </c>
      <c r="B69">
        <v>31</v>
      </c>
      <c r="D69">
        <v>2640</v>
      </c>
    </row>
    <row r="70" spans="1:6" x14ac:dyDescent="0.3">
      <c r="A70" t="s">
        <v>683</v>
      </c>
      <c r="B70">
        <v>31</v>
      </c>
    </row>
    <row r="71" spans="1:6" x14ac:dyDescent="0.3">
      <c r="A71" t="s">
        <v>684</v>
      </c>
      <c r="B71">
        <v>31</v>
      </c>
    </row>
    <row r="72" spans="1:6" x14ac:dyDescent="0.3">
      <c r="A72" t="s">
        <v>685</v>
      </c>
      <c r="B72">
        <v>31</v>
      </c>
    </row>
    <row r="73" spans="1:6" x14ac:dyDescent="0.3">
      <c r="A73" t="s">
        <v>686</v>
      </c>
      <c r="B73">
        <v>31</v>
      </c>
      <c r="D73" t="b">
        <v>0</v>
      </c>
    </row>
    <row r="74" spans="1:6" x14ac:dyDescent="0.3">
      <c r="A74" t="s">
        <v>687</v>
      </c>
      <c r="B74">
        <v>31</v>
      </c>
      <c r="D74" t="b">
        <v>0</v>
      </c>
    </row>
    <row r="75" spans="1:6" x14ac:dyDescent="0.3">
      <c r="A75" t="s">
        <v>673</v>
      </c>
      <c r="B75">
        <v>39</v>
      </c>
      <c r="C75">
        <v>75</v>
      </c>
      <c r="D75">
        <v>106</v>
      </c>
      <c r="E75">
        <v>73</v>
      </c>
      <c r="F75">
        <v>74</v>
      </c>
    </row>
    <row r="76" spans="1:6" x14ac:dyDescent="0.3">
      <c r="A76" t="s">
        <v>36</v>
      </c>
      <c r="B76">
        <v>39</v>
      </c>
      <c r="C76">
        <v>3</v>
      </c>
      <c r="D76">
        <v>3</v>
      </c>
      <c r="E76">
        <v>2</v>
      </c>
      <c r="F76">
        <v>2</v>
      </c>
    </row>
    <row r="77" spans="1:6" x14ac:dyDescent="0.3">
      <c r="A77" t="s">
        <v>503</v>
      </c>
      <c r="B77">
        <v>39</v>
      </c>
      <c r="C77" t="s">
        <v>735</v>
      </c>
      <c r="D77" t="s">
        <v>735</v>
      </c>
      <c r="E77" t="s">
        <v>736</v>
      </c>
      <c r="F77" t="s">
        <v>736</v>
      </c>
    </row>
    <row r="78" spans="1:6" x14ac:dyDescent="0.3">
      <c r="A78" t="s">
        <v>674</v>
      </c>
      <c r="B78">
        <v>39</v>
      </c>
      <c r="C78">
        <v>2985</v>
      </c>
      <c r="D78">
        <v>99</v>
      </c>
      <c r="E78">
        <v>218</v>
      </c>
      <c r="F78">
        <v>282</v>
      </c>
    </row>
    <row r="79" spans="1:6" x14ac:dyDescent="0.3">
      <c r="A79" t="s">
        <v>42</v>
      </c>
      <c r="B79">
        <v>39</v>
      </c>
      <c r="C79">
        <v>45</v>
      </c>
      <c r="D79">
        <v>45</v>
      </c>
      <c r="E79">
        <v>45</v>
      </c>
      <c r="F79">
        <v>45</v>
      </c>
    </row>
    <row r="80" spans="1:6" x14ac:dyDescent="0.3">
      <c r="A80" t="s">
        <v>675</v>
      </c>
      <c r="B80">
        <v>39</v>
      </c>
      <c r="C80">
        <v>45.2</v>
      </c>
      <c r="D80">
        <v>1.5</v>
      </c>
      <c r="E80">
        <v>3.3</v>
      </c>
      <c r="F80">
        <v>4.3</v>
      </c>
    </row>
    <row r="81" spans="1:6" x14ac:dyDescent="0.3">
      <c r="A81" t="s">
        <v>41</v>
      </c>
      <c r="B81">
        <v>39</v>
      </c>
      <c r="C81">
        <v>0</v>
      </c>
      <c r="D81">
        <v>0</v>
      </c>
      <c r="E81">
        <v>0</v>
      </c>
      <c r="F81">
        <v>0</v>
      </c>
    </row>
    <row r="82" spans="1:6" x14ac:dyDescent="0.3">
      <c r="A82" t="s">
        <v>676</v>
      </c>
      <c r="B82">
        <v>39</v>
      </c>
      <c r="C82">
        <v>12</v>
      </c>
      <c r="D82">
        <v>12</v>
      </c>
      <c r="E82">
        <v>12</v>
      </c>
      <c r="F82">
        <v>12</v>
      </c>
    </row>
    <row r="83" spans="1:6" x14ac:dyDescent="0.3">
      <c r="A83" t="s">
        <v>563</v>
      </c>
      <c r="B83">
        <v>39</v>
      </c>
      <c r="C83">
        <v>0</v>
      </c>
      <c r="D83">
        <v>0</v>
      </c>
      <c r="E83">
        <v>0</v>
      </c>
      <c r="F83">
        <v>0</v>
      </c>
    </row>
    <row r="84" spans="1:6" x14ac:dyDescent="0.3">
      <c r="A84" t="s">
        <v>677</v>
      </c>
      <c r="B84">
        <v>39</v>
      </c>
      <c r="C84">
        <v>0</v>
      </c>
      <c r="D84">
        <v>0</v>
      </c>
      <c r="E84">
        <v>0</v>
      </c>
      <c r="F84">
        <v>0</v>
      </c>
    </row>
    <row r="85" spans="1:6" x14ac:dyDescent="0.3">
      <c r="A85" t="s">
        <v>678</v>
      </c>
      <c r="B85">
        <v>39</v>
      </c>
      <c r="C85">
        <v>16</v>
      </c>
      <c r="D85">
        <v>16</v>
      </c>
      <c r="E85">
        <v>16</v>
      </c>
      <c r="F85">
        <v>16</v>
      </c>
    </row>
    <row r="86" spans="1:6" x14ac:dyDescent="0.3">
      <c r="A86" t="s">
        <v>679</v>
      </c>
      <c r="B86">
        <v>39</v>
      </c>
      <c r="C86">
        <v>305</v>
      </c>
      <c r="D86">
        <v>305</v>
      </c>
      <c r="E86">
        <v>305</v>
      </c>
      <c r="F86">
        <v>305</v>
      </c>
    </row>
    <row r="87" spans="1:6" x14ac:dyDescent="0.3">
      <c r="A87" t="s">
        <v>680</v>
      </c>
      <c r="B87">
        <v>39</v>
      </c>
      <c r="C87">
        <v>1980</v>
      </c>
      <c r="D87">
        <v>1980</v>
      </c>
      <c r="E87">
        <v>1980</v>
      </c>
      <c r="F87">
        <v>1980</v>
      </c>
    </row>
    <row r="88" spans="1:6" x14ac:dyDescent="0.3">
      <c r="A88" t="s">
        <v>681</v>
      </c>
      <c r="B88">
        <v>39</v>
      </c>
      <c r="C88">
        <v>1320</v>
      </c>
      <c r="D88">
        <v>1320</v>
      </c>
      <c r="E88">
        <v>1320</v>
      </c>
      <c r="F88">
        <v>1320</v>
      </c>
    </row>
    <row r="89" spans="1:6" x14ac:dyDescent="0.3">
      <c r="A89" t="s">
        <v>682</v>
      </c>
      <c r="B89">
        <v>39</v>
      </c>
      <c r="C89">
        <v>2640</v>
      </c>
      <c r="D89">
        <v>2640</v>
      </c>
      <c r="E89">
        <v>2640</v>
      </c>
      <c r="F89">
        <v>2640</v>
      </c>
    </row>
    <row r="90" spans="1:6" x14ac:dyDescent="0.3">
      <c r="A90" t="s">
        <v>683</v>
      </c>
      <c r="B90">
        <v>39</v>
      </c>
    </row>
    <row r="91" spans="1:6" x14ac:dyDescent="0.3">
      <c r="A91" t="s">
        <v>684</v>
      </c>
      <c r="B91">
        <v>39</v>
      </c>
    </row>
    <row r="92" spans="1:6" x14ac:dyDescent="0.3">
      <c r="A92" t="s">
        <v>685</v>
      </c>
      <c r="B92">
        <v>39</v>
      </c>
    </row>
    <row r="93" spans="1:6" x14ac:dyDescent="0.3">
      <c r="A93" t="s">
        <v>686</v>
      </c>
      <c r="B93">
        <v>39</v>
      </c>
      <c r="C93" t="b">
        <v>0</v>
      </c>
      <c r="D93" t="b">
        <v>0</v>
      </c>
      <c r="E93" t="b">
        <v>0</v>
      </c>
      <c r="F93" t="b">
        <v>0</v>
      </c>
    </row>
    <row r="94" spans="1:6" x14ac:dyDescent="0.3">
      <c r="A94" t="s">
        <v>687</v>
      </c>
      <c r="B94">
        <v>39</v>
      </c>
      <c r="C94" t="b">
        <v>0</v>
      </c>
      <c r="D94" t="b">
        <v>0</v>
      </c>
      <c r="E94" t="b">
        <v>0</v>
      </c>
      <c r="F94" t="b">
        <v>0</v>
      </c>
    </row>
    <row r="95" spans="1:6" x14ac:dyDescent="0.3">
      <c r="A95" t="s">
        <v>673</v>
      </c>
      <c r="B95">
        <v>73</v>
      </c>
      <c r="F95">
        <v>39</v>
      </c>
    </row>
    <row r="96" spans="1:6" x14ac:dyDescent="0.3">
      <c r="A96" t="s">
        <v>36</v>
      </c>
      <c r="B96">
        <v>73</v>
      </c>
      <c r="F96">
        <v>1</v>
      </c>
    </row>
    <row r="97" spans="1:6" x14ac:dyDescent="0.3">
      <c r="A97" t="s">
        <v>503</v>
      </c>
      <c r="B97">
        <v>73</v>
      </c>
      <c r="F97" t="s">
        <v>736</v>
      </c>
    </row>
    <row r="98" spans="1:6" x14ac:dyDescent="0.3">
      <c r="A98" t="s">
        <v>674</v>
      </c>
      <c r="B98">
        <v>73</v>
      </c>
      <c r="F98">
        <v>218</v>
      </c>
    </row>
    <row r="99" spans="1:6" x14ac:dyDescent="0.3">
      <c r="A99" t="s">
        <v>42</v>
      </c>
      <c r="B99">
        <v>73</v>
      </c>
      <c r="F99">
        <v>45</v>
      </c>
    </row>
    <row r="100" spans="1:6" x14ac:dyDescent="0.3">
      <c r="A100" t="s">
        <v>675</v>
      </c>
      <c r="B100">
        <v>73</v>
      </c>
      <c r="F100">
        <v>3.3</v>
      </c>
    </row>
    <row r="101" spans="1:6" x14ac:dyDescent="0.3">
      <c r="A101" t="s">
        <v>41</v>
      </c>
      <c r="B101">
        <v>73</v>
      </c>
      <c r="F101">
        <v>0</v>
      </c>
    </row>
    <row r="102" spans="1:6" x14ac:dyDescent="0.3">
      <c r="A102" t="s">
        <v>676</v>
      </c>
      <c r="B102">
        <v>73</v>
      </c>
      <c r="F102">
        <v>0</v>
      </c>
    </row>
    <row r="103" spans="1:6" x14ac:dyDescent="0.3">
      <c r="A103" t="s">
        <v>563</v>
      </c>
      <c r="B103">
        <v>73</v>
      </c>
      <c r="F103">
        <v>0</v>
      </c>
    </row>
    <row r="104" spans="1:6" x14ac:dyDescent="0.3">
      <c r="A104" t="s">
        <v>677</v>
      </c>
      <c r="B104">
        <v>73</v>
      </c>
      <c r="F104">
        <v>0</v>
      </c>
    </row>
    <row r="105" spans="1:6" x14ac:dyDescent="0.3">
      <c r="A105" t="s">
        <v>678</v>
      </c>
      <c r="B105">
        <v>73</v>
      </c>
      <c r="F105">
        <v>16</v>
      </c>
    </row>
    <row r="106" spans="1:6" x14ac:dyDescent="0.3">
      <c r="A106" t="s">
        <v>679</v>
      </c>
      <c r="B106">
        <v>73</v>
      </c>
      <c r="F106">
        <v>200</v>
      </c>
    </row>
    <row r="107" spans="1:6" x14ac:dyDescent="0.3">
      <c r="A107" t="s">
        <v>680</v>
      </c>
      <c r="B107">
        <v>73</v>
      </c>
      <c r="F107">
        <v>1980</v>
      </c>
    </row>
    <row r="108" spans="1:6" x14ac:dyDescent="0.3">
      <c r="A108" t="s">
        <v>681</v>
      </c>
      <c r="B108">
        <v>73</v>
      </c>
      <c r="F108">
        <v>1320</v>
      </c>
    </row>
    <row r="109" spans="1:6" x14ac:dyDescent="0.3">
      <c r="A109" t="s">
        <v>682</v>
      </c>
      <c r="B109">
        <v>73</v>
      </c>
      <c r="F109">
        <v>2640</v>
      </c>
    </row>
    <row r="110" spans="1:6" x14ac:dyDescent="0.3">
      <c r="A110" t="s">
        <v>683</v>
      </c>
      <c r="B110">
        <v>73</v>
      </c>
    </row>
    <row r="111" spans="1:6" x14ac:dyDescent="0.3">
      <c r="A111" t="s">
        <v>684</v>
      </c>
      <c r="B111">
        <v>73</v>
      </c>
    </row>
    <row r="112" spans="1:6" x14ac:dyDescent="0.3">
      <c r="A112" t="s">
        <v>685</v>
      </c>
      <c r="B112">
        <v>73</v>
      </c>
    </row>
    <row r="113" spans="1:6" x14ac:dyDescent="0.3">
      <c r="A113" t="s">
        <v>686</v>
      </c>
      <c r="B113">
        <v>73</v>
      </c>
      <c r="F113" t="b">
        <v>0</v>
      </c>
    </row>
    <row r="114" spans="1:6" x14ac:dyDescent="0.3">
      <c r="A114" t="s">
        <v>687</v>
      </c>
      <c r="B114">
        <v>73</v>
      </c>
      <c r="F114" t="b">
        <v>0</v>
      </c>
    </row>
    <row r="115" spans="1:6" x14ac:dyDescent="0.3">
      <c r="A115" t="s">
        <v>673</v>
      </c>
      <c r="B115">
        <v>74</v>
      </c>
      <c r="E115">
        <v>39</v>
      </c>
    </row>
    <row r="116" spans="1:6" x14ac:dyDescent="0.3">
      <c r="A116" t="s">
        <v>36</v>
      </c>
      <c r="B116">
        <v>74</v>
      </c>
      <c r="E116">
        <v>1</v>
      </c>
    </row>
    <row r="117" spans="1:6" x14ac:dyDescent="0.3">
      <c r="A117" t="s">
        <v>503</v>
      </c>
      <c r="B117">
        <v>74</v>
      </c>
      <c r="E117" t="s">
        <v>736</v>
      </c>
    </row>
    <row r="118" spans="1:6" x14ac:dyDescent="0.3">
      <c r="A118" t="s">
        <v>674</v>
      </c>
      <c r="B118">
        <v>74</v>
      </c>
      <c r="E118">
        <v>282</v>
      </c>
    </row>
    <row r="119" spans="1:6" x14ac:dyDescent="0.3">
      <c r="A119" t="s">
        <v>42</v>
      </c>
      <c r="B119">
        <v>74</v>
      </c>
      <c r="E119">
        <v>45</v>
      </c>
    </row>
    <row r="120" spans="1:6" x14ac:dyDescent="0.3">
      <c r="A120" t="s">
        <v>675</v>
      </c>
      <c r="B120">
        <v>74</v>
      </c>
      <c r="E120">
        <v>4.3</v>
      </c>
    </row>
    <row r="121" spans="1:6" x14ac:dyDescent="0.3">
      <c r="A121" t="s">
        <v>41</v>
      </c>
      <c r="B121">
        <v>74</v>
      </c>
      <c r="E121">
        <v>0</v>
      </c>
    </row>
    <row r="122" spans="1:6" x14ac:dyDescent="0.3">
      <c r="A122" t="s">
        <v>676</v>
      </c>
      <c r="B122">
        <v>74</v>
      </c>
      <c r="E122">
        <v>0</v>
      </c>
    </row>
    <row r="123" spans="1:6" x14ac:dyDescent="0.3">
      <c r="A123" t="s">
        <v>563</v>
      </c>
      <c r="B123">
        <v>74</v>
      </c>
      <c r="E123">
        <v>0</v>
      </c>
    </row>
    <row r="124" spans="1:6" x14ac:dyDescent="0.3">
      <c r="A124" t="s">
        <v>677</v>
      </c>
      <c r="B124">
        <v>74</v>
      </c>
      <c r="E124">
        <v>0</v>
      </c>
    </row>
    <row r="125" spans="1:6" x14ac:dyDescent="0.3">
      <c r="A125" t="s">
        <v>678</v>
      </c>
      <c r="B125">
        <v>74</v>
      </c>
      <c r="E125">
        <v>16</v>
      </c>
    </row>
    <row r="126" spans="1:6" x14ac:dyDescent="0.3">
      <c r="A126" t="s">
        <v>679</v>
      </c>
      <c r="B126">
        <v>74</v>
      </c>
      <c r="E126">
        <v>200</v>
      </c>
    </row>
    <row r="127" spans="1:6" x14ac:dyDescent="0.3">
      <c r="A127" t="s">
        <v>680</v>
      </c>
      <c r="B127">
        <v>74</v>
      </c>
      <c r="E127">
        <v>1980</v>
      </c>
    </row>
    <row r="128" spans="1:6" x14ac:dyDescent="0.3">
      <c r="A128" t="s">
        <v>681</v>
      </c>
      <c r="B128">
        <v>74</v>
      </c>
      <c r="E128">
        <v>1320</v>
      </c>
    </row>
    <row r="129" spans="1:6" x14ac:dyDescent="0.3">
      <c r="A129" t="s">
        <v>682</v>
      </c>
      <c r="B129">
        <v>74</v>
      </c>
      <c r="E129">
        <v>2640</v>
      </c>
    </row>
    <row r="130" spans="1:6" x14ac:dyDescent="0.3">
      <c r="A130" t="s">
        <v>683</v>
      </c>
      <c r="B130">
        <v>74</v>
      </c>
    </row>
    <row r="131" spans="1:6" x14ac:dyDescent="0.3">
      <c r="A131" t="s">
        <v>684</v>
      </c>
      <c r="B131">
        <v>74</v>
      </c>
    </row>
    <row r="132" spans="1:6" x14ac:dyDescent="0.3">
      <c r="A132" t="s">
        <v>685</v>
      </c>
      <c r="B132">
        <v>74</v>
      </c>
    </row>
    <row r="133" spans="1:6" x14ac:dyDescent="0.3">
      <c r="A133" t="s">
        <v>686</v>
      </c>
      <c r="B133">
        <v>74</v>
      </c>
      <c r="E133" t="b">
        <v>0</v>
      </c>
    </row>
    <row r="134" spans="1:6" x14ac:dyDescent="0.3">
      <c r="A134" t="s">
        <v>687</v>
      </c>
      <c r="B134">
        <v>74</v>
      </c>
      <c r="E134" t="b">
        <v>0</v>
      </c>
    </row>
    <row r="135" spans="1:6" x14ac:dyDescent="0.3">
      <c r="A135" t="s">
        <v>673</v>
      </c>
      <c r="B135">
        <v>75</v>
      </c>
      <c r="C135">
        <v>78</v>
      </c>
      <c r="D135">
        <v>39</v>
      </c>
      <c r="E135">
        <v>76</v>
      </c>
      <c r="F135">
        <v>77</v>
      </c>
    </row>
    <row r="136" spans="1:6" x14ac:dyDescent="0.3">
      <c r="A136" t="s">
        <v>36</v>
      </c>
      <c r="B136">
        <v>75</v>
      </c>
      <c r="C136">
        <v>3</v>
      </c>
      <c r="D136">
        <v>3</v>
      </c>
      <c r="E136">
        <v>2</v>
      </c>
      <c r="F136">
        <v>2</v>
      </c>
    </row>
    <row r="137" spans="1:6" x14ac:dyDescent="0.3">
      <c r="A137" t="s">
        <v>503</v>
      </c>
      <c r="B137">
        <v>75</v>
      </c>
      <c r="C137" t="s">
        <v>735</v>
      </c>
      <c r="D137" t="s">
        <v>735</v>
      </c>
      <c r="E137" t="s">
        <v>737</v>
      </c>
      <c r="F137" t="s">
        <v>737</v>
      </c>
    </row>
    <row r="138" spans="1:6" x14ac:dyDescent="0.3">
      <c r="A138" t="s">
        <v>674</v>
      </c>
      <c r="B138">
        <v>75</v>
      </c>
      <c r="C138">
        <v>2307</v>
      </c>
      <c r="D138">
        <v>2985</v>
      </c>
      <c r="E138">
        <v>182</v>
      </c>
      <c r="F138">
        <v>210</v>
      </c>
    </row>
    <row r="139" spans="1:6" x14ac:dyDescent="0.3">
      <c r="A139" t="s">
        <v>42</v>
      </c>
      <c r="B139">
        <v>75</v>
      </c>
      <c r="C139">
        <v>45</v>
      </c>
      <c r="D139">
        <v>45</v>
      </c>
      <c r="E139">
        <v>45</v>
      </c>
      <c r="F139">
        <v>45</v>
      </c>
    </row>
    <row r="140" spans="1:6" x14ac:dyDescent="0.3">
      <c r="A140" t="s">
        <v>675</v>
      </c>
      <c r="B140">
        <v>75</v>
      </c>
      <c r="C140">
        <v>35</v>
      </c>
      <c r="D140">
        <v>45.2</v>
      </c>
      <c r="E140">
        <v>2.8</v>
      </c>
      <c r="F140">
        <v>3.2</v>
      </c>
    </row>
    <row r="141" spans="1:6" x14ac:dyDescent="0.3">
      <c r="A141" t="s">
        <v>41</v>
      </c>
      <c r="B141">
        <v>75</v>
      </c>
      <c r="C141">
        <v>0</v>
      </c>
      <c r="D141">
        <v>0</v>
      </c>
      <c r="E141">
        <v>0</v>
      </c>
      <c r="F141">
        <v>0</v>
      </c>
    </row>
    <row r="142" spans="1:6" x14ac:dyDescent="0.3">
      <c r="A142" t="s">
        <v>676</v>
      </c>
      <c r="B142">
        <v>75</v>
      </c>
      <c r="C142">
        <v>12</v>
      </c>
      <c r="D142">
        <v>12</v>
      </c>
      <c r="E142">
        <v>12</v>
      </c>
      <c r="F142">
        <v>12</v>
      </c>
    </row>
    <row r="143" spans="1:6" x14ac:dyDescent="0.3">
      <c r="A143" t="s">
        <v>563</v>
      </c>
      <c r="B143">
        <v>75</v>
      </c>
      <c r="C143">
        <v>0</v>
      </c>
      <c r="D143">
        <v>0</v>
      </c>
      <c r="E143">
        <v>0</v>
      </c>
      <c r="F143">
        <v>0</v>
      </c>
    </row>
    <row r="144" spans="1:6" x14ac:dyDescent="0.3">
      <c r="A144" t="s">
        <v>677</v>
      </c>
      <c r="B144">
        <v>75</v>
      </c>
      <c r="C144">
        <v>0</v>
      </c>
      <c r="D144">
        <v>0</v>
      </c>
      <c r="E144">
        <v>0</v>
      </c>
      <c r="F144">
        <v>0</v>
      </c>
    </row>
    <row r="145" spans="1:6" x14ac:dyDescent="0.3">
      <c r="A145" t="s">
        <v>678</v>
      </c>
      <c r="B145">
        <v>75</v>
      </c>
      <c r="C145">
        <v>16</v>
      </c>
      <c r="D145">
        <v>16</v>
      </c>
      <c r="E145">
        <v>16</v>
      </c>
      <c r="F145">
        <v>16</v>
      </c>
    </row>
    <row r="146" spans="1:6" x14ac:dyDescent="0.3">
      <c r="A146" t="s">
        <v>679</v>
      </c>
      <c r="B146">
        <v>75</v>
      </c>
      <c r="C146">
        <v>292</v>
      </c>
      <c r="D146">
        <v>292</v>
      </c>
      <c r="E146">
        <v>292</v>
      </c>
      <c r="F146">
        <v>292</v>
      </c>
    </row>
    <row r="147" spans="1:6" x14ac:dyDescent="0.3">
      <c r="A147" t="s">
        <v>680</v>
      </c>
      <c r="B147">
        <v>75</v>
      </c>
      <c r="C147">
        <v>1980</v>
      </c>
      <c r="D147">
        <v>1980</v>
      </c>
      <c r="E147">
        <v>1980</v>
      </c>
      <c r="F147">
        <v>1980</v>
      </c>
    </row>
    <row r="148" spans="1:6" x14ac:dyDescent="0.3">
      <c r="A148" t="s">
        <v>681</v>
      </c>
      <c r="B148">
        <v>75</v>
      </c>
      <c r="C148">
        <v>1320</v>
      </c>
      <c r="D148">
        <v>1320</v>
      </c>
      <c r="E148">
        <v>1320</v>
      </c>
      <c r="F148">
        <v>1320</v>
      </c>
    </row>
    <row r="149" spans="1:6" x14ac:dyDescent="0.3">
      <c r="A149" t="s">
        <v>682</v>
      </c>
      <c r="B149">
        <v>75</v>
      </c>
      <c r="C149">
        <v>2640</v>
      </c>
      <c r="D149">
        <v>2640</v>
      </c>
      <c r="E149">
        <v>2640</v>
      </c>
      <c r="F149">
        <v>2640</v>
      </c>
    </row>
    <row r="150" spans="1:6" x14ac:dyDescent="0.3">
      <c r="A150" t="s">
        <v>683</v>
      </c>
      <c r="B150">
        <v>75</v>
      </c>
    </row>
    <row r="151" spans="1:6" x14ac:dyDescent="0.3">
      <c r="A151" t="s">
        <v>684</v>
      </c>
      <c r="B151">
        <v>75</v>
      </c>
    </row>
    <row r="152" spans="1:6" x14ac:dyDescent="0.3">
      <c r="A152" t="s">
        <v>685</v>
      </c>
      <c r="B152">
        <v>75</v>
      </c>
    </row>
    <row r="153" spans="1:6" x14ac:dyDescent="0.3">
      <c r="A153" t="s">
        <v>686</v>
      </c>
      <c r="B153">
        <v>75</v>
      </c>
      <c r="C153" t="b">
        <v>0</v>
      </c>
      <c r="D153" t="b">
        <v>0</v>
      </c>
      <c r="E153" t="b">
        <v>0</v>
      </c>
      <c r="F153" t="b">
        <v>0</v>
      </c>
    </row>
    <row r="154" spans="1:6" x14ac:dyDescent="0.3">
      <c r="A154" t="s">
        <v>687</v>
      </c>
      <c r="B154">
        <v>75</v>
      </c>
      <c r="C154" t="b">
        <v>0</v>
      </c>
      <c r="D154" t="b">
        <v>0</v>
      </c>
      <c r="E154" t="b">
        <v>0</v>
      </c>
      <c r="F154" t="b">
        <v>0</v>
      </c>
    </row>
    <row r="155" spans="1:6" x14ac:dyDescent="0.3">
      <c r="A155" t="s">
        <v>673</v>
      </c>
      <c r="B155">
        <v>76</v>
      </c>
      <c r="F155">
        <v>75</v>
      </c>
    </row>
    <row r="156" spans="1:6" x14ac:dyDescent="0.3">
      <c r="A156" t="s">
        <v>36</v>
      </c>
      <c r="B156">
        <v>76</v>
      </c>
      <c r="F156">
        <v>1</v>
      </c>
    </row>
    <row r="157" spans="1:6" x14ac:dyDescent="0.3">
      <c r="A157" t="s">
        <v>503</v>
      </c>
      <c r="B157">
        <v>76</v>
      </c>
      <c r="F157" t="s">
        <v>737</v>
      </c>
    </row>
    <row r="158" spans="1:6" x14ac:dyDescent="0.3">
      <c r="A158" t="s">
        <v>674</v>
      </c>
      <c r="B158">
        <v>76</v>
      </c>
      <c r="F158">
        <v>182</v>
      </c>
    </row>
    <row r="159" spans="1:6" x14ac:dyDescent="0.3">
      <c r="A159" t="s">
        <v>42</v>
      </c>
      <c r="B159">
        <v>76</v>
      </c>
      <c r="F159">
        <v>45</v>
      </c>
    </row>
    <row r="160" spans="1:6" x14ac:dyDescent="0.3">
      <c r="A160" t="s">
        <v>675</v>
      </c>
      <c r="B160">
        <v>76</v>
      </c>
      <c r="F160">
        <v>2.8</v>
      </c>
    </row>
    <row r="161" spans="1:6" x14ac:dyDescent="0.3">
      <c r="A161" t="s">
        <v>41</v>
      </c>
      <c r="B161">
        <v>76</v>
      </c>
      <c r="F161">
        <v>0</v>
      </c>
    </row>
    <row r="162" spans="1:6" x14ac:dyDescent="0.3">
      <c r="A162" t="s">
        <v>676</v>
      </c>
      <c r="B162">
        <v>76</v>
      </c>
      <c r="F162">
        <v>0</v>
      </c>
    </row>
    <row r="163" spans="1:6" x14ac:dyDescent="0.3">
      <c r="A163" t="s">
        <v>563</v>
      </c>
      <c r="B163">
        <v>76</v>
      </c>
      <c r="F163">
        <v>0</v>
      </c>
    </row>
    <row r="164" spans="1:6" x14ac:dyDescent="0.3">
      <c r="A164" t="s">
        <v>677</v>
      </c>
      <c r="B164">
        <v>76</v>
      </c>
      <c r="F164">
        <v>0</v>
      </c>
    </row>
    <row r="165" spans="1:6" x14ac:dyDescent="0.3">
      <c r="A165" t="s">
        <v>678</v>
      </c>
      <c r="B165">
        <v>76</v>
      </c>
      <c r="F165">
        <v>16</v>
      </c>
    </row>
    <row r="166" spans="1:6" x14ac:dyDescent="0.3">
      <c r="A166" t="s">
        <v>679</v>
      </c>
      <c r="B166">
        <v>76</v>
      </c>
      <c r="F166">
        <v>200</v>
      </c>
    </row>
    <row r="167" spans="1:6" x14ac:dyDescent="0.3">
      <c r="A167" t="s">
        <v>680</v>
      </c>
      <c r="B167">
        <v>76</v>
      </c>
      <c r="F167">
        <v>1980</v>
      </c>
    </row>
    <row r="168" spans="1:6" x14ac:dyDescent="0.3">
      <c r="A168" t="s">
        <v>681</v>
      </c>
      <c r="B168">
        <v>76</v>
      </c>
      <c r="F168">
        <v>1320</v>
      </c>
    </row>
    <row r="169" spans="1:6" x14ac:dyDescent="0.3">
      <c r="A169" t="s">
        <v>682</v>
      </c>
      <c r="B169">
        <v>76</v>
      </c>
      <c r="F169">
        <v>2640</v>
      </c>
    </row>
    <row r="170" spans="1:6" x14ac:dyDescent="0.3">
      <c r="A170" t="s">
        <v>683</v>
      </c>
      <c r="B170">
        <v>76</v>
      </c>
    </row>
    <row r="171" spans="1:6" x14ac:dyDescent="0.3">
      <c r="A171" t="s">
        <v>684</v>
      </c>
      <c r="B171">
        <v>76</v>
      </c>
    </row>
    <row r="172" spans="1:6" x14ac:dyDescent="0.3">
      <c r="A172" t="s">
        <v>685</v>
      </c>
      <c r="B172">
        <v>76</v>
      </c>
    </row>
    <row r="173" spans="1:6" x14ac:dyDescent="0.3">
      <c r="A173" t="s">
        <v>686</v>
      </c>
      <c r="B173">
        <v>76</v>
      </c>
      <c r="F173" t="b">
        <v>0</v>
      </c>
    </row>
    <row r="174" spans="1:6" x14ac:dyDescent="0.3">
      <c r="A174" t="s">
        <v>687</v>
      </c>
      <c r="B174">
        <v>76</v>
      </c>
      <c r="F174" t="b">
        <v>0</v>
      </c>
    </row>
    <row r="175" spans="1:6" x14ac:dyDescent="0.3">
      <c r="A175" t="s">
        <v>673</v>
      </c>
      <c r="B175">
        <v>77</v>
      </c>
      <c r="E175">
        <v>75</v>
      </c>
    </row>
    <row r="176" spans="1:6" x14ac:dyDescent="0.3">
      <c r="A176" t="s">
        <v>36</v>
      </c>
      <c r="B176">
        <v>77</v>
      </c>
      <c r="E176">
        <v>1</v>
      </c>
    </row>
    <row r="177" spans="1:5" x14ac:dyDescent="0.3">
      <c r="A177" t="s">
        <v>503</v>
      </c>
      <c r="B177">
        <v>77</v>
      </c>
      <c r="E177" t="s">
        <v>737</v>
      </c>
    </row>
    <row r="178" spans="1:5" x14ac:dyDescent="0.3">
      <c r="A178" t="s">
        <v>674</v>
      </c>
      <c r="B178">
        <v>77</v>
      </c>
      <c r="E178">
        <v>210</v>
      </c>
    </row>
    <row r="179" spans="1:5" x14ac:dyDescent="0.3">
      <c r="A179" t="s">
        <v>42</v>
      </c>
      <c r="B179">
        <v>77</v>
      </c>
      <c r="E179">
        <v>45</v>
      </c>
    </row>
    <row r="180" spans="1:5" x14ac:dyDescent="0.3">
      <c r="A180" t="s">
        <v>675</v>
      </c>
      <c r="B180">
        <v>77</v>
      </c>
      <c r="E180">
        <v>3.2</v>
      </c>
    </row>
    <row r="181" spans="1:5" x14ac:dyDescent="0.3">
      <c r="A181" t="s">
        <v>41</v>
      </c>
      <c r="B181">
        <v>77</v>
      </c>
      <c r="E181">
        <v>0</v>
      </c>
    </row>
    <row r="182" spans="1:5" x14ac:dyDescent="0.3">
      <c r="A182" t="s">
        <v>676</v>
      </c>
      <c r="B182">
        <v>77</v>
      </c>
      <c r="E182">
        <v>0</v>
      </c>
    </row>
    <row r="183" spans="1:5" x14ac:dyDescent="0.3">
      <c r="A183" t="s">
        <v>563</v>
      </c>
      <c r="B183">
        <v>77</v>
      </c>
      <c r="E183">
        <v>0</v>
      </c>
    </row>
    <row r="184" spans="1:5" x14ac:dyDescent="0.3">
      <c r="A184" t="s">
        <v>677</v>
      </c>
      <c r="B184">
        <v>77</v>
      </c>
      <c r="E184">
        <v>0</v>
      </c>
    </row>
    <row r="185" spans="1:5" x14ac:dyDescent="0.3">
      <c r="A185" t="s">
        <v>678</v>
      </c>
      <c r="B185">
        <v>77</v>
      </c>
      <c r="E185">
        <v>16</v>
      </c>
    </row>
    <row r="186" spans="1:5" x14ac:dyDescent="0.3">
      <c r="A186" t="s">
        <v>679</v>
      </c>
      <c r="B186">
        <v>77</v>
      </c>
      <c r="E186">
        <v>200</v>
      </c>
    </row>
    <row r="187" spans="1:5" x14ac:dyDescent="0.3">
      <c r="A187" t="s">
        <v>680</v>
      </c>
      <c r="B187">
        <v>77</v>
      </c>
      <c r="E187">
        <v>1980</v>
      </c>
    </row>
    <row r="188" spans="1:5" x14ac:dyDescent="0.3">
      <c r="A188" t="s">
        <v>681</v>
      </c>
      <c r="B188">
        <v>77</v>
      </c>
      <c r="E188">
        <v>1320</v>
      </c>
    </row>
    <row r="189" spans="1:5" x14ac:dyDescent="0.3">
      <c r="A189" t="s">
        <v>682</v>
      </c>
      <c r="B189">
        <v>77</v>
      </c>
      <c r="E189">
        <v>2640</v>
      </c>
    </row>
    <row r="190" spans="1:5" x14ac:dyDescent="0.3">
      <c r="A190" t="s">
        <v>683</v>
      </c>
      <c r="B190">
        <v>77</v>
      </c>
    </row>
    <row r="191" spans="1:5" x14ac:dyDescent="0.3">
      <c r="A191" t="s">
        <v>684</v>
      </c>
      <c r="B191">
        <v>77</v>
      </c>
    </row>
    <row r="192" spans="1:5" x14ac:dyDescent="0.3">
      <c r="A192" t="s">
        <v>685</v>
      </c>
      <c r="B192">
        <v>77</v>
      </c>
    </row>
    <row r="193" spans="1:6" x14ac:dyDescent="0.3">
      <c r="A193" t="s">
        <v>686</v>
      </c>
      <c r="B193">
        <v>77</v>
      </c>
      <c r="E193" t="b">
        <v>0</v>
      </c>
    </row>
    <row r="194" spans="1:6" x14ac:dyDescent="0.3">
      <c r="A194" t="s">
        <v>687</v>
      </c>
      <c r="B194">
        <v>77</v>
      </c>
      <c r="E194" t="b">
        <v>0</v>
      </c>
    </row>
    <row r="195" spans="1:6" x14ac:dyDescent="0.3">
      <c r="A195" t="s">
        <v>673</v>
      </c>
      <c r="B195">
        <v>78</v>
      </c>
      <c r="C195">
        <v>80</v>
      </c>
      <c r="D195">
        <v>75</v>
      </c>
      <c r="F195">
        <v>79</v>
      </c>
    </row>
    <row r="196" spans="1:6" x14ac:dyDescent="0.3">
      <c r="A196" t="s">
        <v>36</v>
      </c>
      <c r="B196">
        <v>78</v>
      </c>
      <c r="C196">
        <v>3</v>
      </c>
      <c r="D196">
        <v>3</v>
      </c>
      <c r="F196">
        <v>2</v>
      </c>
    </row>
    <row r="197" spans="1:6" x14ac:dyDescent="0.3">
      <c r="A197" t="s">
        <v>503</v>
      </c>
      <c r="B197">
        <v>78</v>
      </c>
      <c r="C197" t="s">
        <v>735</v>
      </c>
      <c r="D197" t="s">
        <v>735</v>
      </c>
      <c r="F197" t="s">
        <v>738</v>
      </c>
    </row>
    <row r="198" spans="1:6" x14ac:dyDescent="0.3">
      <c r="A198" t="s">
        <v>674</v>
      </c>
      <c r="B198">
        <v>78</v>
      </c>
      <c r="C198">
        <v>2660</v>
      </c>
      <c r="D198">
        <v>2307</v>
      </c>
      <c r="F198">
        <v>248</v>
      </c>
    </row>
    <row r="199" spans="1:6" x14ac:dyDescent="0.3">
      <c r="A199" t="s">
        <v>42</v>
      </c>
      <c r="B199">
        <v>78</v>
      </c>
      <c r="C199">
        <v>45</v>
      </c>
      <c r="D199">
        <v>45</v>
      </c>
      <c r="F199">
        <v>45</v>
      </c>
    </row>
    <row r="200" spans="1:6" x14ac:dyDescent="0.3">
      <c r="A200" t="s">
        <v>675</v>
      </c>
      <c r="B200">
        <v>78</v>
      </c>
      <c r="C200">
        <v>40.299999999999997</v>
      </c>
      <c r="D200">
        <v>35</v>
      </c>
      <c r="F200">
        <v>3.8</v>
      </c>
    </row>
    <row r="201" spans="1:6" x14ac:dyDescent="0.3">
      <c r="A201" t="s">
        <v>41</v>
      </c>
      <c r="B201">
        <v>78</v>
      </c>
      <c r="C201">
        <v>0</v>
      </c>
      <c r="D201">
        <v>0</v>
      </c>
      <c r="F201">
        <v>0</v>
      </c>
    </row>
    <row r="202" spans="1:6" x14ac:dyDescent="0.3">
      <c r="A202" t="s">
        <v>676</v>
      </c>
      <c r="B202">
        <v>78</v>
      </c>
      <c r="C202">
        <v>12</v>
      </c>
      <c r="D202">
        <v>12</v>
      </c>
      <c r="F202">
        <v>24</v>
      </c>
    </row>
    <row r="203" spans="1:6" x14ac:dyDescent="0.3">
      <c r="A203" t="s">
        <v>563</v>
      </c>
      <c r="B203">
        <v>78</v>
      </c>
      <c r="C203">
        <v>0</v>
      </c>
      <c r="D203">
        <v>0</v>
      </c>
      <c r="F203">
        <v>0</v>
      </c>
    </row>
    <row r="204" spans="1:6" x14ac:dyDescent="0.3">
      <c r="A204" t="s">
        <v>677</v>
      </c>
      <c r="B204">
        <v>78</v>
      </c>
      <c r="C204">
        <v>0</v>
      </c>
      <c r="D204">
        <v>0</v>
      </c>
      <c r="F204">
        <v>0</v>
      </c>
    </row>
    <row r="205" spans="1:6" x14ac:dyDescent="0.3">
      <c r="A205" t="s">
        <v>678</v>
      </c>
      <c r="B205">
        <v>78</v>
      </c>
      <c r="C205">
        <v>16</v>
      </c>
      <c r="D205">
        <v>16</v>
      </c>
      <c r="F205">
        <v>16</v>
      </c>
    </row>
    <row r="206" spans="1:6" x14ac:dyDescent="0.3">
      <c r="A206" t="s">
        <v>679</v>
      </c>
      <c r="B206">
        <v>78</v>
      </c>
      <c r="C206">
        <v>237</v>
      </c>
      <c r="D206">
        <v>237</v>
      </c>
      <c r="F206">
        <v>237</v>
      </c>
    </row>
    <row r="207" spans="1:6" x14ac:dyDescent="0.3">
      <c r="A207" t="s">
        <v>680</v>
      </c>
      <c r="B207">
        <v>78</v>
      </c>
      <c r="C207">
        <v>1980</v>
      </c>
      <c r="D207">
        <v>1980</v>
      </c>
      <c r="F207">
        <v>1980</v>
      </c>
    </row>
    <row r="208" spans="1:6" x14ac:dyDescent="0.3">
      <c r="A208" t="s">
        <v>681</v>
      </c>
      <c r="B208">
        <v>78</v>
      </c>
      <c r="C208">
        <v>1320</v>
      </c>
      <c r="D208">
        <v>1320</v>
      </c>
      <c r="F208">
        <v>1320</v>
      </c>
    </row>
    <row r="209" spans="1:6" x14ac:dyDescent="0.3">
      <c r="A209" t="s">
        <v>682</v>
      </c>
      <c r="B209">
        <v>78</v>
      </c>
      <c r="C209">
        <v>2640</v>
      </c>
      <c r="D209">
        <v>2640</v>
      </c>
      <c r="F209">
        <v>2640</v>
      </c>
    </row>
    <row r="210" spans="1:6" x14ac:dyDescent="0.3">
      <c r="A210" t="s">
        <v>683</v>
      </c>
      <c r="B210">
        <v>78</v>
      </c>
    </row>
    <row r="211" spans="1:6" x14ac:dyDescent="0.3">
      <c r="A211" t="s">
        <v>684</v>
      </c>
      <c r="B211">
        <v>78</v>
      </c>
    </row>
    <row r="212" spans="1:6" x14ac:dyDescent="0.3">
      <c r="A212" t="s">
        <v>685</v>
      </c>
      <c r="B212">
        <v>78</v>
      </c>
    </row>
    <row r="213" spans="1:6" x14ac:dyDescent="0.3">
      <c r="A213" t="s">
        <v>686</v>
      </c>
      <c r="B213">
        <v>78</v>
      </c>
      <c r="C213" t="b">
        <v>0</v>
      </c>
      <c r="D213" t="b">
        <v>0</v>
      </c>
      <c r="F213" t="b">
        <v>0</v>
      </c>
    </row>
    <row r="214" spans="1:6" x14ac:dyDescent="0.3">
      <c r="A214" t="s">
        <v>687</v>
      </c>
      <c r="B214">
        <v>78</v>
      </c>
      <c r="C214" t="b">
        <v>0</v>
      </c>
      <c r="D214" t="b">
        <v>0</v>
      </c>
      <c r="F214" t="b">
        <v>0</v>
      </c>
    </row>
    <row r="215" spans="1:6" x14ac:dyDescent="0.3">
      <c r="A215" t="s">
        <v>673</v>
      </c>
      <c r="B215">
        <v>79</v>
      </c>
      <c r="E215">
        <v>78</v>
      </c>
    </row>
    <row r="216" spans="1:6" x14ac:dyDescent="0.3">
      <c r="A216" t="s">
        <v>36</v>
      </c>
      <c r="B216">
        <v>79</v>
      </c>
      <c r="E216">
        <v>1</v>
      </c>
    </row>
    <row r="217" spans="1:6" x14ac:dyDescent="0.3">
      <c r="A217" t="s">
        <v>503</v>
      </c>
      <c r="B217">
        <v>79</v>
      </c>
      <c r="E217" t="s">
        <v>738</v>
      </c>
    </row>
    <row r="218" spans="1:6" x14ac:dyDescent="0.3">
      <c r="A218" t="s">
        <v>674</v>
      </c>
      <c r="B218">
        <v>79</v>
      </c>
      <c r="E218">
        <v>248</v>
      </c>
    </row>
    <row r="219" spans="1:6" x14ac:dyDescent="0.3">
      <c r="A219" t="s">
        <v>42</v>
      </c>
      <c r="B219">
        <v>79</v>
      </c>
      <c r="E219">
        <v>45</v>
      </c>
    </row>
    <row r="220" spans="1:6" x14ac:dyDescent="0.3">
      <c r="A220" t="s">
        <v>675</v>
      </c>
      <c r="B220">
        <v>79</v>
      </c>
      <c r="E220">
        <v>3.8</v>
      </c>
    </row>
    <row r="221" spans="1:6" x14ac:dyDescent="0.3">
      <c r="A221" t="s">
        <v>41</v>
      </c>
      <c r="B221">
        <v>79</v>
      </c>
      <c r="E221">
        <v>0</v>
      </c>
    </row>
    <row r="222" spans="1:6" x14ac:dyDescent="0.3">
      <c r="A222" t="s">
        <v>676</v>
      </c>
      <c r="B222">
        <v>79</v>
      </c>
      <c r="E222">
        <v>0</v>
      </c>
    </row>
    <row r="223" spans="1:6" x14ac:dyDescent="0.3">
      <c r="A223" t="s">
        <v>563</v>
      </c>
      <c r="B223">
        <v>79</v>
      </c>
      <c r="E223">
        <v>0</v>
      </c>
    </row>
    <row r="224" spans="1:6" x14ac:dyDescent="0.3">
      <c r="A224" t="s">
        <v>677</v>
      </c>
      <c r="B224">
        <v>79</v>
      </c>
      <c r="E224">
        <v>0</v>
      </c>
    </row>
    <row r="225" spans="1:6" x14ac:dyDescent="0.3">
      <c r="A225" t="s">
        <v>678</v>
      </c>
      <c r="B225">
        <v>79</v>
      </c>
      <c r="E225">
        <v>16</v>
      </c>
    </row>
    <row r="226" spans="1:6" x14ac:dyDescent="0.3">
      <c r="A226" t="s">
        <v>679</v>
      </c>
      <c r="B226">
        <v>79</v>
      </c>
      <c r="E226">
        <v>200</v>
      </c>
    </row>
    <row r="227" spans="1:6" x14ac:dyDescent="0.3">
      <c r="A227" t="s">
        <v>680</v>
      </c>
      <c r="B227">
        <v>79</v>
      </c>
      <c r="E227">
        <v>1980</v>
      </c>
    </row>
    <row r="228" spans="1:6" x14ac:dyDescent="0.3">
      <c r="A228" t="s">
        <v>681</v>
      </c>
      <c r="B228">
        <v>79</v>
      </c>
      <c r="E228">
        <v>1320</v>
      </c>
    </row>
    <row r="229" spans="1:6" x14ac:dyDescent="0.3">
      <c r="A229" t="s">
        <v>682</v>
      </c>
      <c r="B229">
        <v>79</v>
      </c>
      <c r="E229">
        <v>2640</v>
      </c>
    </row>
    <row r="230" spans="1:6" x14ac:dyDescent="0.3">
      <c r="A230" t="s">
        <v>683</v>
      </c>
      <c r="B230">
        <v>79</v>
      </c>
    </row>
    <row r="231" spans="1:6" x14ac:dyDescent="0.3">
      <c r="A231" t="s">
        <v>684</v>
      </c>
      <c r="B231">
        <v>79</v>
      </c>
    </row>
    <row r="232" spans="1:6" x14ac:dyDescent="0.3">
      <c r="A232" t="s">
        <v>685</v>
      </c>
      <c r="B232">
        <v>79</v>
      </c>
    </row>
    <row r="233" spans="1:6" x14ac:dyDescent="0.3">
      <c r="A233" t="s">
        <v>686</v>
      </c>
      <c r="B233">
        <v>79</v>
      </c>
      <c r="E233" t="b">
        <v>0</v>
      </c>
    </row>
    <row r="234" spans="1:6" x14ac:dyDescent="0.3">
      <c r="A234" t="s">
        <v>687</v>
      </c>
      <c r="B234">
        <v>79</v>
      </c>
      <c r="E234" t="b">
        <v>0</v>
      </c>
    </row>
    <row r="235" spans="1:6" x14ac:dyDescent="0.3">
      <c r="A235" t="s">
        <v>673</v>
      </c>
      <c r="B235">
        <v>80</v>
      </c>
      <c r="C235">
        <v>82</v>
      </c>
      <c r="D235">
        <v>78</v>
      </c>
      <c r="F235">
        <v>81</v>
      </c>
    </row>
    <row r="236" spans="1:6" x14ac:dyDescent="0.3">
      <c r="A236" t="s">
        <v>36</v>
      </c>
      <c r="B236">
        <v>80</v>
      </c>
      <c r="C236">
        <v>2</v>
      </c>
      <c r="D236">
        <v>3</v>
      </c>
      <c r="F236">
        <v>1</v>
      </c>
    </row>
    <row r="237" spans="1:6" x14ac:dyDescent="0.3">
      <c r="A237" t="s">
        <v>503</v>
      </c>
      <c r="B237">
        <v>80</v>
      </c>
      <c r="C237" t="s">
        <v>735</v>
      </c>
      <c r="D237" t="s">
        <v>735</v>
      </c>
      <c r="F237" t="s">
        <v>739</v>
      </c>
    </row>
    <row r="238" spans="1:6" x14ac:dyDescent="0.3">
      <c r="A238" t="s">
        <v>674</v>
      </c>
      <c r="B238">
        <v>80</v>
      </c>
      <c r="C238">
        <v>2660</v>
      </c>
      <c r="D238">
        <v>2660</v>
      </c>
      <c r="F238">
        <v>284</v>
      </c>
    </row>
    <row r="239" spans="1:6" x14ac:dyDescent="0.3">
      <c r="A239" t="s">
        <v>42</v>
      </c>
      <c r="B239">
        <v>80</v>
      </c>
      <c r="C239">
        <v>45</v>
      </c>
      <c r="D239">
        <v>45</v>
      </c>
      <c r="F239">
        <v>45</v>
      </c>
    </row>
    <row r="240" spans="1:6" x14ac:dyDescent="0.3">
      <c r="A240" t="s">
        <v>675</v>
      </c>
      <c r="B240">
        <v>80</v>
      </c>
      <c r="C240">
        <v>40.299999999999997</v>
      </c>
      <c r="D240">
        <v>40.299999999999997</v>
      </c>
      <c r="F240">
        <v>4.3</v>
      </c>
    </row>
    <row r="241" spans="1:6" x14ac:dyDescent="0.3">
      <c r="A241" t="s">
        <v>41</v>
      </c>
      <c r="B241">
        <v>80</v>
      </c>
      <c r="C241">
        <v>0</v>
      </c>
      <c r="D241">
        <v>0</v>
      </c>
      <c r="F241">
        <v>0</v>
      </c>
    </row>
    <row r="242" spans="1:6" x14ac:dyDescent="0.3">
      <c r="A242" t="s">
        <v>676</v>
      </c>
      <c r="B242">
        <v>80</v>
      </c>
      <c r="C242">
        <v>12</v>
      </c>
      <c r="D242">
        <v>12</v>
      </c>
      <c r="F242">
        <v>12</v>
      </c>
    </row>
    <row r="243" spans="1:6" x14ac:dyDescent="0.3">
      <c r="A243" t="s">
        <v>563</v>
      </c>
      <c r="B243">
        <v>80</v>
      </c>
      <c r="C243">
        <v>0</v>
      </c>
      <c r="D243">
        <v>0</v>
      </c>
      <c r="F243">
        <v>0</v>
      </c>
    </row>
    <row r="244" spans="1:6" x14ac:dyDescent="0.3">
      <c r="A244" t="s">
        <v>677</v>
      </c>
      <c r="B244">
        <v>80</v>
      </c>
      <c r="C244">
        <v>0</v>
      </c>
      <c r="D244">
        <v>0</v>
      </c>
      <c r="F244">
        <v>0</v>
      </c>
    </row>
    <row r="245" spans="1:6" x14ac:dyDescent="0.3">
      <c r="A245" t="s">
        <v>678</v>
      </c>
      <c r="B245">
        <v>80</v>
      </c>
      <c r="C245">
        <v>16</v>
      </c>
      <c r="D245">
        <v>16</v>
      </c>
      <c r="F245">
        <v>16</v>
      </c>
    </row>
    <row r="246" spans="1:6" x14ac:dyDescent="0.3">
      <c r="A246" t="s">
        <v>679</v>
      </c>
      <c r="B246">
        <v>80</v>
      </c>
      <c r="C246">
        <v>200</v>
      </c>
      <c r="D246">
        <v>200</v>
      </c>
      <c r="F246">
        <v>200</v>
      </c>
    </row>
    <row r="247" spans="1:6" x14ac:dyDescent="0.3">
      <c r="A247" t="s">
        <v>680</v>
      </c>
      <c r="B247">
        <v>80</v>
      </c>
      <c r="C247">
        <v>1980</v>
      </c>
      <c r="D247">
        <v>1980</v>
      </c>
      <c r="F247">
        <v>1980</v>
      </c>
    </row>
    <row r="248" spans="1:6" x14ac:dyDescent="0.3">
      <c r="A248" t="s">
        <v>681</v>
      </c>
      <c r="B248">
        <v>80</v>
      </c>
      <c r="C248">
        <v>1320</v>
      </c>
      <c r="D248">
        <v>1320</v>
      </c>
      <c r="F248">
        <v>1320</v>
      </c>
    </row>
    <row r="249" spans="1:6" x14ac:dyDescent="0.3">
      <c r="A249" t="s">
        <v>682</v>
      </c>
      <c r="B249">
        <v>80</v>
      </c>
      <c r="C249">
        <v>2640</v>
      </c>
      <c r="D249">
        <v>2640</v>
      </c>
      <c r="F249">
        <v>2640</v>
      </c>
    </row>
    <row r="250" spans="1:6" x14ac:dyDescent="0.3">
      <c r="A250" t="s">
        <v>683</v>
      </c>
      <c r="B250">
        <v>80</v>
      </c>
    </row>
    <row r="251" spans="1:6" x14ac:dyDescent="0.3">
      <c r="A251" t="s">
        <v>684</v>
      </c>
      <c r="B251">
        <v>80</v>
      </c>
    </row>
    <row r="252" spans="1:6" x14ac:dyDescent="0.3">
      <c r="A252" t="s">
        <v>685</v>
      </c>
      <c r="B252">
        <v>80</v>
      </c>
    </row>
    <row r="253" spans="1:6" x14ac:dyDescent="0.3">
      <c r="A253" t="s">
        <v>686</v>
      </c>
      <c r="B253">
        <v>80</v>
      </c>
      <c r="C253" t="b">
        <v>0</v>
      </c>
      <c r="D253" t="b">
        <v>0</v>
      </c>
      <c r="F253" t="b">
        <v>0</v>
      </c>
    </row>
    <row r="254" spans="1:6" x14ac:dyDescent="0.3">
      <c r="A254" t="s">
        <v>687</v>
      </c>
      <c r="B254">
        <v>80</v>
      </c>
      <c r="C254" t="b">
        <v>0</v>
      </c>
      <c r="D254" t="b">
        <v>0</v>
      </c>
      <c r="F254" t="b">
        <v>0</v>
      </c>
    </row>
    <row r="255" spans="1:6" x14ac:dyDescent="0.3">
      <c r="A255" t="s">
        <v>673</v>
      </c>
      <c r="B255">
        <v>81</v>
      </c>
      <c r="E255">
        <v>80</v>
      </c>
    </row>
    <row r="256" spans="1:6" x14ac:dyDescent="0.3">
      <c r="A256" t="s">
        <v>36</v>
      </c>
      <c r="B256">
        <v>81</v>
      </c>
      <c r="E256">
        <v>1</v>
      </c>
    </row>
    <row r="257" spans="1:5" x14ac:dyDescent="0.3">
      <c r="A257" t="s">
        <v>503</v>
      </c>
      <c r="B257">
        <v>81</v>
      </c>
      <c r="E257" t="s">
        <v>739</v>
      </c>
    </row>
    <row r="258" spans="1:5" x14ac:dyDescent="0.3">
      <c r="A258" t="s">
        <v>674</v>
      </c>
      <c r="B258">
        <v>81</v>
      </c>
      <c r="E258">
        <v>284</v>
      </c>
    </row>
    <row r="259" spans="1:5" x14ac:dyDescent="0.3">
      <c r="A259" t="s">
        <v>42</v>
      </c>
      <c r="B259">
        <v>81</v>
      </c>
      <c r="E259">
        <v>45</v>
      </c>
    </row>
    <row r="260" spans="1:5" x14ac:dyDescent="0.3">
      <c r="A260" t="s">
        <v>675</v>
      </c>
      <c r="B260">
        <v>81</v>
      </c>
      <c r="E260">
        <v>4.3</v>
      </c>
    </row>
    <row r="261" spans="1:5" x14ac:dyDescent="0.3">
      <c r="A261" t="s">
        <v>41</v>
      </c>
      <c r="B261">
        <v>81</v>
      </c>
      <c r="E261">
        <v>0</v>
      </c>
    </row>
    <row r="262" spans="1:5" x14ac:dyDescent="0.3">
      <c r="A262" t="s">
        <v>676</v>
      </c>
      <c r="B262">
        <v>81</v>
      </c>
      <c r="E262">
        <v>0</v>
      </c>
    </row>
    <row r="263" spans="1:5" x14ac:dyDescent="0.3">
      <c r="A263" t="s">
        <v>563</v>
      </c>
      <c r="B263">
        <v>81</v>
      </c>
      <c r="E263">
        <v>0</v>
      </c>
    </row>
    <row r="264" spans="1:5" x14ac:dyDescent="0.3">
      <c r="A264" t="s">
        <v>677</v>
      </c>
      <c r="B264">
        <v>81</v>
      </c>
      <c r="E264">
        <v>0</v>
      </c>
    </row>
    <row r="265" spans="1:5" x14ac:dyDescent="0.3">
      <c r="A265" t="s">
        <v>678</v>
      </c>
      <c r="B265">
        <v>81</v>
      </c>
      <c r="E265">
        <v>16</v>
      </c>
    </row>
    <row r="266" spans="1:5" x14ac:dyDescent="0.3">
      <c r="A266" t="s">
        <v>679</v>
      </c>
      <c r="B266">
        <v>81</v>
      </c>
      <c r="E266">
        <v>200</v>
      </c>
    </row>
    <row r="267" spans="1:5" x14ac:dyDescent="0.3">
      <c r="A267" t="s">
        <v>680</v>
      </c>
      <c r="B267">
        <v>81</v>
      </c>
      <c r="E267">
        <v>1980</v>
      </c>
    </row>
    <row r="268" spans="1:5" x14ac:dyDescent="0.3">
      <c r="A268" t="s">
        <v>681</v>
      </c>
      <c r="B268">
        <v>81</v>
      </c>
      <c r="E268">
        <v>1320</v>
      </c>
    </row>
    <row r="269" spans="1:5" x14ac:dyDescent="0.3">
      <c r="A269" t="s">
        <v>682</v>
      </c>
      <c r="B269">
        <v>81</v>
      </c>
      <c r="E269">
        <v>2640</v>
      </c>
    </row>
    <row r="270" spans="1:5" x14ac:dyDescent="0.3">
      <c r="A270" t="s">
        <v>683</v>
      </c>
      <c r="B270">
        <v>81</v>
      </c>
    </row>
    <row r="271" spans="1:5" x14ac:dyDescent="0.3">
      <c r="A271" t="s">
        <v>684</v>
      </c>
      <c r="B271">
        <v>81</v>
      </c>
    </row>
    <row r="272" spans="1:5" x14ac:dyDescent="0.3">
      <c r="A272" t="s">
        <v>685</v>
      </c>
      <c r="B272">
        <v>81</v>
      </c>
    </row>
    <row r="273" spans="1:6" x14ac:dyDescent="0.3">
      <c r="A273" t="s">
        <v>686</v>
      </c>
      <c r="B273">
        <v>81</v>
      </c>
      <c r="E273" t="b">
        <v>0</v>
      </c>
    </row>
    <row r="274" spans="1:6" x14ac:dyDescent="0.3">
      <c r="A274" t="s">
        <v>687</v>
      </c>
      <c r="B274">
        <v>81</v>
      </c>
      <c r="E274" t="b">
        <v>0</v>
      </c>
    </row>
    <row r="275" spans="1:6" x14ac:dyDescent="0.3">
      <c r="A275" t="s">
        <v>673</v>
      </c>
      <c r="B275">
        <v>82</v>
      </c>
      <c r="C275">
        <v>84</v>
      </c>
      <c r="D275">
        <v>80</v>
      </c>
      <c r="F275">
        <v>83</v>
      </c>
    </row>
    <row r="276" spans="1:6" x14ac:dyDescent="0.3">
      <c r="A276" t="s">
        <v>36</v>
      </c>
      <c r="B276">
        <v>82</v>
      </c>
      <c r="C276">
        <v>2</v>
      </c>
      <c r="D276">
        <v>3</v>
      </c>
      <c r="F276">
        <v>1</v>
      </c>
    </row>
    <row r="277" spans="1:6" x14ac:dyDescent="0.3">
      <c r="A277" t="s">
        <v>503</v>
      </c>
      <c r="B277">
        <v>82</v>
      </c>
      <c r="C277" t="s">
        <v>735</v>
      </c>
      <c r="D277" t="s">
        <v>735</v>
      </c>
      <c r="F277" t="s">
        <v>740</v>
      </c>
    </row>
    <row r="278" spans="1:6" x14ac:dyDescent="0.3">
      <c r="A278" t="s">
        <v>674</v>
      </c>
      <c r="B278">
        <v>82</v>
      </c>
      <c r="C278">
        <v>5296</v>
      </c>
      <c r="D278">
        <v>2660</v>
      </c>
      <c r="F278">
        <v>377</v>
      </c>
    </row>
    <row r="279" spans="1:6" x14ac:dyDescent="0.3">
      <c r="A279" t="s">
        <v>42</v>
      </c>
      <c r="B279">
        <v>82</v>
      </c>
      <c r="C279">
        <v>45</v>
      </c>
      <c r="D279">
        <v>45</v>
      </c>
      <c r="F279">
        <v>45</v>
      </c>
    </row>
    <row r="280" spans="1:6" x14ac:dyDescent="0.3">
      <c r="A280" t="s">
        <v>675</v>
      </c>
      <c r="B280">
        <v>82</v>
      </c>
      <c r="C280">
        <v>80.2</v>
      </c>
      <c r="D280">
        <v>40.299999999999997</v>
      </c>
      <c r="F280">
        <v>5.7</v>
      </c>
    </row>
    <row r="281" spans="1:6" x14ac:dyDescent="0.3">
      <c r="A281" t="s">
        <v>41</v>
      </c>
      <c r="B281">
        <v>82</v>
      </c>
      <c r="C281">
        <v>0</v>
      </c>
      <c r="D281">
        <v>0</v>
      </c>
      <c r="F281">
        <v>0</v>
      </c>
    </row>
    <row r="282" spans="1:6" x14ac:dyDescent="0.3">
      <c r="A282" t="s">
        <v>676</v>
      </c>
      <c r="B282">
        <v>82</v>
      </c>
      <c r="C282">
        <v>12</v>
      </c>
      <c r="D282">
        <v>12</v>
      </c>
      <c r="F282">
        <v>12</v>
      </c>
    </row>
    <row r="283" spans="1:6" x14ac:dyDescent="0.3">
      <c r="A283" t="s">
        <v>563</v>
      </c>
      <c r="B283">
        <v>82</v>
      </c>
      <c r="C283">
        <v>0</v>
      </c>
      <c r="D283">
        <v>0</v>
      </c>
      <c r="F283">
        <v>0</v>
      </c>
    </row>
    <row r="284" spans="1:6" x14ac:dyDescent="0.3">
      <c r="A284" t="s">
        <v>677</v>
      </c>
      <c r="B284">
        <v>82</v>
      </c>
      <c r="C284">
        <v>0</v>
      </c>
      <c r="D284">
        <v>0</v>
      </c>
      <c r="F284">
        <v>0</v>
      </c>
    </row>
    <row r="285" spans="1:6" x14ac:dyDescent="0.3">
      <c r="A285" t="s">
        <v>678</v>
      </c>
      <c r="B285">
        <v>82</v>
      </c>
      <c r="C285">
        <v>16</v>
      </c>
      <c r="D285">
        <v>16</v>
      </c>
      <c r="F285">
        <v>16</v>
      </c>
    </row>
    <row r="286" spans="1:6" x14ac:dyDescent="0.3">
      <c r="A286" t="s">
        <v>679</v>
      </c>
      <c r="B286">
        <v>82</v>
      </c>
      <c r="C286">
        <v>318</v>
      </c>
      <c r="D286">
        <v>318</v>
      </c>
      <c r="F286">
        <v>318</v>
      </c>
    </row>
    <row r="287" spans="1:6" x14ac:dyDescent="0.3">
      <c r="A287" t="s">
        <v>680</v>
      </c>
      <c r="B287">
        <v>82</v>
      </c>
      <c r="C287">
        <v>1980</v>
      </c>
      <c r="D287">
        <v>1980</v>
      </c>
      <c r="F287">
        <v>1980</v>
      </c>
    </row>
    <row r="288" spans="1:6" x14ac:dyDescent="0.3">
      <c r="A288" t="s">
        <v>681</v>
      </c>
      <c r="B288">
        <v>82</v>
      </c>
      <c r="C288">
        <v>1320</v>
      </c>
      <c r="D288">
        <v>1320</v>
      </c>
      <c r="F288">
        <v>1320</v>
      </c>
    </row>
    <row r="289" spans="1:6" x14ac:dyDescent="0.3">
      <c r="A289" t="s">
        <v>682</v>
      </c>
      <c r="B289">
        <v>82</v>
      </c>
      <c r="C289">
        <v>2640</v>
      </c>
      <c r="D289">
        <v>2640</v>
      </c>
      <c r="F289">
        <v>2640</v>
      </c>
    </row>
    <row r="290" spans="1:6" x14ac:dyDescent="0.3">
      <c r="A290" t="s">
        <v>683</v>
      </c>
      <c r="B290">
        <v>82</v>
      </c>
    </row>
    <row r="291" spans="1:6" x14ac:dyDescent="0.3">
      <c r="A291" t="s">
        <v>684</v>
      </c>
      <c r="B291">
        <v>82</v>
      </c>
    </row>
    <row r="292" spans="1:6" x14ac:dyDescent="0.3">
      <c r="A292" t="s">
        <v>685</v>
      </c>
      <c r="B292">
        <v>82</v>
      </c>
    </row>
    <row r="293" spans="1:6" x14ac:dyDescent="0.3">
      <c r="A293" t="s">
        <v>686</v>
      </c>
      <c r="B293">
        <v>82</v>
      </c>
      <c r="C293" t="b">
        <v>0</v>
      </c>
      <c r="D293" t="b">
        <v>0</v>
      </c>
      <c r="F293" t="b">
        <v>0</v>
      </c>
    </row>
    <row r="294" spans="1:6" x14ac:dyDescent="0.3">
      <c r="A294" t="s">
        <v>687</v>
      </c>
      <c r="B294">
        <v>82</v>
      </c>
      <c r="C294" t="b">
        <v>0</v>
      </c>
      <c r="D294" t="b">
        <v>0</v>
      </c>
      <c r="F294" t="b">
        <v>0</v>
      </c>
    </row>
    <row r="295" spans="1:6" x14ac:dyDescent="0.3">
      <c r="A295" t="s">
        <v>673</v>
      </c>
      <c r="B295">
        <v>83</v>
      </c>
      <c r="E295">
        <v>82</v>
      </c>
    </row>
    <row r="296" spans="1:6" x14ac:dyDescent="0.3">
      <c r="A296" t="s">
        <v>36</v>
      </c>
      <c r="B296">
        <v>83</v>
      </c>
      <c r="E296">
        <v>1</v>
      </c>
    </row>
    <row r="297" spans="1:6" x14ac:dyDescent="0.3">
      <c r="A297" t="s">
        <v>503</v>
      </c>
      <c r="B297">
        <v>83</v>
      </c>
      <c r="E297" t="s">
        <v>740</v>
      </c>
    </row>
    <row r="298" spans="1:6" x14ac:dyDescent="0.3">
      <c r="A298" t="s">
        <v>674</v>
      </c>
      <c r="B298">
        <v>83</v>
      </c>
      <c r="E298">
        <v>377</v>
      </c>
    </row>
    <row r="299" spans="1:6" x14ac:dyDescent="0.3">
      <c r="A299" t="s">
        <v>42</v>
      </c>
      <c r="B299">
        <v>83</v>
      </c>
      <c r="E299">
        <v>45</v>
      </c>
    </row>
    <row r="300" spans="1:6" x14ac:dyDescent="0.3">
      <c r="A300" t="s">
        <v>675</v>
      </c>
      <c r="B300">
        <v>83</v>
      </c>
      <c r="E300">
        <v>5.7</v>
      </c>
    </row>
    <row r="301" spans="1:6" x14ac:dyDescent="0.3">
      <c r="A301" t="s">
        <v>41</v>
      </c>
      <c r="B301">
        <v>83</v>
      </c>
      <c r="E301">
        <v>0</v>
      </c>
    </row>
    <row r="302" spans="1:6" x14ac:dyDescent="0.3">
      <c r="A302" t="s">
        <v>676</v>
      </c>
      <c r="B302">
        <v>83</v>
      </c>
      <c r="E302">
        <v>0</v>
      </c>
    </row>
    <row r="303" spans="1:6" x14ac:dyDescent="0.3">
      <c r="A303" t="s">
        <v>563</v>
      </c>
      <c r="B303">
        <v>83</v>
      </c>
      <c r="E303">
        <v>0</v>
      </c>
    </row>
    <row r="304" spans="1:6" x14ac:dyDescent="0.3">
      <c r="A304" t="s">
        <v>677</v>
      </c>
      <c r="B304">
        <v>83</v>
      </c>
      <c r="E304">
        <v>0</v>
      </c>
    </row>
    <row r="305" spans="1:6" x14ac:dyDescent="0.3">
      <c r="A305" t="s">
        <v>678</v>
      </c>
      <c r="B305">
        <v>83</v>
      </c>
      <c r="E305">
        <v>16</v>
      </c>
    </row>
    <row r="306" spans="1:6" x14ac:dyDescent="0.3">
      <c r="A306" t="s">
        <v>679</v>
      </c>
      <c r="B306">
        <v>83</v>
      </c>
      <c r="E306">
        <v>200</v>
      </c>
    </row>
    <row r="307" spans="1:6" x14ac:dyDescent="0.3">
      <c r="A307" t="s">
        <v>680</v>
      </c>
      <c r="B307">
        <v>83</v>
      </c>
      <c r="E307">
        <v>1980</v>
      </c>
    </row>
    <row r="308" spans="1:6" x14ac:dyDescent="0.3">
      <c r="A308" t="s">
        <v>681</v>
      </c>
      <c r="B308">
        <v>83</v>
      </c>
      <c r="E308">
        <v>1320</v>
      </c>
    </row>
    <row r="309" spans="1:6" x14ac:dyDescent="0.3">
      <c r="A309" t="s">
        <v>682</v>
      </c>
      <c r="B309">
        <v>83</v>
      </c>
      <c r="E309">
        <v>2640</v>
      </c>
    </row>
    <row r="310" spans="1:6" x14ac:dyDescent="0.3">
      <c r="A310" t="s">
        <v>683</v>
      </c>
      <c r="B310">
        <v>83</v>
      </c>
    </row>
    <row r="311" spans="1:6" x14ac:dyDescent="0.3">
      <c r="A311" t="s">
        <v>684</v>
      </c>
      <c r="B311">
        <v>83</v>
      </c>
    </row>
    <row r="312" spans="1:6" x14ac:dyDescent="0.3">
      <c r="A312" t="s">
        <v>685</v>
      </c>
      <c r="B312">
        <v>83</v>
      </c>
    </row>
    <row r="313" spans="1:6" x14ac:dyDescent="0.3">
      <c r="A313" t="s">
        <v>686</v>
      </c>
      <c r="B313">
        <v>83</v>
      </c>
      <c r="E313" t="b">
        <v>0</v>
      </c>
    </row>
    <row r="314" spans="1:6" x14ac:dyDescent="0.3">
      <c r="A314" t="s">
        <v>687</v>
      </c>
      <c r="B314">
        <v>83</v>
      </c>
      <c r="E314" t="b">
        <v>0</v>
      </c>
    </row>
    <row r="315" spans="1:6" x14ac:dyDescent="0.3">
      <c r="A315" t="s">
        <v>673</v>
      </c>
      <c r="B315">
        <v>84</v>
      </c>
      <c r="C315">
        <v>98</v>
      </c>
      <c r="D315">
        <v>82</v>
      </c>
      <c r="E315">
        <v>85</v>
      </c>
      <c r="F315">
        <v>86</v>
      </c>
    </row>
    <row r="316" spans="1:6" x14ac:dyDescent="0.3">
      <c r="A316" t="s">
        <v>36</v>
      </c>
      <c r="B316">
        <v>84</v>
      </c>
      <c r="C316">
        <v>4</v>
      </c>
      <c r="D316">
        <v>4</v>
      </c>
      <c r="E316">
        <v>3</v>
      </c>
      <c r="F316">
        <v>2</v>
      </c>
    </row>
    <row r="317" spans="1:6" x14ac:dyDescent="0.3">
      <c r="A317" t="s">
        <v>503</v>
      </c>
      <c r="B317">
        <v>84</v>
      </c>
      <c r="C317" t="s">
        <v>735</v>
      </c>
      <c r="D317" t="s">
        <v>735</v>
      </c>
      <c r="E317" t="s">
        <v>741</v>
      </c>
      <c r="F317" t="s">
        <v>741</v>
      </c>
    </row>
    <row r="318" spans="1:6" x14ac:dyDescent="0.3">
      <c r="A318" t="s">
        <v>674</v>
      </c>
      <c r="B318">
        <v>84</v>
      </c>
      <c r="C318">
        <v>1314</v>
      </c>
      <c r="D318">
        <v>5296</v>
      </c>
      <c r="E318">
        <v>256</v>
      </c>
      <c r="F318">
        <v>347</v>
      </c>
    </row>
    <row r="319" spans="1:6" x14ac:dyDescent="0.3">
      <c r="A319" t="s">
        <v>42</v>
      </c>
      <c r="B319">
        <v>84</v>
      </c>
      <c r="C319">
        <v>45</v>
      </c>
      <c r="D319">
        <v>45</v>
      </c>
      <c r="E319">
        <v>45</v>
      </c>
      <c r="F319">
        <v>45</v>
      </c>
    </row>
    <row r="320" spans="1:6" x14ac:dyDescent="0.3">
      <c r="A320" t="s">
        <v>675</v>
      </c>
      <c r="B320">
        <v>84</v>
      </c>
      <c r="C320">
        <v>19.899999999999999</v>
      </c>
      <c r="D320">
        <v>80.2</v>
      </c>
      <c r="E320">
        <v>3.9</v>
      </c>
      <c r="F320">
        <v>5.3</v>
      </c>
    </row>
    <row r="321" spans="1:6" x14ac:dyDescent="0.3">
      <c r="A321" t="s">
        <v>41</v>
      </c>
      <c r="B321">
        <v>84</v>
      </c>
      <c r="C321">
        <v>0</v>
      </c>
      <c r="D321">
        <v>0</v>
      </c>
      <c r="E321">
        <v>0</v>
      </c>
      <c r="F321">
        <v>0</v>
      </c>
    </row>
    <row r="322" spans="1:6" x14ac:dyDescent="0.3">
      <c r="A322" t="s">
        <v>676</v>
      </c>
      <c r="B322">
        <v>84</v>
      </c>
      <c r="C322">
        <v>12</v>
      </c>
      <c r="D322">
        <v>12</v>
      </c>
      <c r="E322">
        <v>0</v>
      </c>
      <c r="F322">
        <v>0</v>
      </c>
    </row>
    <row r="323" spans="1:6" x14ac:dyDescent="0.3">
      <c r="A323" t="s">
        <v>563</v>
      </c>
      <c r="B323">
        <v>84</v>
      </c>
      <c r="C323">
        <v>0</v>
      </c>
      <c r="D323">
        <v>0</v>
      </c>
      <c r="E323">
        <v>0</v>
      </c>
      <c r="F323">
        <v>0</v>
      </c>
    </row>
    <row r="324" spans="1:6" x14ac:dyDescent="0.3">
      <c r="A324" t="s">
        <v>677</v>
      </c>
      <c r="B324">
        <v>84</v>
      </c>
      <c r="C324">
        <v>0</v>
      </c>
      <c r="D324">
        <v>0</v>
      </c>
      <c r="E324">
        <v>0</v>
      </c>
      <c r="F324">
        <v>0</v>
      </c>
    </row>
    <row r="325" spans="1:6" x14ac:dyDescent="0.3">
      <c r="A325" t="s">
        <v>678</v>
      </c>
      <c r="B325">
        <v>84</v>
      </c>
      <c r="C325">
        <v>16</v>
      </c>
      <c r="D325">
        <v>16</v>
      </c>
      <c r="E325">
        <v>16</v>
      </c>
      <c r="F325">
        <v>16</v>
      </c>
    </row>
    <row r="326" spans="1:6" x14ac:dyDescent="0.3">
      <c r="A326" t="s">
        <v>679</v>
      </c>
      <c r="B326">
        <v>84</v>
      </c>
      <c r="C326">
        <v>272</v>
      </c>
      <c r="D326">
        <v>272</v>
      </c>
      <c r="E326">
        <v>272</v>
      </c>
      <c r="F326">
        <v>272</v>
      </c>
    </row>
    <row r="327" spans="1:6" x14ac:dyDescent="0.3">
      <c r="A327" t="s">
        <v>680</v>
      </c>
      <c r="B327">
        <v>84</v>
      </c>
      <c r="C327">
        <v>1980</v>
      </c>
      <c r="D327">
        <v>1980</v>
      </c>
      <c r="E327">
        <v>1980</v>
      </c>
      <c r="F327">
        <v>1980</v>
      </c>
    </row>
    <row r="328" spans="1:6" x14ac:dyDescent="0.3">
      <c r="A328" t="s">
        <v>681</v>
      </c>
      <c r="B328">
        <v>84</v>
      </c>
      <c r="C328">
        <v>1320</v>
      </c>
      <c r="D328">
        <v>1320</v>
      </c>
      <c r="E328">
        <v>1320</v>
      </c>
      <c r="F328">
        <v>1320</v>
      </c>
    </row>
    <row r="329" spans="1:6" x14ac:dyDescent="0.3">
      <c r="A329" t="s">
        <v>682</v>
      </c>
      <c r="B329">
        <v>84</v>
      </c>
      <c r="C329">
        <v>2640</v>
      </c>
      <c r="D329">
        <v>2640</v>
      </c>
      <c r="E329">
        <v>2640</v>
      </c>
      <c r="F329">
        <v>2640</v>
      </c>
    </row>
    <row r="330" spans="1:6" x14ac:dyDescent="0.3">
      <c r="A330" t="s">
        <v>683</v>
      </c>
      <c r="B330">
        <v>84</v>
      </c>
    </row>
    <row r="331" spans="1:6" x14ac:dyDescent="0.3">
      <c r="A331" t="s">
        <v>684</v>
      </c>
      <c r="B331">
        <v>84</v>
      </c>
    </row>
    <row r="332" spans="1:6" x14ac:dyDescent="0.3">
      <c r="A332" t="s">
        <v>685</v>
      </c>
      <c r="B332">
        <v>84</v>
      </c>
    </row>
    <row r="333" spans="1:6" x14ac:dyDescent="0.3">
      <c r="A333" t="s">
        <v>686</v>
      </c>
      <c r="B333">
        <v>84</v>
      </c>
      <c r="C333" t="b">
        <v>0</v>
      </c>
      <c r="D333" t="b">
        <v>0</v>
      </c>
      <c r="E333" t="b">
        <v>0</v>
      </c>
      <c r="F333" t="b">
        <v>0</v>
      </c>
    </row>
    <row r="334" spans="1:6" x14ac:dyDescent="0.3">
      <c r="A334" t="s">
        <v>687</v>
      </c>
      <c r="B334">
        <v>84</v>
      </c>
      <c r="C334" t="b">
        <v>0</v>
      </c>
      <c r="D334" t="b">
        <v>0</v>
      </c>
      <c r="E334" t="b">
        <v>0</v>
      </c>
      <c r="F334" t="b">
        <v>0</v>
      </c>
    </row>
    <row r="335" spans="1:6" x14ac:dyDescent="0.3">
      <c r="A335" t="s">
        <v>673</v>
      </c>
      <c r="B335">
        <v>85</v>
      </c>
      <c r="F335">
        <v>84</v>
      </c>
    </row>
    <row r="336" spans="1:6" x14ac:dyDescent="0.3">
      <c r="A336" t="s">
        <v>36</v>
      </c>
      <c r="B336">
        <v>85</v>
      </c>
      <c r="F336">
        <v>2</v>
      </c>
    </row>
    <row r="337" spans="1:6" x14ac:dyDescent="0.3">
      <c r="A337" t="s">
        <v>503</v>
      </c>
      <c r="B337">
        <v>85</v>
      </c>
      <c r="F337" t="s">
        <v>741</v>
      </c>
    </row>
    <row r="338" spans="1:6" x14ac:dyDescent="0.3">
      <c r="A338" t="s">
        <v>674</v>
      </c>
      <c r="B338">
        <v>85</v>
      </c>
      <c r="F338">
        <v>256</v>
      </c>
    </row>
    <row r="339" spans="1:6" x14ac:dyDescent="0.3">
      <c r="A339" t="s">
        <v>42</v>
      </c>
      <c r="B339">
        <v>85</v>
      </c>
      <c r="F339">
        <v>45</v>
      </c>
    </row>
    <row r="340" spans="1:6" x14ac:dyDescent="0.3">
      <c r="A340" t="s">
        <v>675</v>
      </c>
      <c r="B340">
        <v>85</v>
      </c>
      <c r="F340">
        <v>3.9</v>
      </c>
    </row>
    <row r="341" spans="1:6" x14ac:dyDescent="0.3">
      <c r="A341" t="s">
        <v>41</v>
      </c>
      <c r="B341">
        <v>85</v>
      </c>
      <c r="F341">
        <v>0</v>
      </c>
    </row>
    <row r="342" spans="1:6" x14ac:dyDescent="0.3">
      <c r="A342" t="s">
        <v>676</v>
      </c>
      <c r="B342">
        <v>85</v>
      </c>
      <c r="F342">
        <v>0</v>
      </c>
    </row>
    <row r="343" spans="1:6" x14ac:dyDescent="0.3">
      <c r="A343" t="s">
        <v>563</v>
      </c>
      <c r="B343">
        <v>85</v>
      </c>
      <c r="F343">
        <v>0</v>
      </c>
    </row>
    <row r="344" spans="1:6" x14ac:dyDescent="0.3">
      <c r="A344" t="s">
        <v>677</v>
      </c>
      <c r="B344">
        <v>85</v>
      </c>
      <c r="F344">
        <v>0</v>
      </c>
    </row>
    <row r="345" spans="1:6" x14ac:dyDescent="0.3">
      <c r="A345" t="s">
        <v>678</v>
      </c>
      <c r="B345">
        <v>85</v>
      </c>
      <c r="F345">
        <v>16</v>
      </c>
    </row>
    <row r="346" spans="1:6" x14ac:dyDescent="0.3">
      <c r="A346" t="s">
        <v>679</v>
      </c>
      <c r="B346">
        <v>85</v>
      </c>
      <c r="F346">
        <v>200</v>
      </c>
    </row>
    <row r="347" spans="1:6" x14ac:dyDescent="0.3">
      <c r="A347" t="s">
        <v>680</v>
      </c>
      <c r="B347">
        <v>85</v>
      </c>
      <c r="F347">
        <v>1980</v>
      </c>
    </row>
    <row r="348" spans="1:6" x14ac:dyDescent="0.3">
      <c r="A348" t="s">
        <v>681</v>
      </c>
      <c r="B348">
        <v>85</v>
      </c>
      <c r="F348">
        <v>1320</v>
      </c>
    </row>
    <row r="349" spans="1:6" x14ac:dyDescent="0.3">
      <c r="A349" t="s">
        <v>682</v>
      </c>
      <c r="B349">
        <v>85</v>
      </c>
      <c r="F349">
        <v>2640</v>
      </c>
    </row>
    <row r="350" spans="1:6" x14ac:dyDescent="0.3">
      <c r="A350" t="s">
        <v>683</v>
      </c>
      <c r="B350">
        <v>85</v>
      </c>
    </row>
    <row r="351" spans="1:6" x14ac:dyDescent="0.3">
      <c r="A351" t="s">
        <v>684</v>
      </c>
      <c r="B351">
        <v>85</v>
      </c>
    </row>
    <row r="352" spans="1:6" x14ac:dyDescent="0.3">
      <c r="A352" t="s">
        <v>685</v>
      </c>
      <c r="B352">
        <v>85</v>
      </c>
    </row>
    <row r="353" spans="1:6" x14ac:dyDescent="0.3">
      <c r="A353" t="s">
        <v>686</v>
      </c>
      <c r="B353">
        <v>85</v>
      </c>
      <c r="F353" t="b">
        <v>0</v>
      </c>
    </row>
    <row r="354" spans="1:6" x14ac:dyDescent="0.3">
      <c r="A354" t="s">
        <v>687</v>
      </c>
      <c r="B354">
        <v>85</v>
      </c>
      <c r="F354" t="b">
        <v>0</v>
      </c>
    </row>
    <row r="355" spans="1:6" x14ac:dyDescent="0.3">
      <c r="A355" t="s">
        <v>673</v>
      </c>
      <c r="B355">
        <v>86</v>
      </c>
      <c r="E355">
        <v>84</v>
      </c>
    </row>
    <row r="356" spans="1:6" x14ac:dyDescent="0.3">
      <c r="A356" t="s">
        <v>36</v>
      </c>
      <c r="B356">
        <v>86</v>
      </c>
      <c r="E356">
        <v>3</v>
      </c>
    </row>
    <row r="357" spans="1:6" x14ac:dyDescent="0.3">
      <c r="A357" t="s">
        <v>503</v>
      </c>
      <c r="B357">
        <v>86</v>
      </c>
      <c r="E357" t="s">
        <v>741</v>
      </c>
    </row>
    <row r="358" spans="1:6" x14ac:dyDescent="0.3">
      <c r="A358" t="s">
        <v>674</v>
      </c>
      <c r="B358">
        <v>86</v>
      </c>
      <c r="E358">
        <v>347</v>
      </c>
    </row>
    <row r="359" spans="1:6" x14ac:dyDescent="0.3">
      <c r="A359" t="s">
        <v>42</v>
      </c>
      <c r="B359">
        <v>86</v>
      </c>
      <c r="E359">
        <v>45</v>
      </c>
    </row>
    <row r="360" spans="1:6" x14ac:dyDescent="0.3">
      <c r="A360" t="s">
        <v>675</v>
      </c>
      <c r="B360">
        <v>86</v>
      </c>
      <c r="E360">
        <v>5.3</v>
      </c>
    </row>
    <row r="361" spans="1:6" x14ac:dyDescent="0.3">
      <c r="A361" t="s">
        <v>41</v>
      </c>
      <c r="B361">
        <v>86</v>
      </c>
      <c r="E361">
        <v>0</v>
      </c>
    </row>
    <row r="362" spans="1:6" x14ac:dyDescent="0.3">
      <c r="A362" t="s">
        <v>676</v>
      </c>
      <c r="B362">
        <v>86</v>
      </c>
      <c r="E362">
        <v>0</v>
      </c>
    </row>
    <row r="363" spans="1:6" x14ac:dyDescent="0.3">
      <c r="A363" t="s">
        <v>563</v>
      </c>
      <c r="B363">
        <v>86</v>
      </c>
      <c r="E363">
        <v>0</v>
      </c>
    </row>
    <row r="364" spans="1:6" x14ac:dyDescent="0.3">
      <c r="A364" t="s">
        <v>677</v>
      </c>
      <c r="B364">
        <v>86</v>
      </c>
      <c r="E364">
        <v>0</v>
      </c>
    </row>
    <row r="365" spans="1:6" x14ac:dyDescent="0.3">
      <c r="A365" t="s">
        <v>678</v>
      </c>
      <c r="B365">
        <v>86</v>
      </c>
      <c r="E365">
        <v>16</v>
      </c>
    </row>
    <row r="366" spans="1:6" x14ac:dyDescent="0.3">
      <c r="A366" t="s">
        <v>679</v>
      </c>
      <c r="B366">
        <v>86</v>
      </c>
      <c r="E366">
        <v>200</v>
      </c>
    </row>
    <row r="367" spans="1:6" x14ac:dyDescent="0.3">
      <c r="A367" t="s">
        <v>680</v>
      </c>
      <c r="B367">
        <v>86</v>
      </c>
      <c r="E367">
        <v>1980</v>
      </c>
    </row>
    <row r="368" spans="1:6" x14ac:dyDescent="0.3">
      <c r="A368" t="s">
        <v>681</v>
      </c>
      <c r="B368">
        <v>86</v>
      </c>
      <c r="E368">
        <v>1320</v>
      </c>
    </row>
    <row r="369" spans="1:6" x14ac:dyDescent="0.3">
      <c r="A369" t="s">
        <v>682</v>
      </c>
      <c r="B369">
        <v>86</v>
      </c>
      <c r="E369">
        <v>2640</v>
      </c>
    </row>
    <row r="370" spans="1:6" x14ac:dyDescent="0.3">
      <c r="A370" t="s">
        <v>683</v>
      </c>
      <c r="B370">
        <v>86</v>
      </c>
    </row>
    <row r="371" spans="1:6" x14ac:dyDescent="0.3">
      <c r="A371" t="s">
        <v>684</v>
      </c>
      <c r="B371">
        <v>86</v>
      </c>
    </row>
    <row r="372" spans="1:6" x14ac:dyDescent="0.3">
      <c r="A372" t="s">
        <v>685</v>
      </c>
      <c r="B372">
        <v>86</v>
      </c>
    </row>
    <row r="373" spans="1:6" x14ac:dyDescent="0.3">
      <c r="A373" t="s">
        <v>686</v>
      </c>
      <c r="B373">
        <v>86</v>
      </c>
      <c r="E373" t="b">
        <v>0</v>
      </c>
    </row>
    <row r="374" spans="1:6" x14ac:dyDescent="0.3">
      <c r="A374" t="s">
        <v>687</v>
      </c>
      <c r="B374">
        <v>86</v>
      </c>
      <c r="E374" t="b">
        <v>0</v>
      </c>
    </row>
    <row r="375" spans="1:6" x14ac:dyDescent="0.3">
      <c r="A375" t="s">
        <v>673</v>
      </c>
      <c r="B375">
        <v>87</v>
      </c>
      <c r="C375">
        <v>31</v>
      </c>
      <c r="D375">
        <v>98</v>
      </c>
      <c r="E375">
        <v>88</v>
      </c>
      <c r="F375">
        <v>89</v>
      </c>
    </row>
    <row r="376" spans="1:6" x14ac:dyDescent="0.3">
      <c r="A376" t="s">
        <v>36</v>
      </c>
      <c r="B376">
        <v>87</v>
      </c>
      <c r="C376">
        <v>3</v>
      </c>
      <c r="D376">
        <v>3</v>
      </c>
      <c r="E376">
        <v>3</v>
      </c>
      <c r="F376">
        <v>3</v>
      </c>
    </row>
    <row r="377" spans="1:6" x14ac:dyDescent="0.3">
      <c r="A377" t="s">
        <v>503</v>
      </c>
      <c r="B377">
        <v>87</v>
      </c>
      <c r="C377" t="s">
        <v>735</v>
      </c>
      <c r="D377" t="s">
        <v>735</v>
      </c>
      <c r="E377" t="s">
        <v>742</v>
      </c>
      <c r="F377" t="s">
        <v>742</v>
      </c>
    </row>
    <row r="378" spans="1:6" x14ac:dyDescent="0.3">
      <c r="A378" t="s">
        <v>674</v>
      </c>
      <c r="B378">
        <v>87</v>
      </c>
      <c r="C378">
        <v>570</v>
      </c>
      <c r="D378">
        <v>3996</v>
      </c>
      <c r="E378">
        <v>200</v>
      </c>
      <c r="F378">
        <v>358</v>
      </c>
    </row>
    <row r="379" spans="1:6" x14ac:dyDescent="0.3">
      <c r="A379" t="s">
        <v>42</v>
      </c>
      <c r="B379">
        <v>87</v>
      </c>
      <c r="C379">
        <v>45</v>
      </c>
      <c r="D379">
        <v>45</v>
      </c>
      <c r="E379">
        <v>45</v>
      </c>
      <c r="F379">
        <v>45</v>
      </c>
    </row>
    <row r="380" spans="1:6" x14ac:dyDescent="0.3">
      <c r="A380" t="s">
        <v>675</v>
      </c>
      <c r="B380">
        <v>87</v>
      </c>
      <c r="C380">
        <v>8.6</v>
      </c>
      <c r="D380">
        <v>60.5</v>
      </c>
      <c r="E380">
        <v>3</v>
      </c>
      <c r="F380">
        <v>5.4</v>
      </c>
    </row>
    <row r="381" spans="1:6" x14ac:dyDescent="0.3">
      <c r="A381" t="s">
        <v>41</v>
      </c>
      <c r="B381">
        <v>87</v>
      </c>
      <c r="C381">
        <v>0</v>
      </c>
      <c r="D381">
        <v>0</v>
      </c>
      <c r="E381">
        <v>0</v>
      </c>
      <c r="F381">
        <v>0</v>
      </c>
    </row>
    <row r="382" spans="1:6" x14ac:dyDescent="0.3">
      <c r="A382" t="s">
        <v>676</v>
      </c>
      <c r="B382">
        <v>87</v>
      </c>
      <c r="C382">
        <v>12</v>
      </c>
      <c r="D382">
        <v>12</v>
      </c>
      <c r="E382">
        <v>12</v>
      </c>
      <c r="F382">
        <v>12</v>
      </c>
    </row>
    <row r="383" spans="1:6" x14ac:dyDescent="0.3">
      <c r="A383" t="s">
        <v>563</v>
      </c>
      <c r="B383">
        <v>87</v>
      </c>
      <c r="C383">
        <v>0</v>
      </c>
      <c r="D383">
        <v>0</v>
      </c>
      <c r="E383">
        <v>0</v>
      </c>
      <c r="F383">
        <v>0</v>
      </c>
    </row>
    <row r="384" spans="1:6" x14ac:dyDescent="0.3">
      <c r="A384" t="s">
        <v>677</v>
      </c>
      <c r="B384">
        <v>87</v>
      </c>
      <c r="C384">
        <v>0</v>
      </c>
      <c r="D384">
        <v>0</v>
      </c>
      <c r="E384">
        <v>0</v>
      </c>
      <c r="F384">
        <v>0</v>
      </c>
    </row>
    <row r="385" spans="1:6" x14ac:dyDescent="0.3">
      <c r="A385" t="s">
        <v>678</v>
      </c>
      <c r="B385">
        <v>87</v>
      </c>
      <c r="C385">
        <v>16</v>
      </c>
      <c r="D385">
        <v>16</v>
      </c>
      <c r="E385">
        <v>16</v>
      </c>
      <c r="F385">
        <v>16</v>
      </c>
    </row>
    <row r="386" spans="1:6" x14ac:dyDescent="0.3">
      <c r="A386" t="s">
        <v>679</v>
      </c>
      <c r="B386">
        <v>87</v>
      </c>
      <c r="C386">
        <v>284</v>
      </c>
      <c r="D386">
        <v>284</v>
      </c>
      <c r="E386">
        <v>284</v>
      </c>
      <c r="F386">
        <v>284</v>
      </c>
    </row>
    <row r="387" spans="1:6" x14ac:dyDescent="0.3">
      <c r="A387" t="s">
        <v>680</v>
      </c>
      <c r="B387">
        <v>87</v>
      </c>
      <c r="C387">
        <v>1980</v>
      </c>
      <c r="D387">
        <v>1980</v>
      </c>
      <c r="E387">
        <v>1980</v>
      </c>
      <c r="F387">
        <v>1980</v>
      </c>
    </row>
    <row r="388" spans="1:6" x14ac:dyDescent="0.3">
      <c r="A388" t="s">
        <v>681</v>
      </c>
      <c r="B388">
        <v>87</v>
      </c>
      <c r="C388">
        <v>1320</v>
      </c>
      <c r="D388">
        <v>1320</v>
      </c>
      <c r="E388">
        <v>1320</v>
      </c>
      <c r="F388">
        <v>1320</v>
      </c>
    </row>
    <row r="389" spans="1:6" x14ac:dyDescent="0.3">
      <c r="A389" t="s">
        <v>682</v>
      </c>
      <c r="B389">
        <v>87</v>
      </c>
      <c r="C389">
        <v>2640</v>
      </c>
      <c r="D389">
        <v>2640</v>
      </c>
      <c r="E389">
        <v>2640</v>
      </c>
      <c r="F389">
        <v>2640</v>
      </c>
    </row>
    <row r="390" spans="1:6" x14ac:dyDescent="0.3">
      <c r="A390" t="s">
        <v>683</v>
      </c>
      <c r="B390">
        <v>87</v>
      </c>
    </row>
    <row r="391" spans="1:6" x14ac:dyDescent="0.3">
      <c r="A391" t="s">
        <v>684</v>
      </c>
      <c r="B391">
        <v>87</v>
      </c>
    </row>
    <row r="392" spans="1:6" x14ac:dyDescent="0.3">
      <c r="A392" t="s">
        <v>685</v>
      </c>
      <c r="B392">
        <v>87</v>
      </c>
    </row>
    <row r="393" spans="1:6" x14ac:dyDescent="0.3">
      <c r="A393" t="s">
        <v>686</v>
      </c>
      <c r="B393">
        <v>87</v>
      </c>
      <c r="C393" t="b">
        <v>0</v>
      </c>
      <c r="D393" t="b">
        <v>0</v>
      </c>
      <c r="E393" t="b">
        <v>0</v>
      </c>
      <c r="F393" t="b">
        <v>0</v>
      </c>
    </row>
    <row r="394" spans="1:6" x14ac:dyDescent="0.3">
      <c r="A394" t="s">
        <v>687</v>
      </c>
      <c r="B394">
        <v>87</v>
      </c>
      <c r="C394" t="b">
        <v>0</v>
      </c>
      <c r="D394" t="b">
        <v>0</v>
      </c>
      <c r="E394" t="b">
        <v>0</v>
      </c>
      <c r="F394" t="b">
        <v>0</v>
      </c>
    </row>
    <row r="395" spans="1:6" x14ac:dyDescent="0.3">
      <c r="A395" t="s">
        <v>673</v>
      </c>
      <c r="B395">
        <v>88</v>
      </c>
      <c r="F395">
        <v>87</v>
      </c>
    </row>
    <row r="396" spans="1:6" x14ac:dyDescent="0.3">
      <c r="A396" t="s">
        <v>36</v>
      </c>
      <c r="B396">
        <v>88</v>
      </c>
      <c r="F396">
        <v>2</v>
      </c>
    </row>
    <row r="397" spans="1:6" x14ac:dyDescent="0.3">
      <c r="A397" t="s">
        <v>503</v>
      </c>
      <c r="B397">
        <v>88</v>
      </c>
      <c r="F397" t="s">
        <v>742</v>
      </c>
    </row>
    <row r="398" spans="1:6" x14ac:dyDescent="0.3">
      <c r="A398" t="s">
        <v>674</v>
      </c>
      <c r="B398">
        <v>88</v>
      </c>
      <c r="F398">
        <v>200</v>
      </c>
    </row>
    <row r="399" spans="1:6" x14ac:dyDescent="0.3">
      <c r="A399" t="s">
        <v>42</v>
      </c>
      <c r="B399">
        <v>88</v>
      </c>
      <c r="F399">
        <v>45</v>
      </c>
    </row>
    <row r="400" spans="1:6" x14ac:dyDescent="0.3">
      <c r="A400" t="s">
        <v>675</v>
      </c>
      <c r="B400">
        <v>88</v>
      </c>
      <c r="F400">
        <v>3</v>
      </c>
    </row>
    <row r="401" spans="1:6" x14ac:dyDescent="0.3">
      <c r="A401" t="s">
        <v>41</v>
      </c>
      <c r="B401">
        <v>88</v>
      </c>
      <c r="F401">
        <v>0</v>
      </c>
    </row>
    <row r="402" spans="1:6" x14ac:dyDescent="0.3">
      <c r="A402" t="s">
        <v>676</v>
      </c>
      <c r="B402">
        <v>88</v>
      </c>
      <c r="F402">
        <v>0</v>
      </c>
    </row>
    <row r="403" spans="1:6" x14ac:dyDescent="0.3">
      <c r="A403" t="s">
        <v>563</v>
      </c>
      <c r="B403">
        <v>88</v>
      </c>
      <c r="F403">
        <v>0</v>
      </c>
    </row>
    <row r="404" spans="1:6" x14ac:dyDescent="0.3">
      <c r="A404" t="s">
        <v>677</v>
      </c>
      <c r="B404">
        <v>88</v>
      </c>
      <c r="F404">
        <v>0</v>
      </c>
    </row>
    <row r="405" spans="1:6" x14ac:dyDescent="0.3">
      <c r="A405" t="s">
        <v>678</v>
      </c>
      <c r="B405">
        <v>88</v>
      </c>
      <c r="F405">
        <v>16</v>
      </c>
    </row>
    <row r="406" spans="1:6" x14ac:dyDescent="0.3">
      <c r="A406" t="s">
        <v>679</v>
      </c>
      <c r="B406">
        <v>88</v>
      </c>
      <c r="F406">
        <v>200</v>
      </c>
    </row>
    <row r="407" spans="1:6" x14ac:dyDescent="0.3">
      <c r="A407" t="s">
        <v>680</v>
      </c>
      <c r="B407">
        <v>88</v>
      </c>
      <c r="F407">
        <v>1980</v>
      </c>
    </row>
    <row r="408" spans="1:6" x14ac:dyDescent="0.3">
      <c r="A408" t="s">
        <v>681</v>
      </c>
      <c r="B408">
        <v>88</v>
      </c>
      <c r="F408">
        <v>1320</v>
      </c>
    </row>
    <row r="409" spans="1:6" x14ac:dyDescent="0.3">
      <c r="A409" t="s">
        <v>682</v>
      </c>
      <c r="B409">
        <v>88</v>
      </c>
      <c r="F409">
        <v>2640</v>
      </c>
    </row>
    <row r="410" spans="1:6" x14ac:dyDescent="0.3">
      <c r="A410" t="s">
        <v>683</v>
      </c>
      <c r="B410">
        <v>88</v>
      </c>
    </row>
    <row r="411" spans="1:6" x14ac:dyDescent="0.3">
      <c r="A411" t="s">
        <v>684</v>
      </c>
      <c r="B411">
        <v>88</v>
      </c>
    </row>
    <row r="412" spans="1:6" x14ac:dyDescent="0.3">
      <c r="A412" t="s">
        <v>685</v>
      </c>
      <c r="B412">
        <v>88</v>
      </c>
    </row>
    <row r="413" spans="1:6" x14ac:dyDescent="0.3">
      <c r="A413" t="s">
        <v>686</v>
      </c>
      <c r="B413">
        <v>88</v>
      </c>
      <c r="F413" t="b">
        <v>0</v>
      </c>
    </row>
    <row r="414" spans="1:6" x14ac:dyDescent="0.3">
      <c r="A414" t="s">
        <v>687</v>
      </c>
      <c r="B414">
        <v>88</v>
      </c>
      <c r="F414" t="b">
        <v>0</v>
      </c>
    </row>
    <row r="415" spans="1:6" x14ac:dyDescent="0.3">
      <c r="A415" t="s">
        <v>673</v>
      </c>
      <c r="B415">
        <v>89</v>
      </c>
      <c r="E415">
        <v>87</v>
      </c>
    </row>
    <row r="416" spans="1:6" x14ac:dyDescent="0.3">
      <c r="A416" t="s">
        <v>36</v>
      </c>
      <c r="B416">
        <v>89</v>
      </c>
      <c r="E416">
        <v>2</v>
      </c>
    </row>
    <row r="417" spans="1:5" x14ac:dyDescent="0.3">
      <c r="A417" t="s">
        <v>503</v>
      </c>
      <c r="B417">
        <v>89</v>
      </c>
      <c r="E417" t="s">
        <v>742</v>
      </c>
    </row>
    <row r="418" spans="1:5" x14ac:dyDescent="0.3">
      <c r="A418" t="s">
        <v>674</v>
      </c>
      <c r="B418">
        <v>89</v>
      </c>
      <c r="E418">
        <v>358</v>
      </c>
    </row>
    <row r="419" spans="1:5" x14ac:dyDescent="0.3">
      <c r="A419" t="s">
        <v>42</v>
      </c>
      <c r="B419">
        <v>89</v>
      </c>
      <c r="E419">
        <v>45</v>
      </c>
    </row>
    <row r="420" spans="1:5" x14ac:dyDescent="0.3">
      <c r="A420" t="s">
        <v>675</v>
      </c>
      <c r="B420">
        <v>89</v>
      </c>
      <c r="E420">
        <v>5.4</v>
      </c>
    </row>
    <row r="421" spans="1:5" x14ac:dyDescent="0.3">
      <c r="A421" t="s">
        <v>41</v>
      </c>
      <c r="B421">
        <v>89</v>
      </c>
      <c r="E421">
        <v>0</v>
      </c>
    </row>
    <row r="422" spans="1:5" x14ac:dyDescent="0.3">
      <c r="A422" t="s">
        <v>676</v>
      </c>
      <c r="B422">
        <v>89</v>
      </c>
      <c r="E422">
        <v>0</v>
      </c>
    </row>
    <row r="423" spans="1:5" x14ac:dyDescent="0.3">
      <c r="A423" t="s">
        <v>563</v>
      </c>
      <c r="B423">
        <v>89</v>
      </c>
      <c r="E423">
        <v>0</v>
      </c>
    </row>
    <row r="424" spans="1:5" x14ac:dyDescent="0.3">
      <c r="A424" t="s">
        <v>677</v>
      </c>
      <c r="B424">
        <v>89</v>
      </c>
      <c r="E424">
        <v>0</v>
      </c>
    </row>
    <row r="425" spans="1:5" x14ac:dyDescent="0.3">
      <c r="A425" t="s">
        <v>678</v>
      </c>
      <c r="B425">
        <v>89</v>
      </c>
      <c r="E425">
        <v>16</v>
      </c>
    </row>
    <row r="426" spans="1:5" x14ac:dyDescent="0.3">
      <c r="A426" t="s">
        <v>679</v>
      </c>
      <c r="B426">
        <v>89</v>
      </c>
      <c r="E426">
        <v>200</v>
      </c>
    </row>
    <row r="427" spans="1:5" x14ac:dyDescent="0.3">
      <c r="A427" t="s">
        <v>680</v>
      </c>
      <c r="B427">
        <v>89</v>
      </c>
      <c r="E427">
        <v>1980</v>
      </c>
    </row>
    <row r="428" spans="1:5" x14ac:dyDescent="0.3">
      <c r="A428" t="s">
        <v>681</v>
      </c>
      <c r="B428">
        <v>89</v>
      </c>
      <c r="E428">
        <v>1320</v>
      </c>
    </row>
    <row r="429" spans="1:5" x14ac:dyDescent="0.3">
      <c r="A429" t="s">
        <v>682</v>
      </c>
      <c r="B429">
        <v>89</v>
      </c>
      <c r="E429">
        <v>2640</v>
      </c>
    </row>
    <row r="430" spans="1:5" x14ac:dyDescent="0.3">
      <c r="A430" t="s">
        <v>683</v>
      </c>
      <c r="B430">
        <v>89</v>
      </c>
    </row>
    <row r="431" spans="1:5" x14ac:dyDescent="0.3">
      <c r="A431" t="s">
        <v>684</v>
      </c>
      <c r="B431">
        <v>89</v>
      </c>
    </row>
    <row r="432" spans="1:5" x14ac:dyDescent="0.3">
      <c r="A432" t="s">
        <v>685</v>
      </c>
      <c r="B432">
        <v>89</v>
      </c>
    </row>
    <row r="433" spans="1:6" x14ac:dyDescent="0.3">
      <c r="A433" t="s">
        <v>686</v>
      </c>
      <c r="B433">
        <v>89</v>
      </c>
      <c r="E433" t="b">
        <v>0</v>
      </c>
    </row>
    <row r="434" spans="1:6" x14ac:dyDescent="0.3">
      <c r="A434" t="s">
        <v>687</v>
      </c>
      <c r="B434">
        <v>89</v>
      </c>
      <c r="E434" t="b">
        <v>0</v>
      </c>
    </row>
    <row r="435" spans="1:6" x14ac:dyDescent="0.3">
      <c r="A435" t="s">
        <v>673</v>
      </c>
      <c r="B435">
        <v>97</v>
      </c>
      <c r="F435">
        <v>98</v>
      </c>
    </row>
    <row r="436" spans="1:6" x14ac:dyDescent="0.3">
      <c r="A436" t="s">
        <v>36</v>
      </c>
      <c r="B436">
        <v>97</v>
      </c>
      <c r="F436">
        <v>1</v>
      </c>
    </row>
    <row r="437" spans="1:6" x14ac:dyDescent="0.3">
      <c r="A437" t="s">
        <v>503</v>
      </c>
      <c r="B437">
        <v>97</v>
      </c>
      <c r="F437" t="s">
        <v>743</v>
      </c>
    </row>
    <row r="438" spans="1:6" x14ac:dyDescent="0.3">
      <c r="A438" t="s">
        <v>674</v>
      </c>
      <c r="B438">
        <v>97</v>
      </c>
      <c r="F438">
        <v>285</v>
      </c>
    </row>
    <row r="439" spans="1:6" x14ac:dyDescent="0.3">
      <c r="A439" t="s">
        <v>42</v>
      </c>
      <c r="B439">
        <v>97</v>
      </c>
      <c r="F439">
        <v>45</v>
      </c>
    </row>
    <row r="440" spans="1:6" x14ac:dyDescent="0.3">
      <c r="A440" t="s">
        <v>675</v>
      </c>
      <c r="B440">
        <v>97</v>
      </c>
      <c r="F440">
        <v>4.3</v>
      </c>
    </row>
    <row r="441" spans="1:6" x14ac:dyDescent="0.3">
      <c r="A441" t="s">
        <v>41</v>
      </c>
      <c r="B441">
        <v>97</v>
      </c>
      <c r="F441">
        <v>0</v>
      </c>
    </row>
    <row r="442" spans="1:6" x14ac:dyDescent="0.3">
      <c r="A442" t="s">
        <v>676</v>
      </c>
      <c r="B442">
        <v>97</v>
      </c>
      <c r="F442">
        <v>0</v>
      </c>
    </row>
    <row r="443" spans="1:6" x14ac:dyDescent="0.3">
      <c r="A443" t="s">
        <v>563</v>
      </c>
      <c r="B443">
        <v>97</v>
      </c>
      <c r="F443">
        <v>0</v>
      </c>
    </row>
    <row r="444" spans="1:6" x14ac:dyDescent="0.3">
      <c r="A444" t="s">
        <v>677</v>
      </c>
      <c r="B444">
        <v>97</v>
      </c>
      <c r="F444">
        <v>0</v>
      </c>
    </row>
    <row r="445" spans="1:6" x14ac:dyDescent="0.3">
      <c r="A445" t="s">
        <v>678</v>
      </c>
      <c r="B445">
        <v>97</v>
      </c>
      <c r="F445">
        <v>16</v>
      </c>
    </row>
    <row r="446" spans="1:6" x14ac:dyDescent="0.3">
      <c r="A446" t="s">
        <v>679</v>
      </c>
      <c r="B446">
        <v>97</v>
      </c>
      <c r="F446">
        <v>200</v>
      </c>
    </row>
    <row r="447" spans="1:6" x14ac:dyDescent="0.3">
      <c r="A447" t="s">
        <v>680</v>
      </c>
      <c r="B447">
        <v>97</v>
      </c>
      <c r="F447">
        <v>1980</v>
      </c>
    </row>
    <row r="448" spans="1:6" x14ac:dyDescent="0.3">
      <c r="A448" t="s">
        <v>681</v>
      </c>
      <c r="B448">
        <v>97</v>
      </c>
      <c r="F448">
        <v>1320</v>
      </c>
    </row>
    <row r="449" spans="1:6" x14ac:dyDescent="0.3">
      <c r="A449" t="s">
        <v>682</v>
      </c>
      <c r="B449">
        <v>97</v>
      </c>
      <c r="F449">
        <v>2640</v>
      </c>
    </row>
    <row r="450" spans="1:6" x14ac:dyDescent="0.3">
      <c r="A450" t="s">
        <v>683</v>
      </c>
      <c r="B450">
        <v>97</v>
      </c>
    </row>
    <row r="451" spans="1:6" x14ac:dyDescent="0.3">
      <c r="A451" t="s">
        <v>684</v>
      </c>
      <c r="B451">
        <v>97</v>
      </c>
    </row>
    <row r="452" spans="1:6" x14ac:dyDescent="0.3">
      <c r="A452" t="s">
        <v>685</v>
      </c>
      <c r="B452">
        <v>97</v>
      </c>
    </row>
    <row r="453" spans="1:6" x14ac:dyDescent="0.3">
      <c r="A453" t="s">
        <v>686</v>
      </c>
      <c r="B453">
        <v>97</v>
      </c>
      <c r="F453" t="b">
        <v>0</v>
      </c>
    </row>
    <row r="454" spans="1:6" x14ac:dyDescent="0.3">
      <c r="A454" t="s">
        <v>687</v>
      </c>
      <c r="B454">
        <v>97</v>
      </c>
      <c r="F454" t="b">
        <v>0</v>
      </c>
    </row>
    <row r="455" spans="1:6" x14ac:dyDescent="0.3">
      <c r="A455" t="s">
        <v>673</v>
      </c>
      <c r="B455">
        <v>98</v>
      </c>
      <c r="C455">
        <v>87</v>
      </c>
      <c r="D455">
        <v>84</v>
      </c>
      <c r="E455">
        <v>97</v>
      </c>
    </row>
    <row r="456" spans="1:6" x14ac:dyDescent="0.3">
      <c r="A456" t="s">
        <v>36</v>
      </c>
      <c r="B456">
        <v>98</v>
      </c>
      <c r="C456">
        <v>3</v>
      </c>
      <c r="D456">
        <v>3</v>
      </c>
      <c r="E456">
        <v>3</v>
      </c>
    </row>
    <row r="457" spans="1:6" x14ac:dyDescent="0.3">
      <c r="A457" t="s">
        <v>503</v>
      </c>
      <c r="B457">
        <v>98</v>
      </c>
      <c r="C457" t="s">
        <v>735</v>
      </c>
      <c r="D457" t="s">
        <v>735</v>
      </c>
      <c r="E457" t="s">
        <v>743</v>
      </c>
    </row>
    <row r="458" spans="1:6" x14ac:dyDescent="0.3">
      <c r="A458" t="s">
        <v>674</v>
      </c>
      <c r="B458">
        <v>98</v>
      </c>
      <c r="C458">
        <v>3996</v>
      </c>
      <c r="D458">
        <v>1314</v>
      </c>
      <c r="E458">
        <v>285</v>
      </c>
    </row>
    <row r="459" spans="1:6" x14ac:dyDescent="0.3">
      <c r="A459" t="s">
        <v>42</v>
      </c>
      <c r="B459">
        <v>98</v>
      </c>
      <c r="C459">
        <v>45</v>
      </c>
      <c r="D459">
        <v>45</v>
      </c>
      <c r="E459">
        <v>45</v>
      </c>
    </row>
    <row r="460" spans="1:6" x14ac:dyDescent="0.3">
      <c r="A460" t="s">
        <v>675</v>
      </c>
      <c r="B460">
        <v>98</v>
      </c>
      <c r="C460">
        <v>60.5</v>
      </c>
      <c r="D460">
        <v>19.899999999999999</v>
      </c>
      <c r="E460">
        <v>4.3</v>
      </c>
    </row>
    <row r="461" spans="1:6" x14ac:dyDescent="0.3">
      <c r="A461" t="s">
        <v>41</v>
      </c>
      <c r="B461">
        <v>98</v>
      </c>
      <c r="C461">
        <v>0</v>
      </c>
      <c r="D461">
        <v>0</v>
      </c>
      <c r="E461">
        <v>0</v>
      </c>
    </row>
    <row r="462" spans="1:6" x14ac:dyDescent="0.3">
      <c r="A462" t="s">
        <v>676</v>
      </c>
      <c r="B462">
        <v>98</v>
      </c>
      <c r="C462">
        <v>12</v>
      </c>
      <c r="D462">
        <v>12</v>
      </c>
      <c r="E462">
        <v>36</v>
      </c>
    </row>
    <row r="463" spans="1:6" x14ac:dyDescent="0.3">
      <c r="A463" t="s">
        <v>563</v>
      </c>
      <c r="B463">
        <v>98</v>
      </c>
      <c r="C463">
        <v>0</v>
      </c>
      <c r="D463">
        <v>0</v>
      </c>
      <c r="E463">
        <v>0</v>
      </c>
    </row>
    <row r="464" spans="1:6" x14ac:dyDescent="0.3">
      <c r="A464" t="s">
        <v>677</v>
      </c>
      <c r="B464">
        <v>98</v>
      </c>
      <c r="C464">
        <v>0</v>
      </c>
      <c r="D464">
        <v>0</v>
      </c>
      <c r="E464">
        <v>0</v>
      </c>
    </row>
    <row r="465" spans="1:5" x14ac:dyDescent="0.3">
      <c r="A465" t="s">
        <v>678</v>
      </c>
      <c r="B465">
        <v>98</v>
      </c>
      <c r="C465">
        <v>16</v>
      </c>
      <c r="D465">
        <v>16</v>
      </c>
      <c r="E465">
        <v>16</v>
      </c>
    </row>
    <row r="466" spans="1:5" x14ac:dyDescent="0.3">
      <c r="A466" t="s">
        <v>679</v>
      </c>
      <c r="B466">
        <v>98</v>
      </c>
      <c r="C466">
        <v>252</v>
      </c>
      <c r="D466">
        <v>252</v>
      </c>
      <c r="E466">
        <v>252</v>
      </c>
    </row>
    <row r="467" spans="1:5" x14ac:dyDescent="0.3">
      <c r="A467" t="s">
        <v>680</v>
      </c>
      <c r="B467">
        <v>98</v>
      </c>
      <c r="C467">
        <v>1980</v>
      </c>
      <c r="D467">
        <v>1980</v>
      </c>
      <c r="E467">
        <v>1980</v>
      </c>
    </row>
    <row r="468" spans="1:5" x14ac:dyDescent="0.3">
      <c r="A468" t="s">
        <v>681</v>
      </c>
      <c r="B468">
        <v>98</v>
      </c>
      <c r="C468">
        <v>1320</v>
      </c>
      <c r="D468">
        <v>1320</v>
      </c>
      <c r="E468">
        <v>1320</v>
      </c>
    </row>
    <row r="469" spans="1:5" x14ac:dyDescent="0.3">
      <c r="A469" t="s">
        <v>682</v>
      </c>
      <c r="B469">
        <v>98</v>
      </c>
      <c r="C469">
        <v>2640</v>
      </c>
      <c r="D469">
        <v>2640</v>
      </c>
      <c r="E469">
        <v>2640</v>
      </c>
    </row>
    <row r="470" spans="1:5" x14ac:dyDescent="0.3">
      <c r="A470" t="s">
        <v>683</v>
      </c>
      <c r="B470">
        <v>98</v>
      </c>
    </row>
    <row r="471" spans="1:5" x14ac:dyDescent="0.3">
      <c r="A471" t="s">
        <v>684</v>
      </c>
      <c r="B471">
        <v>98</v>
      </c>
    </row>
    <row r="472" spans="1:5" x14ac:dyDescent="0.3">
      <c r="A472" t="s">
        <v>685</v>
      </c>
      <c r="B472">
        <v>98</v>
      </c>
    </row>
    <row r="473" spans="1:5" x14ac:dyDescent="0.3">
      <c r="A473" t="s">
        <v>686</v>
      </c>
      <c r="B473">
        <v>98</v>
      </c>
      <c r="C473" t="b">
        <v>0</v>
      </c>
      <c r="D473" t="b">
        <v>0</v>
      </c>
      <c r="E473" t="b">
        <v>0</v>
      </c>
    </row>
    <row r="474" spans="1:5" x14ac:dyDescent="0.3">
      <c r="A474" t="s">
        <v>687</v>
      </c>
      <c r="B474">
        <v>98</v>
      </c>
      <c r="C474" t="b">
        <v>0</v>
      </c>
      <c r="D474" t="b">
        <v>0</v>
      </c>
      <c r="E474" t="b">
        <v>0</v>
      </c>
    </row>
    <row r="475" spans="1:5" x14ac:dyDescent="0.3">
      <c r="A475" t="s">
        <v>673</v>
      </c>
      <c r="B475">
        <v>106</v>
      </c>
      <c r="C475">
        <v>39</v>
      </c>
    </row>
    <row r="476" spans="1:5" x14ac:dyDescent="0.3">
      <c r="A476" t="s">
        <v>36</v>
      </c>
      <c r="B476">
        <v>106</v>
      </c>
      <c r="C476">
        <v>2</v>
      </c>
    </row>
    <row r="477" spans="1:5" x14ac:dyDescent="0.3">
      <c r="A477" t="s">
        <v>503</v>
      </c>
      <c r="B477">
        <v>106</v>
      </c>
      <c r="C477" t="s">
        <v>735</v>
      </c>
    </row>
    <row r="478" spans="1:5" x14ac:dyDescent="0.3">
      <c r="A478" t="s">
        <v>674</v>
      </c>
      <c r="B478">
        <v>106</v>
      </c>
      <c r="C478">
        <v>99</v>
      </c>
    </row>
    <row r="479" spans="1:5" x14ac:dyDescent="0.3">
      <c r="A479" t="s">
        <v>42</v>
      </c>
      <c r="B479">
        <v>106</v>
      </c>
      <c r="C479">
        <v>45</v>
      </c>
    </row>
    <row r="480" spans="1:5" x14ac:dyDescent="0.3">
      <c r="A480" t="s">
        <v>675</v>
      </c>
      <c r="B480">
        <v>106</v>
      </c>
      <c r="C480">
        <v>1.5</v>
      </c>
    </row>
    <row r="481" spans="1:3" x14ac:dyDescent="0.3">
      <c r="A481" t="s">
        <v>41</v>
      </c>
      <c r="B481">
        <v>106</v>
      </c>
      <c r="C481">
        <v>0</v>
      </c>
    </row>
    <row r="482" spans="1:3" x14ac:dyDescent="0.3">
      <c r="A482" t="s">
        <v>676</v>
      </c>
      <c r="B482">
        <v>106</v>
      </c>
      <c r="C482">
        <v>0</v>
      </c>
    </row>
    <row r="483" spans="1:3" x14ac:dyDescent="0.3">
      <c r="A483" t="s">
        <v>563</v>
      </c>
      <c r="B483">
        <v>106</v>
      </c>
      <c r="C483">
        <v>0</v>
      </c>
    </row>
    <row r="484" spans="1:3" x14ac:dyDescent="0.3">
      <c r="A484" t="s">
        <v>677</v>
      </c>
      <c r="B484">
        <v>106</v>
      </c>
      <c r="C484">
        <v>0</v>
      </c>
    </row>
    <row r="485" spans="1:3" x14ac:dyDescent="0.3">
      <c r="A485" t="s">
        <v>678</v>
      </c>
      <c r="B485">
        <v>106</v>
      </c>
      <c r="C485">
        <v>16</v>
      </c>
    </row>
    <row r="486" spans="1:3" x14ac:dyDescent="0.3">
      <c r="A486" t="s">
        <v>679</v>
      </c>
      <c r="B486">
        <v>106</v>
      </c>
      <c r="C486">
        <v>200</v>
      </c>
    </row>
    <row r="487" spans="1:3" x14ac:dyDescent="0.3">
      <c r="A487" t="s">
        <v>680</v>
      </c>
      <c r="B487">
        <v>106</v>
      </c>
      <c r="C487">
        <v>1980</v>
      </c>
    </row>
    <row r="488" spans="1:3" x14ac:dyDescent="0.3">
      <c r="A488" t="s">
        <v>681</v>
      </c>
      <c r="B488">
        <v>106</v>
      </c>
      <c r="C488">
        <v>1320</v>
      </c>
    </row>
    <row r="489" spans="1:3" x14ac:dyDescent="0.3">
      <c r="A489" t="s">
        <v>682</v>
      </c>
      <c r="B489">
        <v>106</v>
      </c>
      <c r="C489">
        <v>2640</v>
      </c>
    </row>
    <row r="490" spans="1:3" x14ac:dyDescent="0.3">
      <c r="A490" t="s">
        <v>683</v>
      </c>
      <c r="B490">
        <v>106</v>
      </c>
    </row>
    <row r="491" spans="1:3" x14ac:dyDescent="0.3">
      <c r="A491" t="s">
        <v>684</v>
      </c>
      <c r="B491">
        <v>106</v>
      </c>
    </row>
    <row r="492" spans="1:3" x14ac:dyDescent="0.3">
      <c r="A492" t="s">
        <v>685</v>
      </c>
      <c r="B492">
        <v>106</v>
      </c>
    </row>
    <row r="493" spans="1:3" x14ac:dyDescent="0.3">
      <c r="A493" t="s">
        <v>686</v>
      </c>
      <c r="B493">
        <v>106</v>
      </c>
      <c r="C493" t="b">
        <v>0</v>
      </c>
    </row>
    <row r="494" spans="1:3" x14ac:dyDescent="0.3">
      <c r="A494" t="s">
        <v>687</v>
      </c>
      <c r="B494">
        <v>106</v>
      </c>
      <c r="C494" t="b">
        <v>0</v>
      </c>
    </row>
    <row r="496" spans="1:3" x14ac:dyDescent="0.3">
      <c r="A496" t="s">
        <v>564</v>
      </c>
    </row>
    <row r="497" spans="1:16" x14ac:dyDescent="0.3">
      <c r="A497" t="s">
        <v>688</v>
      </c>
    </row>
    <row r="498" spans="1:16" x14ac:dyDescent="0.3">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3">
      <c r="A499" t="s">
        <v>34</v>
      </c>
      <c r="B499">
        <v>39</v>
      </c>
      <c r="C499">
        <v>75</v>
      </c>
      <c r="D499">
        <v>75</v>
      </c>
      <c r="E499">
        <v>75</v>
      </c>
      <c r="F499">
        <v>106</v>
      </c>
      <c r="G499">
        <v>106</v>
      </c>
      <c r="H499">
        <v>106</v>
      </c>
      <c r="I499">
        <v>73</v>
      </c>
      <c r="J499">
        <v>73</v>
      </c>
      <c r="K499">
        <v>73</v>
      </c>
      <c r="L499">
        <v>74</v>
      </c>
      <c r="M499">
        <v>74</v>
      </c>
      <c r="N499">
        <v>74</v>
      </c>
    </row>
    <row r="500" spans="1:16" x14ac:dyDescent="0.3">
      <c r="A500" t="s">
        <v>35</v>
      </c>
      <c r="B500">
        <v>39</v>
      </c>
      <c r="C500">
        <v>73</v>
      </c>
      <c r="D500">
        <v>106</v>
      </c>
      <c r="E500">
        <v>74</v>
      </c>
      <c r="F500">
        <v>74</v>
      </c>
      <c r="G500">
        <v>75</v>
      </c>
      <c r="H500">
        <v>73</v>
      </c>
      <c r="I500">
        <v>106</v>
      </c>
      <c r="J500">
        <v>74</v>
      </c>
      <c r="K500">
        <v>75</v>
      </c>
      <c r="L500">
        <v>75</v>
      </c>
      <c r="M500">
        <v>73</v>
      </c>
      <c r="N500">
        <v>106</v>
      </c>
    </row>
    <row r="501" spans="1:16" x14ac:dyDescent="0.3">
      <c r="A501" t="s">
        <v>36</v>
      </c>
      <c r="B501">
        <v>39</v>
      </c>
      <c r="C501">
        <v>1</v>
      </c>
      <c r="D501">
        <v>2</v>
      </c>
      <c r="E501">
        <v>0</v>
      </c>
      <c r="F501">
        <v>1</v>
      </c>
      <c r="G501">
        <v>2</v>
      </c>
      <c r="H501">
        <v>0</v>
      </c>
      <c r="I501">
        <v>1</v>
      </c>
      <c r="J501">
        <v>1</v>
      </c>
      <c r="K501">
        <v>0</v>
      </c>
      <c r="L501">
        <v>1</v>
      </c>
      <c r="M501">
        <v>1</v>
      </c>
      <c r="N501">
        <v>0</v>
      </c>
    </row>
    <row r="502" spans="1:16" x14ac:dyDescent="0.3">
      <c r="A502" t="s">
        <v>37</v>
      </c>
      <c r="B502">
        <v>39</v>
      </c>
      <c r="C502">
        <v>0</v>
      </c>
      <c r="D502">
        <v>2</v>
      </c>
      <c r="F502">
        <v>0</v>
      </c>
      <c r="G502">
        <v>2</v>
      </c>
      <c r="I502">
        <v>0</v>
      </c>
      <c r="J502">
        <v>2</v>
      </c>
      <c r="L502">
        <v>0</v>
      </c>
      <c r="M502">
        <v>2</v>
      </c>
    </row>
    <row r="503" spans="1:16" x14ac:dyDescent="0.3">
      <c r="A503" t="s">
        <v>38</v>
      </c>
      <c r="B503">
        <v>39</v>
      </c>
      <c r="C503">
        <v>12</v>
      </c>
      <c r="D503">
        <v>12</v>
      </c>
      <c r="E503">
        <v>12</v>
      </c>
      <c r="F503">
        <v>12</v>
      </c>
      <c r="G503">
        <v>12</v>
      </c>
      <c r="H503">
        <v>12</v>
      </c>
      <c r="I503">
        <v>12</v>
      </c>
      <c r="J503">
        <v>12</v>
      </c>
      <c r="K503">
        <v>12</v>
      </c>
      <c r="L503">
        <v>12</v>
      </c>
      <c r="M503">
        <v>12</v>
      </c>
      <c r="N503">
        <v>12</v>
      </c>
    </row>
    <row r="504" spans="1:16" x14ac:dyDescent="0.3">
      <c r="A504" t="s">
        <v>39</v>
      </c>
      <c r="B504">
        <v>39</v>
      </c>
    </row>
    <row r="505" spans="1:16" x14ac:dyDescent="0.3">
      <c r="A505" t="s">
        <v>689</v>
      </c>
      <c r="B505">
        <v>39</v>
      </c>
    </row>
    <row r="506" spans="1:16" x14ac:dyDescent="0.3">
      <c r="A506" t="s">
        <v>40</v>
      </c>
      <c r="B506">
        <v>39</v>
      </c>
    </row>
    <row r="507" spans="1:16" x14ac:dyDescent="0.3">
      <c r="A507" t="s">
        <v>41</v>
      </c>
      <c r="B507">
        <v>39</v>
      </c>
    </row>
    <row r="508" spans="1:16" x14ac:dyDescent="0.3">
      <c r="A508" t="s">
        <v>42</v>
      </c>
      <c r="B508">
        <v>39</v>
      </c>
      <c r="D508">
        <v>45</v>
      </c>
      <c r="G508">
        <v>45</v>
      </c>
      <c r="J508">
        <v>45</v>
      </c>
      <c r="M508">
        <v>45</v>
      </c>
    </row>
    <row r="509" spans="1:16" x14ac:dyDescent="0.3">
      <c r="A509" t="s">
        <v>45</v>
      </c>
      <c r="B509">
        <v>39</v>
      </c>
      <c r="C509">
        <v>5</v>
      </c>
      <c r="D509">
        <v>2</v>
      </c>
      <c r="F509">
        <v>1</v>
      </c>
      <c r="G509">
        <v>6</v>
      </c>
      <c r="I509">
        <v>3</v>
      </c>
      <c r="J509">
        <v>8</v>
      </c>
      <c r="L509">
        <v>7</v>
      </c>
      <c r="M509">
        <v>4</v>
      </c>
    </row>
    <row r="510" spans="1:16" x14ac:dyDescent="0.3">
      <c r="A510" t="s">
        <v>49</v>
      </c>
      <c r="B510">
        <v>39</v>
      </c>
      <c r="C510">
        <v>6</v>
      </c>
      <c r="D510">
        <v>5.3</v>
      </c>
      <c r="E510">
        <v>4</v>
      </c>
      <c r="F510">
        <v>6</v>
      </c>
      <c r="G510">
        <v>5.3</v>
      </c>
      <c r="H510">
        <v>4</v>
      </c>
      <c r="I510">
        <v>6</v>
      </c>
      <c r="J510">
        <v>5.0999999999999996</v>
      </c>
      <c r="K510">
        <v>4</v>
      </c>
      <c r="L510">
        <v>5.9</v>
      </c>
      <c r="M510">
        <v>5.9</v>
      </c>
      <c r="N510">
        <v>4</v>
      </c>
    </row>
    <row r="511" spans="1:16" x14ac:dyDescent="0.3">
      <c r="A511" t="s">
        <v>690</v>
      </c>
      <c r="B511">
        <v>39</v>
      </c>
      <c r="C511">
        <v>0</v>
      </c>
      <c r="D511">
        <v>0</v>
      </c>
      <c r="E511">
        <v>0</v>
      </c>
      <c r="F511">
        <v>0</v>
      </c>
      <c r="G511">
        <v>0</v>
      </c>
      <c r="H511">
        <v>0</v>
      </c>
      <c r="I511">
        <v>0</v>
      </c>
      <c r="J511">
        <v>0</v>
      </c>
      <c r="K511">
        <v>0</v>
      </c>
      <c r="L511">
        <v>0</v>
      </c>
      <c r="M511">
        <v>0</v>
      </c>
      <c r="N511">
        <v>0</v>
      </c>
    </row>
    <row r="512" spans="1:16" x14ac:dyDescent="0.3">
      <c r="A512" t="s">
        <v>48</v>
      </c>
      <c r="B512">
        <v>39</v>
      </c>
      <c r="C512">
        <v>1900</v>
      </c>
      <c r="D512">
        <v>1900</v>
      </c>
      <c r="E512">
        <v>1900</v>
      </c>
      <c r="F512">
        <v>1900</v>
      </c>
      <c r="G512">
        <v>1900</v>
      </c>
      <c r="H512">
        <v>1900</v>
      </c>
      <c r="I512">
        <v>1900</v>
      </c>
      <c r="J512">
        <v>1900</v>
      </c>
      <c r="K512">
        <v>1900</v>
      </c>
      <c r="L512">
        <v>1900</v>
      </c>
      <c r="M512">
        <v>1900</v>
      </c>
      <c r="N512">
        <v>1900</v>
      </c>
    </row>
    <row r="513" spans="1:14" x14ac:dyDescent="0.3">
      <c r="A513" t="s">
        <v>691</v>
      </c>
      <c r="B513">
        <v>39</v>
      </c>
      <c r="C513">
        <v>1770</v>
      </c>
      <c r="D513">
        <v>3518</v>
      </c>
      <c r="E513">
        <v>0</v>
      </c>
      <c r="F513">
        <v>1770</v>
      </c>
      <c r="G513">
        <v>3532</v>
      </c>
      <c r="H513">
        <v>0</v>
      </c>
      <c r="I513">
        <v>1770</v>
      </c>
      <c r="J513">
        <v>1712</v>
      </c>
      <c r="K513">
        <v>0</v>
      </c>
      <c r="L513">
        <v>1770</v>
      </c>
      <c r="M513">
        <v>1669</v>
      </c>
      <c r="N513">
        <v>0</v>
      </c>
    </row>
    <row r="514" spans="1:14" x14ac:dyDescent="0.3">
      <c r="A514" t="s">
        <v>50</v>
      </c>
      <c r="B514">
        <v>39</v>
      </c>
      <c r="C514">
        <v>1770</v>
      </c>
      <c r="D514">
        <v>3518</v>
      </c>
      <c r="E514">
        <v>0</v>
      </c>
      <c r="F514">
        <v>1770</v>
      </c>
      <c r="G514">
        <v>3532</v>
      </c>
      <c r="H514">
        <v>0</v>
      </c>
      <c r="I514">
        <v>1770</v>
      </c>
      <c r="J514">
        <v>1712</v>
      </c>
      <c r="K514">
        <v>0</v>
      </c>
      <c r="L514">
        <v>1770</v>
      </c>
      <c r="M514">
        <v>1669</v>
      </c>
      <c r="N514">
        <v>0</v>
      </c>
    </row>
    <row r="515" spans="1:14" x14ac:dyDescent="0.3">
      <c r="A515" t="s">
        <v>692</v>
      </c>
      <c r="B515">
        <v>39</v>
      </c>
      <c r="C515">
        <v>1</v>
      </c>
      <c r="D515">
        <v>1</v>
      </c>
      <c r="E515">
        <v>1</v>
      </c>
      <c r="F515">
        <v>1</v>
      </c>
      <c r="G515">
        <v>1</v>
      </c>
      <c r="H515">
        <v>1</v>
      </c>
      <c r="I515">
        <v>1</v>
      </c>
      <c r="J515">
        <v>1</v>
      </c>
      <c r="K515">
        <v>1</v>
      </c>
      <c r="L515">
        <v>1</v>
      </c>
      <c r="M515">
        <v>1</v>
      </c>
      <c r="N515">
        <v>1</v>
      </c>
    </row>
    <row r="516" spans="1:14" x14ac:dyDescent="0.3">
      <c r="A516" t="s">
        <v>51</v>
      </c>
      <c r="B516">
        <v>39</v>
      </c>
      <c r="C516">
        <v>0</v>
      </c>
      <c r="D516">
        <v>5</v>
      </c>
      <c r="E516">
        <v>0</v>
      </c>
      <c r="F516">
        <v>0</v>
      </c>
      <c r="G516">
        <v>2</v>
      </c>
      <c r="H516">
        <v>0</v>
      </c>
      <c r="I516">
        <v>0</v>
      </c>
      <c r="J516">
        <v>77</v>
      </c>
      <c r="K516">
        <v>0</v>
      </c>
      <c r="L516">
        <v>0</v>
      </c>
      <c r="M516">
        <v>147</v>
      </c>
      <c r="N516">
        <v>0</v>
      </c>
    </row>
    <row r="517" spans="1:14" x14ac:dyDescent="0.3">
      <c r="A517" t="s">
        <v>53</v>
      </c>
      <c r="B517">
        <v>39</v>
      </c>
      <c r="C517">
        <v>181</v>
      </c>
      <c r="D517">
        <v>7732</v>
      </c>
      <c r="E517">
        <v>300</v>
      </c>
      <c r="F517">
        <v>214</v>
      </c>
      <c r="G517">
        <v>4961</v>
      </c>
      <c r="H517">
        <v>58</v>
      </c>
      <c r="I517">
        <v>182</v>
      </c>
      <c r="J517">
        <v>122</v>
      </c>
      <c r="K517">
        <v>143</v>
      </c>
      <c r="L517">
        <v>580</v>
      </c>
      <c r="M517">
        <v>140</v>
      </c>
      <c r="N517">
        <v>315</v>
      </c>
    </row>
    <row r="518" spans="1:14" x14ac:dyDescent="0.3">
      <c r="A518" t="s">
        <v>54</v>
      </c>
      <c r="B518">
        <v>39</v>
      </c>
      <c r="C518">
        <v>0</v>
      </c>
      <c r="D518">
        <v>0</v>
      </c>
      <c r="E518">
        <v>0</v>
      </c>
      <c r="F518">
        <v>0</v>
      </c>
      <c r="G518">
        <v>0</v>
      </c>
      <c r="H518">
        <v>0</v>
      </c>
      <c r="I518">
        <v>0</v>
      </c>
      <c r="J518">
        <v>0</v>
      </c>
      <c r="K518">
        <v>0</v>
      </c>
      <c r="L518">
        <v>0</v>
      </c>
      <c r="M518">
        <v>0</v>
      </c>
      <c r="N518">
        <v>0</v>
      </c>
    </row>
    <row r="519" spans="1:14" x14ac:dyDescent="0.3">
      <c r="A519" t="s">
        <v>55</v>
      </c>
      <c r="B519">
        <v>39</v>
      </c>
      <c r="C519">
        <v>0</v>
      </c>
      <c r="D519">
        <v>0</v>
      </c>
      <c r="E519">
        <v>0</v>
      </c>
      <c r="F519">
        <v>0</v>
      </c>
      <c r="G519">
        <v>0</v>
      </c>
      <c r="H519">
        <v>0</v>
      </c>
      <c r="I519">
        <v>0</v>
      </c>
      <c r="J519">
        <v>0</v>
      </c>
      <c r="K519">
        <v>0</v>
      </c>
      <c r="L519">
        <v>0</v>
      </c>
      <c r="M519">
        <v>0</v>
      </c>
      <c r="N519">
        <v>0</v>
      </c>
    </row>
    <row r="520" spans="1:14" x14ac:dyDescent="0.3">
      <c r="A520" t="s">
        <v>56</v>
      </c>
      <c r="B520">
        <v>39</v>
      </c>
      <c r="C520">
        <v>0.92</v>
      </c>
      <c r="D520">
        <v>0.92</v>
      </c>
      <c r="E520">
        <v>0.92</v>
      </c>
      <c r="F520">
        <v>0.92</v>
      </c>
      <c r="G520">
        <v>0.92</v>
      </c>
      <c r="H520">
        <v>0.92</v>
      </c>
      <c r="I520">
        <v>0.92</v>
      </c>
      <c r="J520">
        <v>0.92</v>
      </c>
      <c r="K520">
        <v>0.92</v>
      </c>
      <c r="L520">
        <v>0.92</v>
      </c>
      <c r="M520">
        <v>0.92</v>
      </c>
      <c r="N520">
        <v>0.92</v>
      </c>
    </row>
    <row r="521" spans="1:14" x14ac:dyDescent="0.3">
      <c r="A521" t="s">
        <v>57</v>
      </c>
      <c r="B521">
        <v>39</v>
      </c>
      <c r="C521">
        <v>100</v>
      </c>
      <c r="D521">
        <v>100</v>
      </c>
      <c r="E521">
        <v>100</v>
      </c>
      <c r="F521">
        <v>100</v>
      </c>
      <c r="G521">
        <v>100</v>
      </c>
      <c r="H521">
        <v>100</v>
      </c>
      <c r="I521">
        <v>100</v>
      </c>
      <c r="J521">
        <v>100</v>
      </c>
      <c r="K521">
        <v>100</v>
      </c>
      <c r="L521">
        <v>100</v>
      </c>
      <c r="M521">
        <v>100</v>
      </c>
      <c r="N521">
        <v>100</v>
      </c>
    </row>
    <row r="522" spans="1:14" x14ac:dyDescent="0.3">
      <c r="A522" t="s">
        <v>58</v>
      </c>
      <c r="B522">
        <v>39</v>
      </c>
      <c r="C522">
        <v>2</v>
      </c>
      <c r="D522">
        <v>2</v>
      </c>
      <c r="E522">
        <v>2</v>
      </c>
      <c r="F522">
        <v>2</v>
      </c>
      <c r="G522">
        <v>2</v>
      </c>
      <c r="H522">
        <v>2</v>
      </c>
      <c r="I522">
        <v>2</v>
      </c>
      <c r="J522">
        <v>2</v>
      </c>
      <c r="K522">
        <v>2</v>
      </c>
      <c r="L522">
        <v>2</v>
      </c>
      <c r="M522">
        <v>2</v>
      </c>
      <c r="N522">
        <v>2</v>
      </c>
    </row>
    <row r="523" spans="1:14" x14ac:dyDescent="0.3">
      <c r="A523" t="s">
        <v>59</v>
      </c>
      <c r="B523">
        <v>39</v>
      </c>
      <c r="C523">
        <v>0</v>
      </c>
      <c r="D523">
        <v>0</v>
      </c>
      <c r="E523">
        <v>0</v>
      </c>
      <c r="F523">
        <v>0</v>
      </c>
      <c r="G523">
        <v>0</v>
      </c>
      <c r="H523">
        <v>0</v>
      </c>
      <c r="I523">
        <v>0</v>
      </c>
      <c r="J523">
        <v>0</v>
      </c>
      <c r="K523">
        <v>0</v>
      </c>
      <c r="L523">
        <v>0</v>
      </c>
      <c r="M523">
        <v>0</v>
      </c>
      <c r="N523">
        <v>0</v>
      </c>
    </row>
    <row r="524" spans="1:14" x14ac:dyDescent="0.3">
      <c r="A524" t="s">
        <v>693</v>
      </c>
      <c r="B524">
        <v>39</v>
      </c>
      <c r="D524">
        <v>0</v>
      </c>
      <c r="G524">
        <v>0</v>
      </c>
      <c r="J524">
        <v>0</v>
      </c>
      <c r="M524">
        <v>0</v>
      </c>
    </row>
    <row r="525" spans="1:14" x14ac:dyDescent="0.3">
      <c r="A525" t="s">
        <v>674</v>
      </c>
      <c r="B525">
        <v>39</v>
      </c>
      <c r="D525">
        <v>2985</v>
      </c>
      <c r="G525">
        <v>99</v>
      </c>
      <c r="J525">
        <v>218</v>
      </c>
      <c r="M525">
        <v>282</v>
      </c>
    </row>
    <row r="526" spans="1:14" x14ac:dyDescent="0.3">
      <c r="A526" t="s">
        <v>78</v>
      </c>
      <c r="B526">
        <v>39</v>
      </c>
      <c r="D526">
        <v>45.2</v>
      </c>
      <c r="G526">
        <v>1.5</v>
      </c>
      <c r="J526">
        <v>3.3</v>
      </c>
      <c r="M526">
        <v>4.3</v>
      </c>
    </row>
    <row r="527" spans="1:14" x14ac:dyDescent="0.3">
      <c r="A527" t="s">
        <v>694</v>
      </c>
      <c r="B527">
        <v>39</v>
      </c>
      <c r="E527">
        <v>0</v>
      </c>
      <c r="H527">
        <v>0</v>
      </c>
      <c r="K527">
        <v>0</v>
      </c>
      <c r="N527">
        <v>0</v>
      </c>
    </row>
    <row r="528" spans="1:14" x14ac:dyDescent="0.3">
      <c r="A528" t="s">
        <v>695</v>
      </c>
      <c r="B528">
        <v>39</v>
      </c>
      <c r="C528">
        <v>0</v>
      </c>
      <c r="D528">
        <v>0</v>
      </c>
      <c r="E528">
        <v>1</v>
      </c>
      <c r="F528">
        <v>0</v>
      </c>
      <c r="G528">
        <v>0</v>
      </c>
      <c r="H528">
        <v>1</v>
      </c>
      <c r="I528">
        <v>0</v>
      </c>
      <c r="J528">
        <v>0</v>
      </c>
      <c r="K528">
        <v>1</v>
      </c>
      <c r="L528">
        <v>0</v>
      </c>
      <c r="M528">
        <v>0</v>
      </c>
      <c r="N528">
        <v>1</v>
      </c>
    </row>
    <row r="529" spans="1:14" x14ac:dyDescent="0.3">
      <c r="A529" t="s">
        <v>696</v>
      </c>
      <c r="B529">
        <v>39</v>
      </c>
      <c r="C529">
        <v>0</v>
      </c>
      <c r="D529">
        <v>0</v>
      </c>
      <c r="E529">
        <v>0</v>
      </c>
      <c r="F529">
        <v>0</v>
      </c>
      <c r="G529">
        <v>0</v>
      </c>
      <c r="H529">
        <v>0</v>
      </c>
      <c r="I529">
        <v>0</v>
      </c>
      <c r="J529">
        <v>0</v>
      </c>
      <c r="K529">
        <v>0</v>
      </c>
      <c r="L529">
        <v>0</v>
      </c>
      <c r="M529">
        <v>0</v>
      </c>
      <c r="N529">
        <v>0</v>
      </c>
    </row>
    <row r="530" spans="1:14" x14ac:dyDescent="0.3">
      <c r="A530" t="s">
        <v>52</v>
      </c>
      <c r="B530">
        <v>39</v>
      </c>
      <c r="C530">
        <v>1</v>
      </c>
      <c r="D530">
        <v>1</v>
      </c>
      <c r="E530">
        <v>1</v>
      </c>
      <c r="F530">
        <v>1</v>
      </c>
      <c r="G530">
        <v>1</v>
      </c>
      <c r="H530">
        <v>1</v>
      </c>
      <c r="I530">
        <v>1</v>
      </c>
      <c r="J530">
        <v>1</v>
      </c>
      <c r="K530">
        <v>1</v>
      </c>
      <c r="L530">
        <v>1</v>
      </c>
      <c r="M530">
        <v>1</v>
      </c>
      <c r="N530">
        <v>1</v>
      </c>
    </row>
    <row r="531" spans="1:14" x14ac:dyDescent="0.3">
      <c r="A531" t="s">
        <v>697</v>
      </c>
      <c r="B531">
        <v>39</v>
      </c>
      <c r="C531">
        <v>15</v>
      </c>
      <c r="D531">
        <v>60</v>
      </c>
      <c r="E531">
        <v>9</v>
      </c>
      <c r="F531">
        <v>15</v>
      </c>
      <c r="G531">
        <v>60</v>
      </c>
      <c r="H531">
        <v>9</v>
      </c>
      <c r="I531">
        <v>15</v>
      </c>
      <c r="J531">
        <v>60</v>
      </c>
      <c r="K531">
        <v>9</v>
      </c>
      <c r="L531">
        <v>15</v>
      </c>
      <c r="M531">
        <v>60</v>
      </c>
      <c r="N531">
        <v>9</v>
      </c>
    </row>
    <row r="532" spans="1:14" x14ac:dyDescent="0.3">
      <c r="A532" t="s">
        <v>43</v>
      </c>
      <c r="B532">
        <v>39</v>
      </c>
      <c r="C532">
        <v>20</v>
      </c>
      <c r="D532">
        <v>100</v>
      </c>
      <c r="F532">
        <v>20</v>
      </c>
      <c r="G532">
        <v>100</v>
      </c>
      <c r="I532">
        <v>20</v>
      </c>
      <c r="J532">
        <v>100</v>
      </c>
      <c r="L532">
        <v>20</v>
      </c>
      <c r="M532">
        <v>100</v>
      </c>
    </row>
    <row r="533" spans="1:14" x14ac:dyDescent="0.3">
      <c r="A533" t="s">
        <v>44</v>
      </c>
      <c r="B533">
        <v>39</v>
      </c>
      <c r="C533">
        <v>0</v>
      </c>
      <c r="D533">
        <v>0</v>
      </c>
      <c r="F533">
        <v>0</v>
      </c>
      <c r="G533">
        <v>0</v>
      </c>
      <c r="I533">
        <v>0</v>
      </c>
      <c r="J533">
        <v>0</v>
      </c>
      <c r="L533">
        <v>0</v>
      </c>
      <c r="M533">
        <v>0</v>
      </c>
    </row>
    <row r="534" spans="1:14" x14ac:dyDescent="0.3">
      <c r="A534" t="s">
        <v>47</v>
      </c>
      <c r="B534">
        <v>39</v>
      </c>
      <c r="C534">
        <v>5</v>
      </c>
      <c r="D534">
        <v>2</v>
      </c>
      <c r="F534">
        <v>1</v>
      </c>
      <c r="G534">
        <v>6</v>
      </c>
      <c r="I534">
        <v>3</v>
      </c>
      <c r="J534">
        <v>8</v>
      </c>
      <c r="L534">
        <v>7</v>
      </c>
      <c r="M534">
        <v>4</v>
      </c>
    </row>
    <row r="535" spans="1:14" x14ac:dyDescent="0.3">
      <c r="A535" t="s">
        <v>698</v>
      </c>
      <c r="B535">
        <v>39</v>
      </c>
      <c r="C535">
        <v>0</v>
      </c>
      <c r="D535">
        <v>0</v>
      </c>
      <c r="F535">
        <v>0</v>
      </c>
      <c r="G535">
        <v>0</v>
      </c>
      <c r="I535">
        <v>0</v>
      </c>
      <c r="J535">
        <v>0</v>
      </c>
      <c r="L535">
        <v>0</v>
      </c>
      <c r="M535">
        <v>0</v>
      </c>
    </row>
    <row r="536" spans="1:14" x14ac:dyDescent="0.3">
      <c r="A536" t="s">
        <v>699</v>
      </c>
      <c r="B536">
        <v>39</v>
      </c>
      <c r="C536">
        <v>0</v>
      </c>
      <c r="D536">
        <v>0</v>
      </c>
      <c r="F536">
        <v>0</v>
      </c>
      <c r="G536">
        <v>0</v>
      </c>
      <c r="I536">
        <v>0</v>
      </c>
      <c r="J536">
        <v>0</v>
      </c>
      <c r="L536">
        <v>0</v>
      </c>
      <c r="M536">
        <v>0</v>
      </c>
    </row>
    <row r="537" spans="1:14" x14ac:dyDescent="0.3">
      <c r="A537" t="s">
        <v>700</v>
      </c>
      <c r="B537">
        <v>39</v>
      </c>
      <c r="C537">
        <v>0</v>
      </c>
      <c r="D537">
        <v>0</v>
      </c>
      <c r="F537">
        <v>0</v>
      </c>
      <c r="G537">
        <v>0</v>
      </c>
      <c r="I537">
        <v>0</v>
      </c>
      <c r="J537">
        <v>0</v>
      </c>
      <c r="L537">
        <v>0</v>
      </c>
      <c r="M537">
        <v>0</v>
      </c>
    </row>
    <row r="538" spans="1:14" x14ac:dyDescent="0.3">
      <c r="A538" t="s">
        <v>701</v>
      </c>
      <c r="B538">
        <v>39</v>
      </c>
      <c r="C538">
        <v>0</v>
      </c>
      <c r="D538">
        <v>0</v>
      </c>
      <c r="F538">
        <v>0</v>
      </c>
      <c r="G538">
        <v>0</v>
      </c>
      <c r="I538">
        <v>0</v>
      </c>
      <c r="J538">
        <v>0</v>
      </c>
      <c r="L538">
        <v>0</v>
      </c>
      <c r="M538">
        <v>0</v>
      </c>
    </row>
    <row r="539" spans="1:14" x14ac:dyDescent="0.3">
      <c r="A539" t="s">
        <v>702</v>
      </c>
      <c r="B539">
        <v>39</v>
      </c>
      <c r="C539">
        <v>1</v>
      </c>
      <c r="D539">
        <v>2</v>
      </c>
      <c r="F539">
        <v>1</v>
      </c>
      <c r="G539">
        <v>2</v>
      </c>
      <c r="I539">
        <v>1</v>
      </c>
      <c r="J539">
        <v>2</v>
      </c>
      <c r="L539">
        <v>1</v>
      </c>
      <c r="M539">
        <v>2</v>
      </c>
    </row>
    <row r="540" spans="1:14" x14ac:dyDescent="0.3">
      <c r="A540" t="s">
        <v>703</v>
      </c>
      <c r="B540">
        <v>39</v>
      </c>
      <c r="C540">
        <v>0</v>
      </c>
      <c r="D540">
        <v>0</v>
      </c>
      <c r="F540">
        <v>0</v>
      </c>
      <c r="G540">
        <v>0</v>
      </c>
      <c r="I540">
        <v>0</v>
      </c>
      <c r="J540">
        <v>0</v>
      </c>
      <c r="L540">
        <v>0</v>
      </c>
      <c r="M540">
        <v>0</v>
      </c>
    </row>
    <row r="541" spans="1:14" x14ac:dyDescent="0.3">
      <c r="A541" t="s">
        <v>704</v>
      </c>
      <c r="B541">
        <v>39</v>
      </c>
      <c r="C541">
        <v>20</v>
      </c>
      <c r="D541">
        <v>6</v>
      </c>
      <c r="F541">
        <v>20</v>
      </c>
      <c r="G541">
        <v>6</v>
      </c>
      <c r="I541">
        <v>20</v>
      </c>
      <c r="J541">
        <v>6</v>
      </c>
      <c r="L541">
        <v>20</v>
      </c>
      <c r="M541">
        <v>6</v>
      </c>
    </row>
    <row r="542" spans="1:14" x14ac:dyDescent="0.3">
      <c r="A542" t="s">
        <v>705</v>
      </c>
      <c r="B542">
        <v>39</v>
      </c>
      <c r="C542">
        <v>3</v>
      </c>
      <c r="D542">
        <v>3</v>
      </c>
      <c r="F542">
        <v>3</v>
      </c>
      <c r="G542">
        <v>3</v>
      </c>
      <c r="I542">
        <v>3</v>
      </c>
      <c r="J542">
        <v>3</v>
      </c>
      <c r="L542">
        <v>3</v>
      </c>
      <c r="M542">
        <v>3</v>
      </c>
    </row>
    <row r="543" spans="1:14" x14ac:dyDescent="0.3">
      <c r="A543" t="s">
        <v>706</v>
      </c>
      <c r="B543">
        <v>39</v>
      </c>
      <c r="C543">
        <v>0</v>
      </c>
      <c r="D543">
        <v>0</v>
      </c>
      <c r="F543">
        <v>0</v>
      </c>
      <c r="G543">
        <v>0</v>
      </c>
      <c r="I543">
        <v>0</v>
      </c>
      <c r="J543">
        <v>0</v>
      </c>
      <c r="L543">
        <v>0</v>
      </c>
      <c r="M543">
        <v>0</v>
      </c>
    </row>
    <row r="544" spans="1:14" x14ac:dyDescent="0.3">
      <c r="A544" t="s">
        <v>707</v>
      </c>
      <c r="B544">
        <v>39</v>
      </c>
      <c r="C544">
        <v>0</v>
      </c>
      <c r="D544">
        <v>0</v>
      </c>
      <c r="F544">
        <v>0</v>
      </c>
      <c r="G544">
        <v>0</v>
      </c>
      <c r="I544">
        <v>0</v>
      </c>
      <c r="J544">
        <v>0</v>
      </c>
      <c r="L544">
        <v>0</v>
      </c>
      <c r="M544">
        <v>0</v>
      </c>
    </row>
    <row r="545" spans="1:14" x14ac:dyDescent="0.3">
      <c r="A545" t="s">
        <v>708</v>
      </c>
      <c r="B545">
        <v>39</v>
      </c>
      <c r="C545">
        <v>0</v>
      </c>
      <c r="D545">
        <v>0</v>
      </c>
      <c r="F545">
        <v>0</v>
      </c>
      <c r="G545">
        <v>0</v>
      </c>
      <c r="I545">
        <v>0</v>
      </c>
      <c r="J545">
        <v>0</v>
      </c>
      <c r="L545">
        <v>0</v>
      </c>
      <c r="M545">
        <v>0</v>
      </c>
    </row>
    <row r="546" spans="1:14" x14ac:dyDescent="0.3">
      <c r="A546" t="s">
        <v>709</v>
      </c>
      <c r="B546">
        <v>39</v>
      </c>
      <c r="D546">
        <v>94</v>
      </c>
      <c r="G546">
        <v>94</v>
      </c>
      <c r="J546">
        <v>94</v>
      </c>
      <c r="M546">
        <v>94</v>
      </c>
    </row>
    <row r="547" spans="1:14" x14ac:dyDescent="0.3">
      <c r="A547" t="s">
        <v>710</v>
      </c>
      <c r="B547">
        <v>39</v>
      </c>
      <c r="D547">
        <v>6</v>
      </c>
      <c r="G547">
        <v>6</v>
      </c>
      <c r="J547">
        <v>6</v>
      </c>
      <c r="M547">
        <v>6</v>
      </c>
    </row>
    <row r="548" spans="1:14" x14ac:dyDescent="0.3">
      <c r="A548" t="s">
        <v>711</v>
      </c>
      <c r="B548">
        <v>39</v>
      </c>
      <c r="D548">
        <v>3</v>
      </c>
      <c r="G548">
        <v>3</v>
      </c>
      <c r="J548">
        <v>3</v>
      </c>
      <c r="M548">
        <v>3</v>
      </c>
    </row>
    <row r="549" spans="1:14" x14ac:dyDescent="0.3">
      <c r="A549" t="s">
        <v>712</v>
      </c>
      <c r="B549">
        <v>39</v>
      </c>
      <c r="D549">
        <v>0</v>
      </c>
      <c r="G549">
        <v>0</v>
      </c>
      <c r="J549">
        <v>0</v>
      </c>
      <c r="M549">
        <v>0</v>
      </c>
    </row>
    <row r="550" spans="1:14" x14ac:dyDescent="0.3">
      <c r="A550" t="s">
        <v>713</v>
      </c>
      <c r="B550">
        <v>39</v>
      </c>
      <c r="D550">
        <v>0</v>
      </c>
      <c r="G550">
        <v>0</v>
      </c>
      <c r="J550">
        <v>0</v>
      </c>
      <c r="M550">
        <v>0</v>
      </c>
    </row>
    <row r="551" spans="1:14" x14ac:dyDescent="0.3">
      <c r="A551" t="s">
        <v>405</v>
      </c>
      <c r="B551">
        <v>39</v>
      </c>
      <c r="D551">
        <v>0</v>
      </c>
    </row>
    <row r="552" spans="1:14" x14ac:dyDescent="0.3">
      <c r="A552" t="s">
        <v>714</v>
      </c>
      <c r="B552">
        <v>39</v>
      </c>
      <c r="C552">
        <v>197</v>
      </c>
      <c r="D552">
        <v>8730</v>
      </c>
      <c r="E552">
        <v>0</v>
      </c>
      <c r="F552">
        <v>233</v>
      </c>
      <c r="G552">
        <v>5455</v>
      </c>
      <c r="H552">
        <v>0</v>
      </c>
      <c r="I552">
        <v>198</v>
      </c>
      <c r="J552">
        <v>288</v>
      </c>
      <c r="K552">
        <v>0</v>
      </c>
      <c r="L552">
        <v>630</v>
      </c>
      <c r="M552">
        <v>494</v>
      </c>
      <c r="N552">
        <v>0</v>
      </c>
    </row>
    <row r="553" spans="1:14" x14ac:dyDescent="0.3">
      <c r="A553" t="s">
        <v>34</v>
      </c>
      <c r="B553">
        <v>75</v>
      </c>
      <c r="C553">
        <v>78</v>
      </c>
      <c r="D553">
        <v>78</v>
      </c>
      <c r="E553">
        <v>78</v>
      </c>
      <c r="F553">
        <v>39</v>
      </c>
      <c r="G553">
        <v>39</v>
      </c>
      <c r="H553">
        <v>39</v>
      </c>
      <c r="I553">
        <v>76</v>
      </c>
      <c r="J553">
        <v>76</v>
      </c>
      <c r="K553">
        <v>76</v>
      </c>
      <c r="L553">
        <v>77</v>
      </c>
      <c r="M553">
        <v>77</v>
      </c>
      <c r="N553">
        <v>77</v>
      </c>
    </row>
    <row r="554" spans="1:14" x14ac:dyDescent="0.3">
      <c r="A554" t="s">
        <v>35</v>
      </c>
      <c r="B554">
        <v>75</v>
      </c>
      <c r="C554">
        <v>76</v>
      </c>
      <c r="D554">
        <v>39</v>
      </c>
      <c r="E554">
        <v>77</v>
      </c>
      <c r="F554">
        <v>77</v>
      </c>
      <c r="G554">
        <v>78</v>
      </c>
      <c r="H554">
        <v>76</v>
      </c>
      <c r="I554">
        <v>39</v>
      </c>
      <c r="J554">
        <v>77</v>
      </c>
      <c r="K554">
        <v>78</v>
      </c>
      <c r="L554">
        <v>78</v>
      </c>
      <c r="M554">
        <v>76</v>
      </c>
      <c r="N554">
        <v>39</v>
      </c>
    </row>
    <row r="555" spans="1:14" x14ac:dyDescent="0.3">
      <c r="A555" t="s">
        <v>36</v>
      </c>
      <c r="B555">
        <v>75</v>
      </c>
      <c r="C555">
        <v>1</v>
      </c>
      <c r="D555">
        <v>2</v>
      </c>
      <c r="E555">
        <v>0</v>
      </c>
      <c r="F555">
        <v>1</v>
      </c>
      <c r="G555">
        <v>2</v>
      </c>
      <c r="H555">
        <v>0</v>
      </c>
      <c r="I555">
        <v>1</v>
      </c>
      <c r="J555">
        <v>1</v>
      </c>
      <c r="K555">
        <v>0</v>
      </c>
      <c r="L555">
        <v>1</v>
      </c>
      <c r="M555">
        <v>1</v>
      </c>
      <c r="N555">
        <v>0</v>
      </c>
    </row>
    <row r="556" spans="1:14" x14ac:dyDescent="0.3">
      <c r="A556" t="s">
        <v>37</v>
      </c>
      <c r="B556">
        <v>75</v>
      </c>
      <c r="C556">
        <v>0</v>
      </c>
      <c r="D556">
        <v>2</v>
      </c>
      <c r="F556">
        <v>0</v>
      </c>
      <c r="G556">
        <v>2</v>
      </c>
      <c r="I556">
        <v>0</v>
      </c>
      <c r="J556">
        <v>2</v>
      </c>
      <c r="L556">
        <v>0</v>
      </c>
      <c r="M556">
        <v>2</v>
      </c>
    </row>
    <row r="557" spans="1:14" x14ac:dyDescent="0.3">
      <c r="A557" t="s">
        <v>38</v>
      </c>
      <c r="B557">
        <v>75</v>
      </c>
      <c r="C557">
        <v>12</v>
      </c>
      <c r="D557">
        <v>12</v>
      </c>
      <c r="E557">
        <v>12</v>
      </c>
      <c r="F557">
        <v>12</v>
      </c>
      <c r="G557">
        <v>12</v>
      </c>
      <c r="H557">
        <v>12</v>
      </c>
      <c r="I557">
        <v>12</v>
      </c>
      <c r="J557">
        <v>12</v>
      </c>
      <c r="K557">
        <v>12</v>
      </c>
      <c r="L557">
        <v>12</v>
      </c>
      <c r="M557">
        <v>12</v>
      </c>
      <c r="N557">
        <v>12</v>
      </c>
    </row>
    <row r="558" spans="1:14" x14ac:dyDescent="0.3">
      <c r="A558" t="s">
        <v>39</v>
      </c>
      <c r="B558">
        <v>75</v>
      </c>
    </row>
    <row r="559" spans="1:14" x14ac:dyDescent="0.3">
      <c r="A559" t="s">
        <v>689</v>
      </c>
      <c r="B559">
        <v>75</v>
      </c>
    </row>
    <row r="560" spans="1:14" x14ac:dyDescent="0.3">
      <c r="A560" t="s">
        <v>40</v>
      </c>
      <c r="B560">
        <v>75</v>
      </c>
    </row>
    <row r="561" spans="1:14" x14ac:dyDescent="0.3">
      <c r="A561" t="s">
        <v>41</v>
      </c>
      <c r="B561">
        <v>75</v>
      </c>
    </row>
    <row r="562" spans="1:14" x14ac:dyDescent="0.3">
      <c r="A562" t="s">
        <v>42</v>
      </c>
      <c r="B562">
        <v>75</v>
      </c>
      <c r="D562">
        <v>45</v>
      </c>
      <c r="G562">
        <v>45</v>
      </c>
      <c r="J562">
        <v>45</v>
      </c>
      <c r="M562">
        <v>45</v>
      </c>
    </row>
    <row r="563" spans="1:14" x14ac:dyDescent="0.3">
      <c r="A563" t="s">
        <v>45</v>
      </c>
      <c r="B563">
        <v>75</v>
      </c>
      <c r="C563">
        <v>5</v>
      </c>
      <c r="D563">
        <v>2</v>
      </c>
      <c r="F563">
        <v>1</v>
      </c>
      <c r="G563">
        <v>6</v>
      </c>
      <c r="I563">
        <v>3</v>
      </c>
      <c r="J563">
        <v>8</v>
      </c>
      <c r="L563">
        <v>7</v>
      </c>
      <c r="M563">
        <v>4</v>
      </c>
    </row>
    <row r="564" spans="1:14" x14ac:dyDescent="0.3">
      <c r="A564" t="s">
        <v>49</v>
      </c>
      <c r="B564">
        <v>75</v>
      </c>
      <c r="C564">
        <v>4</v>
      </c>
      <c r="D564">
        <v>5.3</v>
      </c>
      <c r="E564">
        <v>4</v>
      </c>
      <c r="F564">
        <v>4</v>
      </c>
      <c r="G564">
        <v>5.4</v>
      </c>
      <c r="H564">
        <v>4</v>
      </c>
      <c r="I564">
        <v>4</v>
      </c>
      <c r="J564">
        <v>5.8</v>
      </c>
      <c r="K564">
        <v>4</v>
      </c>
      <c r="L564">
        <v>4</v>
      </c>
      <c r="M564">
        <v>5.9</v>
      </c>
      <c r="N564">
        <v>4</v>
      </c>
    </row>
    <row r="565" spans="1:14" x14ac:dyDescent="0.3">
      <c r="A565" t="s">
        <v>690</v>
      </c>
      <c r="B565">
        <v>75</v>
      </c>
      <c r="C565">
        <v>0</v>
      </c>
      <c r="D565">
        <v>0</v>
      </c>
      <c r="E565">
        <v>0</v>
      </c>
      <c r="F565">
        <v>0</v>
      </c>
      <c r="G565">
        <v>0</v>
      </c>
      <c r="H565">
        <v>0</v>
      </c>
      <c r="I565">
        <v>0</v>
      </c>
      <c r="J565">
        <v>0</v>
      </c>
      <c r="K565">
        <v>0</v>
      </c>
      <c r="L565">
        <v>0</v>
      </c>
      <c r="M565">
        <v>0</v>
      </c>
      <c r="N565">
        <v>0</v>
      </c>
    </row>
    <row r="566" spans="1:14" x14ac:dyDescent="0.3">
      <c r="A566" t="s">
        <v>48</v>
      </c>
      <c r="B566">
        <v>75</v>
      </c>
      <c r="C566">
        <v>1900</v>
      </c>
      <c r="D566">
        <v>1900</v>
      </c>
      <c r="E566">
        <v>1900</v>
      </c>
      <c r="F566">
        <v>1900</v>
      </c>
      <c r="G566">
        <v>1900</v>
      </c>
      <c r="H566">
        <v>1900</v>
      </c>
      <c r="I566">
        <v>1900</v>
      </c>
      <c r="J566">
        <v>1900</v>
      </c>
      <c r="K566">
        <v>1900</v>
      </c>
      <c r="L566">
        <v>1900</v>
      </c>
      <c r="M566">
        <v>1900</v>
      </c>
      <c r="N566">
        <v>1900</v>
      </c>
    </row>
    <row r="567" spans="1:14" x14ac:dyDescent="0.3">
      <c r="A567" t="s">
        <v>691</v>
      </c>
      <c r="B567">
        <v>75</v>
      </c>
      <c r="C567">
        <v>1770</v>
      </c>
      <c r="D567">
        <v>3522</v>
      </c>
      <c r="E567">
        <v>0</v>
      </c>
      <c r="F567">
        <v>1770</v>
      </c>
      <c r="G567">
        <v>3536</v>
      </c>
      <c r="H567">
        <v>0</v>
      </c>
      <c r="I567">
        <v>1770</v>
      </c>
      <c r="J567">
        <v>1690</v>
      </c>
      <c r="K567">
        <v>0</v>
      </c>
      <c r="L567">
        <v>1770</v>
      </c>
      <c r="M567">
        <v>1723</v>
      </c>
      <c r="N567">
        <v>0</v>
      </c>
    </row>
    <row r="568" spans="1:14" x14ac:dyDescent="0.3">
      <c r="A568" t="s">
        <v>50</v>
      </c>
      <c r="B568">
        <v>75</v>
      </c>
      <c r="C568">
        <v>1770</v>
      </c>
      <c r="D568">
        <v>3522</v>
      </c>
      <c r="E568">
        <v>0</v>
      </c>
      <c r="F568">
        <v>1770</v>
      </c>
      <c r="G568">
        <v>3536</v>
      </c>
      <c r="H568">
        <v>0</v>
      </c>
      <c r="I568">
        <v>1770</v>
      </c>
      <c r="J568">
        <v>1690</v>
      </c>
      <c r="K568">
        <v>0</v>
      </c>
      <c r="L568">
        <v>1770</v>
      </c>
      <c r="M568">
        <v>1723</v>
      </c>
      <c r="N568">
        <v>0</v>
      </c>
    </row>
    <row r="569" spans="1:14" x14ac:dyDescent="0.3">
      <c r="A569" t="s">
        <v>692</v>
      </c>
      <c r="B569">
        <v>75</v>
      </c>
      <c r="C569">
        <v>1</v>
      </c>
      <c r="D569">
        <v>1</v>
      </c>
      <c r="E569">
        <v>1</v>
      </c>
      <c r="F569">
        <v>1</v>
      </c>
      <c r="G569">
        <v>1</v>
      </c>
      <c r="H569">
        <v>1</v>
      </c>
      <c r="I569">
        <v>1</v>
      </c>
      <c r="J569">
        <v>1</v>
      </c>
      <c r="K569">
        <v>1</v>
      </c>
      <c r="L569">
        <v>1</v>
      </c>
      <c r="M569">
        <v>1</v>
      </c>
      <c r="N569">
        <v>1</v>
      </c>
    </row>
    <row r="570" spans="1:14" x14ac:dyDescent="0.3">
      <c r="A570" t="s">
        <v>51</v>
      </c>
      <c r="B570">
        <v>75</v>
      </c>
      <c r="C570">
        <v>0</v>
      </c>
      <c r="D570">
        <v>5</v>
      </c>
      <c r="E570">
        <v>0</v>
      </c>
      <c r="F570">
        <v>0</v>
      </c>
      <c r="G570">
        <v>0</v>
      </c>
      <c r="H570">
        <v>0</v>
      </c>
      <c r="I570">
        <v>0</v>
      </c>
      <c r="J570">
        <v>33</v>
      </c>
      <c r="K570">
        <v>0</v>
      </c>
      <c r="L570">
        <v>0</v>
      </c>
      <c r="M570">
        <v>15</v>
      </c>
      <c r="N570">
        <v>0</v>
      </c>
    </row>
    <row r="571" spans="1:14" x14ac:dyDescent="0.3">
      <c r="A571" t="s">
        <v>53</v>
      </c>
      <c r="B571">
        <v>75</v>
      </c>
      <c r="C571">
        <v>67</v>
      </c>
      <c r="D571">
        <v>649</v>
      </c>
      <c r="E571">
        <v>22</v>
      </c>
      <c r="F571">
        <v>41</v>
      </c>
      <c r="G571">
        <v>541</v>
      </c>
      <c r="H571">
        <v>2</v>
      </c>
      <c r="I571">
        <v>5</v>
      </c>
      <c r="J571">
        <v>18</v>
      </c>
      <c r="K571">
        <v>30</v>
      </c>
      <c r="L571">
        <v>17</v>
      </c>
      <c r="M571">
        <v>14</v>
      </c>
      <c r="N571">
        <v>14</v>
      </c>
    </row>
    <row r="572" spans="1:14" x14ac:dyDescent="0.3">
      <c r="A572" t="s">
        <v>54</v>
      </c>
      <c r="B572">
        <v>75</v>
      </c>
      <c r="C572">
        <v>0</v>
      </c>
      <c r="D572">
        <v>0</v>
      </c>
      <c r="E572">
        <v>0</v>
      </c>
      <c r="F572">
        <v>0</v>
      </c>
      <c r="G572">
        <v>0</v>
      </c>
      <c r="H572">
        <v>0</v>
      </c>
      <c r="I572">
        <v>0</v>
      </c>
      <c r="J572">
        <v>0</v>
      </c>
      <c r="K572">
        <v>0</v>
      </c>
      <c r="L572">
        <v>0</v>
      </c>
      <c r="M572">
        <v>0</v>
      </c>
      <c r="N572">
        <v>0</v>
      </c>
    </row>
    <row r="573" spans="1:14" x14ac:dyDescent="0.3">
      <c r="A573" t="s">
        <v>55</v>
      </c>
      <c r="B573">
        <v>75</v>
      </c>
      <c r="C573">
        <v>0</v>
      </c>
      <c r="D573">
        <v>0</v>
      </c>
      <c r="E573">
        <v>0</v>
      </c>
      <c r="F573">
        <v>0</v>
      </c>
      <c r="G573">
        <v>0</v>
      </c>
      <c r="H573">
        <v>0</v>
      </c>
      <c r="I573">
        <v>0</v>
      </c>
      <c r="J573">
        <v>0</v>
      </c>
      <c r="K573">
        <v>0</v>
      </c>
      <c r="L573">
        <v>0</v>
      </c>
      <c r="M573">
        <v>0</v>
      </c>
      <c r="N573">
        <v>0</v>
      </c>
    </row>
    <row r="574" spans="1:14" x14ac:dyDescent="0.3">
      <c r="A574" t="s">
        <v>56</v>
      </c>
      <c r="B574">
        <v>75</v>
      </c>
      <c r="C574">
        <v>0.92</v>
      </c>
      <c r="D574">
        <v>0.92</v>
      </c>
      <c r="E574">
        <v>0.92</v>
      </c>
      <c r="F574">
        <v>0.92</v>
      </c>
      <c r="G574">
        <v>0.92</v>
      </c>
      <c r="H574">
        <v>0.92</v>
      </c>
      <c r="I574">
        <v>0.92</v>
      </c>
      <c r="J574">
        <v>0.92</v>
      </c>
      <c r="K574">
        <v>0.92</v>
      </c>
      <c r="L574">
        <v>0.92</v>
      </c>
      <c r="M574">
        <v>0.92</v>
      </c>
      <c r="N574">
        <v>0.92</v>
      </c>
    </row>
    <row r="575" spans="1:14" x14ac:dyDescent="0.3">
      <c r="A575" t="s">
        <v>57</v>
      </c>
      <c r="B575">
        <v>75</v>
      </c>
      <c r="C575">
        <v>100</v>
      </c>
      <c r="D575">
        <v>100</v>
      </c>
      <c r="E575">
        <v>100</v>
      </c>
      <c r="F575">
        <v>100</v>
      </c>
      <c r="G575">
        <v>100</v>
      </c>
      <c r="H575">
        <v>100</v>
      </c>
      <c r="I575">
        <v>100</v>
      </c>
      <c r="J575">
        <v>100</v>
      </c>
      <c r="K575">
        <v>100</v>
      </c>
      <c r="L575">
        <v>100</v>
      </c>
      <c r="M575">
        <v>100</v>
      </c>
      <c r="N575">
        <v>100</v>
      </c>
    </row>
    <row r="576" spans="1:14" x14ac:dyDescent="0.3">
      <c r="A576" t="s">
        <v>58</v>
      </c>
      <c r="B576">
        <v>75</v>
      </c>
      <c r="C576">
        <v>2</v>
      </c>
      <c r="D576">
        <v>2</v>
      </c>
      <c r="E576">
        <v>2</v>
      </c>
      <c r="F576">
        <v>2</v>
      </c>
      <c r="G576">
        <v>2</v>
      </c>
      <c r="H576">
        <v>2</v>
      </c>
      <c r="I576">
        <v>2</v>
      </c>
      <c r="J576">
        <v>2</v>
      </c>
      <c r="K576">
        <v>2</v>
      </c>
      <c r="L576">
        <v>2</v>
      </c>
      <c r="M576">
        <v>2</v>
      </c>
      <c r="N576">
        <v>2</v>
      </c>
    </row>
    <row r="577" spans="1:14" x14ac:dyDescent="0.3">
      <c r="A577" t="s">
        <v>59</v>
      </c>
      <c r="B577">
        <v>75</v>
      </c>
      <c r="C577">
        <v>0</v>
      </c>
      <c r="D577">
        <v>0</v>
      </c>
      <c r="E577">
        <v>0</v>
      </c>
      <c r="F577">
        <v>0</v>
      </c>
      <c r="G577">
        <v>0</v>
      </c>
      <c r="H577">
        <v>0</v>
      </c>
      <c r="I577">
        <v>0</v>
      </c>
      <c r="J577">
        <v>0</v>
      </c>
      <c r="K577">
        <v>0</v>
      </c>
      <c r="L577">
        <v>0</v>
      </c>
      <c r="M577">
        <v>0</v>
      </c>
      <c r="N577">
        <v>0</v>
      </c>
    </row>
    <row r="578" spans="1:14" x14ac:dyDescent="0.3">
      <c r="A578" t="s">
        <v>693</v>
      </c>
      <c r="B578">
        <v>75</v>
      </c>
      <c r="D578">
        <v>0</v>
      </c>
      <c r="G578">
        <v>0</v>
      </c>
      <c r="J578">
        <v>0</v>
      </c>
      <c r="M578">
        <v>0</v>
      </c>
    </row>
    <row r="579" spans="1:14" x14ac:dyDescent="0.3">
      <c r="A579" t="s">
        <v>674</v>
      </c>
      <c r="B579">
        <v>75</v>
      </c>
      <c r="D579">
        <v>2307</v>
      </c>
      <c r="G579">
        <v>2985</v>
      </c>
      <c r="J579">
        <v>182</v>
      </c>
      <c r="M579">
        <v>210</v>
      </c>
    </row>
    <row r="580" spans="1:14" x14ac:dyDescent="0.3">
      <c r="A580" t="s">
        <v>78</v>
      </c>
      <c r="B580">
        <v>75</v>
      </c>
      <c r="D580">
        <v>35</v>
      </c>
      <c r="G580">
        <v>45.2</v>
      </c>
      <c r="J580">
        <v>2.8</v>
      </c>
      <c r="M580">
        <v>3.2</v>
      </c>
    </row>
    <row r="581" spans="1:14" x14ac:dyDescent="0.3">
      <c r="A581" t="s">
        <v>694</v>
      </c>
      <c r="B581">
        <v>75</v>
      </c>
      <c r="E581">
        <v>0</v>
      </c>
      <c r="H581">
        <v>0</v>
      </c>
      <c r="K581">
        <v>0</v>
      </c>
      <c r="N581">
        <v>0</v>
      </c>
    </row>
    <row r="582" spans="1:14" x14ac:dyDescent="0.3">
      <c r="A582" t="s">
        <v>695</v>
      </c>
      <c r="B582">
        <v>75</v>
      </c>
      <c r="C582">
        <v>0</v>
      </c>
      <c r="D582">
        <v>0</v>
      </c>
      <c r="E582">
        <v>1</v>
      </c>
      <c r="F582">
        <v>0</v>
      </c>
      <c r="G582">
        <v>0</v>
      </c>
      <c r="H582">
        <v>1</v>
      </c>
      <c r="I582">
        <v>0</v>
      </c>
      <c r="J582">
        <v>0</v>
      </c>
      <c r="K582">
        <v>1</v>
      </c>
      <c r="L582">
        <v>0</v>
      </c>
      <c r="M582">
        <v>0</v>
      </c>
      <c r="N582">
        <v>1</v>
      </c>
    </row>
    <row r="583" spans="1:14" x14ac:dyDescent="0.3">
      <c r="A583" t="s">
        <v>696</v>
      </c>
      <c r="B583">
        <v>75</v>
      </c>
      <c r="C583">
        <v>0</v>
      </c>
      <c r="D583">
        <v>0</v>
      </c>
      <c r="E583">
        <v>0</v>
      </c>
      <c r="F583">
        <v>0</v>
      </c>
      <c r="G583">
        <v>0</v>
      </c>
      <c r="H583">
        <v>0</v>
      </c>
      <c r="I583">
        <v>0</v>
      </c>
      <c r="J583">
        <v>0</v>
      </c>
      <c r="K583">
        <v>0</v>
      </c>
      <c r="L583">
        <v>0</v>
      </c>
      <c r="M583">
        <v>0</v>
      </c>
      <c r="N583">
        <v>0</v>
      </c>
    </row>
    <row r="584" spans="1:14" x14ac:dyDescent="0.3">
      <c r="A584" t="s">
        <v>52</v>
      </c>
      <c r="B584">
        <v>75</v>
      </c>
      <c r="C584">
        <v>1</v>
      </c>
      <c r="D584">
        <v>1</v>
      </c>
      <c r="E584">
        <v>1</v>
      </c>
      <c r="F584">
        <v>1</v>
      </c>
      <c r="G584">
        <v>1</v>
      </c>
      <c r="H584">
        <v>1</v>
      </c>
      <c r="I584">
        <v>1</v>
      </c>
      <c r="J584">
        <v>1</v>
      </c>
      <c r="K584">
        <v>1</v>
      </c>
      <c r="L584">
        <v>1</v>
      </c>
      <c r="M584">
        <v>1</v>
      </c>
      <c r="N584">
        <v>1</v>
      </c>
    </row>
    <row r="585" spans="1:14" x14ac:dyDescent="0.3">
      <c r="A585" t="s">
        <v>697</v>
      </c>
      <c r="B585">
        <v>75</v>
      </c>
      <c r="C585">
        <v>15</v>
      </c>
      <c r="D585">
        <v>60</v>
      </c>
      <c r="E585">
        <v>9</v>
      </c>
      <c r="F585">
        <v>15</v>
      </c>
      <c r="G585">
        <v>60</v>
      </c>
      <c r="H585">
        <v>9</v>
      </c>
      <c r="I585">
        <v>15</v>
      </c>
      <c r="J585">
        <v>60</v>
      </c>
      <c r="K585">
        <v>9</v>
      </c>
      <c r="L585">
        <v>15</v>
      </c>
      <c r="M585">
        <v>60</v>
      </c>
      <c r="N585">
        <v>9</v>
      </c>
    </row>
    <row r="586" spans="1:14" x14ac:dyDescent="0.3">
      <c r="A586" t="s">
        <v>43</v>
      </c>
      <c r="B586">
        <v>75</v>
      </c>
      <c r="C586">
        <v>20</v>
      </c>
      <c r="D586">
        <v>100</v>
      </c>
      <c r="F586">
        <v>20</v>
      </c>
      <c r="G586">
        <v>100</v>
      </c>
      <c r="I586">
        <v>20</v>
      </c>
      <c r="J586">
        <v>100</v>
      </c>
      <c r="L586">
        <v>20</v>
      </c>
      <c r="M586">
        <v>100</v>
      </c>
    </row>
    <row r="587" spans="1:14" x14ac:dyDescent="0.3">
      <c r="A587" t="s">
        <v>44</v>
      </c>
      <c r="B587">
        <v>75</v>
      </c>
      <c r="C587">
        <v>0</v>
      </c>
      <c r="D587">
        <v>0</v>
      </c>
      <c r="F587">
        <v>0</v>
      </c>
      <c r="G587">
        <v>0</v>
      </c>
      <c r="I587">
        <v>0</v>
      </c>
      <c r="J587">
        <v>0</v>
      </c>
      <c r="L587">
        <v>0</v>
      </c>
      <c r="M587">
        <v>0</v>
      </c>
    </row>
    <row r="588" spans="1:14" x14ac:dyDescent="0.3">
      <c r="A588" t="s">
        <v>47</v>
      </c>
      <c r="B588">
        <v>75</v>
      </c>
      <c r="C588">
        <v>5</v>
      </c>
      <c r="D588">
        <v>2</v>
      </c>
      <c r="F588">
        <v>1</v>
      </c>
      <c r="G588">
        <v>6</v>
      </c>
      <c r="I588">
        <v>3</v>
      </c>
      <c r="J588">
        <v>8</v>
      </c>
      <c r="L588">
        <v>7</v>
      </c>
      <c r="M588">
        <v>4</v>
      </c>
    </row>
    <row r="589" spans="1:14" x14ac:dyDescent="0.3">
      <c r="A589" t="s">
        <v>698</v>
      </c>
      <c r="B589">
        <v>75</v>
      </c>
      <c r="C589">
        <v>0</v>
      </c>
      <c r="D589">
        <v>0</v>
      </c>
      <c r="F589">
        <v>0</v>
      </c>
      <c r="G589">
        <v>0</v>
      </c>
      <c r="I589">
        <v>0</v>
      </c>
      <c r="J589">
        <v>0</v>
      </c>
      <c r="L589">
        <v>0</v>
      </c>
      <c r="M589">
        <v>0</v>
      </c>
    </row>
    <row r="590" spans="1:14" x14ac:dyDescent="0.3">
      <c r="A590" t="s">
        <v>699</v>
      </c>
      <c r="B590">
        <v>75</v>
      </c>
      <c r="C590">
        <v>0</v>
      </c>
      <c r="D590">
        <v>0</v>
      </c>
      <c r="F590">
        <v>0</v>
      </c>
      <c r="G590">
        <v>0</v>
      </c>
      <c r="I590">
        <v>0</v>
      </c>
      <c r="J590">
        <v>0</v>
      </c>
      <c r="L590">
        <v>0</v>
      </c>
      <c r="M590">
        <v>0</v>
      </c>
    </row>
    <row r="591" spans="1:14" x14ac:dyDescent="0.3">
      <c r="A591" t="s">
        <v>700</v>
      </c>
      <c r="B591">
        <v>75</v>
      </c>
      <c r="C591">
        <v>0</v>
      </c>
      <c r="D591">
        <v>0</v>
      </c>
      <c r="F591">
        <v>0</v>
      </c>
      <c r="G591">
        <v>0</v>
      </c>
      <c r="I591">
        <v>0</v>
      </c>
      <c r="J591">
        <v>0</v>
      </c>
      <c r="L591">
        <v>0</v>
      </c>
      <c r="M591">
        <v>0</v>
      </c>
    </row>
    <row r="592" spans="1:14" x14ac:dyDescent="0.3">
      <c r="A592" t="s">
        <v>701</v>
      </c>
      <c r="B592">
        <v>75</v>
      </c>
      <c r="C592">
        <v>0</v>
      </c>
      <c r="D592">
        <v>0</v>
      </c>
      <c r="F592">
        <v>0</v>
      </c>
      <c r="G592">
        <v>0</v>
      </c>
      <c r="I592">
        <v>0</v>
      </c>
      <c r="J592">
        <v>0</v>
      </c>
      <c r="L592">
        <v>0</v>
      </c>
      <c r="M592">
        <v>0</v>
      </c>
    </row>
    <row r="593" spans="1:14" x14ac:dyDescent="0.3">
      <c r="A593" t="s">
        <v>702</v>
      </c>
      <c r="B593">
        <v>75</v>
      </c>
      <c r="C593">
        <v>1</v>
      </c>
      <c r="D593">
        <v>2</v>
      </c>
      <c r="F593">
        <v>1</v>
      </c>
      <c r="G593">
        <v>2</v>
      </c>
      <c r="I593">
        <v>1</v>
      </c>
      <c r="J593">
        <v>2</v>
      </c>
      <c r="L593">
        <v>1</v>
      </c>
      <c r="M593">
        <v>2</v>
      </c>
    </row>
    <row r="594" spans="1:14" x14ac:dyDescent="0.3">
      <c r="A594" t="s">
        <v>703</v>
      </c>
      <c r="B594">
        <v>75</v>
      </c>
      <c r="C594">
        <v>0</v>
      </c>
      <c r="D594">
        <v>0</v>
      </c>
      <c r="F594">
        <v>0</v>
      </c>
      <c r="G594">
        <v>0</v>
      </c>
      <c r="I594">
        <v>0</v>
      </c>
      <c r="J594">
        <v>0</v>
      </c>
      <c r="L594">
        <v>0</v>
      </c>
      <c r="M594">
        <v>0</v>
      </c>
    </row>
    <row r="595" spans="1:14" x14ac:dyDescent="0.3">
      <c r="A595" t="s">
        <v>704</v>
      </c>
      <c r="B595">
        <v>75</v>
      </c>
      <c r="C595">
        <v>20</v>
      </c>
      <c r="D595">
        <v>6</v>
      </c>
      <c r="F595">
        <v>20</v>
      </c>
      <c r="G595">
        <v>6</v>
      </c>
      <c r="I595">
        <v>20</v>
      </c>
      <c r="J595">
        <v>6</v>
      </c>
      <c r="L595">
        <v>20</v>
      </c>
      <c r="M595">
        <v>6</v>
      </c>
    </row>
    <row r="596" spans="1:14" x14ac:dyDescent="0.3">
      <c r="A596" t="s">
        <v>705</v>
      </c>
      <c r="B596">
        <v>75</v>
      </c>
      <c r="C596">
        <v>3</v>
      </c>
      <c r="D596">
        <v>3</v>
      </c>
      <c r="F596">
        <v>3</v>
      </c>
      <c r="G596">
        <v>3</v>
      </c>
      <c r="I596">
        <v>3</v>
      </c>
      <c r="J596">
        <v>3</v>
      </c>
      <c r="L596">
        <v>3</v>
      </c>
      <c r="M596">
        <v>3</v>
      </c>
    </row>
    <row r="597" spans="1:14" x14ac:dyDescent="0.3">
      <c r="A597" t="s">
        <v>706</v>
      </c>
      <c r="B597">
        <v>75</v>
      </c>
      <c r="C597">
        <v>0</v>
      </c>
      <c r="D597">
        <v>0</v>
      </c>
      <c r="F597">
        <v>0</v>
      </c>
      <c r="G597">
        <v>0</v>
      </c>
      <c r="I597">
        <v>0</v>
      </c>
      <c r="J597">
        <v>0</v>
      </c>
      <c r="L597">
        <v>0</v>
      </c>
      <c r="M597">
        <v>0</v>
      </c>
    </row>
    <row r="598" spans="1:14" x14ac:dyDescent="0.3">
      <c r="A598" t="s">
        <v>707</v>
      </c>
      <c r="B598">
        <v>75</v>
      </c>
      <c r="C598">
        <v>0</v>
      </c>
      <c r="D598">
        <v>0</v>
      </c>
      <c r="F598">
        <v>0</v>
      </c>
      <c r="G598">
        <v>0</v>
      </c>
      <c r="I598">
        <v>0</v>
      </c>
      <c r="J598">
        <v>0</v>
      </c>
      <c r="L598">
        <v>0</v>
      </c>
      <c r="M598">
        <v>0</v>
      </c>
    </row>
    <row r="599" spans="1:14" x14ac:dyDescent="0.3">
      <c r="A599" t="s">
        <v>708</v>
      </c>
      <c r="B599">
        <v>75</v>
      </c>
      <c r="C599">
        <v>0</v>
      </c>
      <c r="D599">
        <v>0</v>
      </c>
      <c r="F599">
        <v>0</v>
      </c>
      <c r="G599">
        <v>0</v>
      </c>
      <c r="I599">
        <v>0</v>
      </c>
      <c r="J599">
        <v>0</v>
      </c>
      <c r="L599">
        <v>0</v>
      </c>
      <c r="M599">
        <v>0</v>
      </c>
    </row>
    <row r="600" spans="1:14" x14ac:dyDescent="0.3">
      <c r="A600" t="s">
        <v>709</v>
      </c>
      <c r="B600">
        <v>75</v>
      </c>
      <c r="D600">
        <v>94</v>
      </c>
      <c r="G600">
        <v>94</v>
      </c>
      <c r="J600">
        <v>94</v>
      </c>
      <c r="M600">
        <v>94</v>
      </c>
    </row>
    <row r="601" spans="1:14" x14ac:dyDescent="0.3">
      <c r="A601" t="s">
        <v>710</v>
      </c>
      <c r="B601">
        <v>75</v>
      </c>
      <c r="D601">
        <v>6</v>
      </c>
      <c r="G601">
        <v>6</v>
      </c>
      <c r="J601">
        <v>6</v>
      </c>
      <c r="M601">
        <v>6</v>
      </c>
    </row>
    <row r="602" spans="1:14" x14ac:dyDescent="0.3">
      <c r="A602" t="s">
        <v>711</v>
      </c>
      <c r="B602">
        <v>75</v>
      </c>
      <c r="D602">
        <v>3</v>
      </c>
      <c r="G602">
        <v>3</v>
      </c>
      <c r="J602">
        <v>3</v>
      </c>
      <c r="M602">
        <v>3</v>
      </c>
    </row>
    <row r="603" spans="1:14" x14ac:dyDescent="0.3">
      <c r="A603" t="s">
        <v>712</v>
      </c>
      <c r="B603">
        <v>75</v>
      </c>
      <c r="D603">
        <v>0</v>
      </c>
      <c r="G603">
        <v>0</v>
      </c>
      <c r="J603">
        <v>0</v>
      </c>
      <c r="M603">
        <v>0</v>
      </c>
    </row>
    <row r="604" spans="1:14" x14ac:dyDescent="0.3">
      <c r="A604" t="s">
        <v>713</v>
      </c>
      <c r="B604">
        <v>75</v>
      </c>
      <c r="D604">
        <v>0</v>
      </c>
      <c r="G604">
        <v>0</v>
      </c>
      <c r="J604">
        <v>0</v>
      </c>
      <c r="M604">
        <v>0</v>
      </c>
    </row>
    <row r="605" spans="1:14" x14ac:dyDescent="0.3">
      <c r="A605" t="s">
        <v>405</v>
      </c>
      <c r="B605">
        <v>75</v>
      </c>
      <c r="D605">
        <v>0</v>
      </c>
    </row>
    <row r="606" spans="1:14" x14ac:dyDescent="0.3">
      <c r="A606" t="s">
        <v>714</v>
      </c>
      <c r="B606">
        <v>75</v>
      </c>
      <c r="C606">
        <v>73</v>
      </c>
      <c r="D606">
        <v>729</v>
      </c>
      <c r="E606">
        <v>0</v>
      </c>
      <c r="F606">
        <v>45</v>
      </c>
      <c r="G606">
        <v>590</v>
      </c>
      <c r="H606">
        <v>0</v>
      </c>
      <c r="I606">
        <v>5</v>
      </c>
      <c r="J606">
        <v>53</v>
      </c>
      <c r="K606">
        <v>0</v>
      </c>
      <c r="L606">
        <v>18</v>
      </c>
      <c r="M606">
        <v>30</v>
      </c>
      <c r="N606">
        <v>0</v>
      </c>
    </row>
    <row r="607" spans="1:14" x14ac:dyDescent="0.3">
      <c r="A607" t="s">
        <v>34</v>
      </c>
      <c r="B607">
        <v>78</v>
      </c>
      <c r="D607">
        <v>80</v>
      </c>
      <c r="E607">
        <v>80</v>
      </c>
      <c r="F607">
        <v>75</v>
      </c>
      <c r="G607">
        <v>75</v>
      </c>
      <c r="L607">
        <v>79</v>
      </c>
      <c r="N607">
        <v>79</v>
      </c>
    </row>
    <row r="608" spans="1:14" x14ac:dyDescent="0.3">
      <c r="A608" t="s">
        <v>35</v>
      </c>
      <c r="B608">
        <v>78</v>
      </c>
      <c r="D608">
        <v>75</v>
      </c>
      <c r="E608">
        <v>79</v>
      </c>
      <c r="F608">
        <v>79</v>
      </c>
      <c r="G608">
        <v>80</v>
      </c>
      <c r="L608">
        <v>80</v>
      </c>
      <c r="N608">
        <v>75</v>
      </c>
    </row>
    <row r="609" spans="1:14" x14ac:dyDescent="0.3">
      <c r="A609" t="s">
        <v>36</v>
      </c>
      <c r="B609">
        <v>78</v>
      </c>
      <c r="D609">
        <v>3</v>
      </c>
      <c r="E609">
        <v>0</v>
      </c>
      <c r="F609">
        <v>1</v>
      </c>
      <c r="G609">
        <v>2</v>
      </c>
      <c r="L609">
        <v>2</v>
      </c>
      <c r="N609">
        <v>0</v>
      </c>
    </row>
    <row r="610" spans="1:14" x14ac:dyDescent="0.3">
      <c r="A610" t="s">
        <v>37</v>
      </c>
      <c r="B610">
        <v>78</v>
      </c>
      <c r="D610">
        <v>2</v>
      </c>
      <c r="F610">
        <v>0</v>
      </c>
      <c r="G610">
        <v>0</v>
      </c>
      <c r="L610">
        <v>2</v>
      </c>
    </row>
    <row r="611" spans="1:14" x14ac:dyDescent="0.3">
      <c r="A611" t="s">
        <v>38</v>
      </c>
      <c r="B611">
        <v>78</v>
      </c>
      <c r="D611">
        <v>12</v>
      </c>
      <c r="E611">
        <v>12</v>
      </c>
      <c r="F611">
        <v>12</v>
      </c>
      <c r="G611">
        <v>12</v>
      </c>
      <c r="L611">
        <v>12</v>
      </c>
      <c r="N611">
        <v>12</v>
      </c>
    </row>
    <row r="612" spans="1:14" x14ac:dyDescent="0.3">
      <c r="A612" t="s">
        <v>39</v>
      </c>
      <c r="B612">
        <v>78</v>
      </c>
    </row>
    <row r="613" spans="1:14" x14ac:dyDescent="0.3">
      <c r="A613" t="s">
        <v>689</v>
      </c>
      <c r="B613">
        <v>78</v>
      </c>
    </row>
    <row r="614" spans="1:14" x14ac:dyDescent="0.3">
      <c r="A614" t="s">
        <v>40</v>
      </c>
      <c r="B614">
        <v>78</v>
      </c>
    </row>
    <row r="615" spans="1:14" x14ac:dyDescent="0.3">
      <c r="A615" t="s">
        <v>41</v>
      </c>
      <c r="B615">
        <v>78</v>
      </c>
    </row>
    <row r="616" spans="1:14" x14ac:dyDescent="0.3">
      <c r="A616" t="s">
        <v>42</v>
      </c>
      <c r="B616">
        <v>78</v>
      </c>
      <c r="D616">
        <v>45</v>
      </c>
      <c r="G616">
        <v>45</v>
      </c>
      <c r="L616">
        <v>45</v>
      </c>
    </row>
    <row r="617" spans="1:14" x14ac:dyDescent="0.3">
      <c r="A617" t="s">
        <v>45</v>
      </c>
      <c r="B617">
        <v>78</v>
      </c>
      <c r="D617">
        <v>2</v>
      </c>
      <c r="F617">
        <v>1</v>
      </c>
      <c r="G617">
        <v>6</v>
      </c>
      <c r="L617">
        <v>4</v>
      </c>
    </row>
    <row r="618" spans="1:14" x14ac:dyDescent="0.3">
      <c r="A618" t="s">
        <v>46</v>
      </c>
      <c r="B618">
        <v>78</v>
      </c>
      <c r="L618">
        <v>8</v>
      </c>
    </row>
    <row r="619" spans="1:14" x14ac:dyDescent="0.3">
      <c r="A619" t="s">
        <v>49</v>
      </c>
      <c r="B619">
        <v>78</v>
      </c>
      <c r="D619">
        <v>5.3</v>
      </c>
      <c r="E619">
        <v>4</v>
      </c>
      <c r="F619">
        <v>4</v>
      </c>
      <c r="G619">
        <v>5.3</v>
      </c>
      <c r="L619">
        <v>5.3</v>
      </c>
      <c r="N619">
        <v>4</v>
      </c>
    </row>
    <row r="620" spans="1:14" x14ac:dyDescent="0.3">
      <c r="A620" t="s">
        <v>690</v>
      </c>
      <c r="B620">
        <v>78</v>
      </c>
      <c r="D620">
        <v>0</v>
      </c>
      <c r="E620">
        <v>0</v>
      </c>
      <c r="F620">
        <v>0</v>
      </c>
      <c r="G620">
        <v>0</v>
      </c>
      <c r="L620">
        <v>0</v>
      </c>
      <c r="N620">
        <v>0</v>
      </c>
    </row>
    <row r="621" spans="1:14" x14ac:dyDescent="0.3">
      <c r="A621" t="s">
        <v>48</v>
      </c>
      <c r="B621">
        <v>78</v>
      </c>
      <c r="D621">
        <v>1900</v>
      </c>
      <c r="E621">
        <v>1900</v>
      </c>
      <c r="F621">
        <v>1900</v>
      </c>
      <c r="G621">
        <v>1900</v>
      </c>
      <c r="L621">
        <v>1900</v>
      </c>
      <c r="N621">
        <v>1900</v>
      </c>
    </row>
    <row r="622" spans="1:14" x14ac:dyDescent="0.3">
      <c r="A622" t="s">
        <v>691</v>
      </c>
      <c r="B622">
        <v>78</v>
      </c>
      <c r="D622">
        <v>5055</v>
      </c>
      <c r="E622">
        <v>0</v>
      </c>
      <c r="F622">
        <v>1770</v>
      </c>
      <c r="G622">
        <v>3539</v>
      </c>
      <c r="L622">
        <v>3204</v>
      </c>
      <c r="N622">
        <v>0</v>
      </c>
    </row>
    <row r="623" spans="1:14" x14ac:dyDescent="0.3">
      <c r="A623" t="s">
        <v>50</v>
      </c>
      <c r="B623">
        <v>78</v>
      </c>
      <c r="D623">
        <v>5055</v>
      </c>
      <c r="E623">
        <v>0</v>
      </c>
      <c r="F623">
        <v>1770</v>
      </c>
      <c r="G623">
        <v>3539</v>
      </c>
      <c r="L623">
        <v>3204</v>
      </c>
      <c r="N623">
        <v>0</v>
      </c>
    </row>
    <row r="624" spans="1:14" x14ac:dyDescent="0.3">
      <c r="A624" t="s">
        <v>692</v>
      </c>
      <c r="B624">
        <v>78</v>
      </c>
      <c r="D624">
        <v>1</v>
      </c>
      <c r="E624">
        <v>1</v>
      </c>
      <c r="F624">
        <v>1</v>
      </c>
      <c r="G624">
        <v>1</v>
      </c>
      <c r="L624">
        <v>1</v>
      </c>
      <c r="N624">
        <v>1</v>
      </c>
    </row>
    <row r="625" spans="1:14" x14ac:dyDescent="0.3">
      <c r="A625" t="s">
        <v>51</v>
      </c>
      <c r="B625">
        <v>78</v>
      </c>
      <c r="D625">
        <v>11</v>
      </c>
      <c r="E625">
        <v>0</v>
      </c>
      <c r="F625">
        <v>0</v>
      </c>
      <c r="G625">
        <v>0</v>
      </c>
      <c r="L625">
        <v>190</v>
      </c>
      <c r="N625">
        <v>0</v>
      </c>
    </row>
    <row r="626" spans="1:14" x14ac:dyDescent="0.3">
      <c r="A626" t="s">
        <v>53</v>
      </c>
      <c r="B626">
        <v>78</v>
      </c>
      <c r="D626">
        <v>1536</v>
      </c>
      <c r="E626">
        <v>61</v>
      </c>
      <c r="F626">
        <v>79</v>
      </c>
      <c r="G626">
        <v>1175</v>
      </c>
      <c r="L626">
        <v>93</v>
      </c>
      <c r="N626">
        <v>175</v>
      </c>
    </row>
    <row r="627" spans="1:14" x14ac:dyDescent="0.3">
      <c r="A627" t="s">
        <v>54</v>
      </c>
      <c r="B627">
        <v>78</v>
      </c>
      <c r="D627">
        <v>0</v>
      </c>
      <c r="E627">
        <v>0</v>
      </c>
      <c r="F627">
        <v>0</v>
      </c>
      <c r="G627">
        <v>0</v>
      </c>
      <c r="L627">
        <v>0</v>
      </c>
      <c r="N627">
        <v>0</v>
      </c>
    </row>
    <row r="628" spans="1:14" x14ac:dyDescent="0.3">
      <c r="A628" t="s">
        <v>55</v>
      </c>
      <c r="B628">
        <v>78</v>
      </c>
      <c r="D628">
        <v>0</v>
      </c>
      <c r="E628">
        <v>0</v>
      </c>
      <c r="F628">
        <v>0</v>
      </c>
      <c r="G628">
        <v>0</v>
      </c>
      <c r="L628">
        <v>0</v>
      </c>
      <c r="N628">
        <v>0</v>
      </c>
    </row>
    <row r="629" spans="1:14" x14ac:dyDescent="0.3">
      <c r="A629" t="s">
        <v>56</v>
      </c>
      <c r="B629">
        <v>78</v>
      </c>
      <c r="D629">
        <v>0.92</v>
      </c>
      <c r="E629">
        <v>0.92</v>
      </c>
      <c r="F629">
        <v>0.92</v>
      </c>
      <c r="G629">
        <v>0.92</v>
      </c>
      <c r="L629">
        <v>0.92</v>
      </c>
      <c r="N629">
        <v>0.92</v>
      </c>
    </row>
    <row r="630" spans="1:14" x14ac:dyDescent="0.3">
      <c r="A630" t="s">
        <v>57</v>
      </c>
      <c r="B630">
        <v>78</v>
      </c>
      <c r="D630">
        <v>100</v>
      </c>
      <c r="E630">
        <v>100</v>
      </c>
      <c r="F630">
        <v>100</v>
      </c>
      <c r="G630">
        <v>100</v>
      </c>
      <c r="L630">
        <v>100</v>
      </c>
      <c r="N630">
        <v>100</v>
      </c>
    </row>
    <row r="631" spans="1:14" x14ac:dyDescent="0.3">
      <c r="A631" t="s">
        <v>58</v>
      </c>
      <c r="B631">
        <v>78</v>
      </c>
      <c r="D631">
        <v>2</v>
      </c>
      <c r="E631">
        <v>2</v>
      </c>
      <c r="F631">
        <v>2</v>
      </c>
      <c r="G631">
        <v>2</v>
      </c>
      <c r="L631">
        <v>2</v>
      </c>
      <c r="N631">
        <v>2</v>
      </c>
    </row>
    <row r="632" spans="1:14" x14ac:dyDescent="0.3">
      <c r="A632" t="s">
        <v>59</v>
      </c>
      <c r="B632">
        <v>78</v>
      </c>
      <c r="D632">
        <v>0</v>
      </c>
      <c r="E632">
        <v>0</v>
      </c>
      <c r="F632">
        <v>0</v>
      </c>
      <c r="G632">
        <v>0</v>
      </c>
      <c r="L632">
        <v>0</v>
      </c>
      <c r="N632">
        <v>0</v>
      </c>
    </row>
    <row r="633" spans="1:14" x14ac:dyDescent="0.3">
      <c r="A633" t="s">
        <v>693</v>
      </c>
      <c r="B633">
        <v>78</v>
      </c>
      <c r="D633">
        <v>0</v>
      </c>
      <c r="G633">
        <v>0</v>
      </c>
      <c r="L633">
        <v>0</v>
      </c>
    </row>
    <row r="634" spans="1:14" x14ac:dyDescent="0.3">
      <c r="A634" t="s">
        <v>674</v>
      </c>
      <c r="B634">
        <v>78</v>
      </c>
      <c r="D634">
        <v>2660</v>
      </c>
      <c r="G634">
        <v>2307</v>
      </c>
      <c r="L634">
        <v>248</v>
      </c>
    </row>
    <row r="635" spans="1:14" x14ac:dyDescent="0.3">
      <c r="A635" t="s">
        <v>78</v>
      </c>
      <c r="B635">
        <v>78</v>
      </c>
      <c r="D635">
        <v>40.299999999999997</v>
      </c>
      <c r="G635">
        <v>35</v>
      </c>
      <c r="L635">
        <v>3.8</v>
      </c>
    </row>
    <row r="636" spans="1:14" x14ac:dyDescent="0.3">
      <c r="A636" t="s">
        <v>694</v>
      </c>
      <c r="B636">
        <v>78</v>
      </c>
      <c r="E636">
        <v>0</v>
      </c>
      <c r="G636">
        <v>0</v>
      </c>
      <c r="N636">
        <v>0</v>
      </c>
    </row>
    <row r="637" spans="1:14" x14ac:dyDescent="0.3">
      <c r="A637" t="s">
        <v>695</v>
      </c>
      <c r="B637">
        <v>78</v>
      </c>
      <c r="D637">
        <v>0</v>
      </c>
      <c r="E637">
        <v>1</v>
      </c>
      <c r="F637">
        <v>0</v>
      </c>
      <c r="G637">
        <v>0</v>
      </c>
      <c r="L637">
        <v>0</v>
      </c>
      <c r="N637">
        <v>1</v>
      </c>
    </row>
    <row r="638" spans="1:14" x14ac:dyDescent="0.3">
      <c r="A638" t="s">
        <v>696</v>
      </c>
      <c r="B638">
        <v>78</v>
      </c>
      <c r="D638">
        <v>0</v>
      </c>
      <c r="E638">
        <v>0</v>
      </c>
      <c r="F638">
        <v>0</v>
      </c>
      <c r="G638">
        <v>0</v>
      </c>
      <c r="L638">
        <v>0</v>
      </c>
      <c r="N638">
        <v>0</v>
      </c>
    </row>
    <row r="639" spans="1:14" x14ac:dyDescent="0.3">
      <c r="A639" t="s">
        <v>52</v>
      </c>
      <c r="B639">
        <v>78</v>
      </c>
      <c r="D639">
        <v>1</v>
      </c>
      <c r="E639">
        <v>1</v>
      </c>
      <c r="F639">
        <v>1</v>
      </c>
      <c r="G639">
        <v>1</v>
      </c>
      <c r="L639">
        <v>1</v>
      </c>
      <c r="N639">
        <v>1</v>
      </c>
    </row>
    <row r="640" spans="1:14" x14ac:dyDescent="0.3">
      <c r="A640" t="s">
        <v>697</v>
      </c>
      <c r="B640">
        <v>78</v>
      </c>
      <c r="D640">
        <v>60</v>
      </c>
      <c r="E640">
        <v>9</v>
      </c>
      <c r="F640">
        <v>15</v>
      </c>
      <c r="G640">
        <v>60</v>
      </c>
      <c r="L640">
        <v>15</v>
      </c>
      <c r="N640">
        <v>9</v>
      </c>
    </row>
    <row r="641" spans="1:12" x14ac:dyDescent="0.3">
      <c r="A641" t="s">
        <v>43</v>
      </c>
      <c r="B641">
        <v>78</v>
      </c>
      <c r="D641">
        <v>100</v>
      </c>
      <c r="F641">
        <v>20</v>
      </c>
      <c r="G641">
        <v>100</v>
      </c>
      <c r="L641">
        <v>20</v>
      </c>
    </row>
    <row r="642" spans="1:12" x14ac:dyDescent="0.3">
      <c r="A642" t="s">
        <v>44</v>
      </c>
      <c r="B642">
        <v>78</v>
      </c>
      <c r="D642">
        <v>0</v>
      </c>
      <c r="F642">
        <v>0</v>
      </c>
      <c r="G642">
        <v>0</v>
      </c>
      <c r="L642">
        <v>0</v>
      </c>
    </row>
    <row r="643" spans="1:12" x14ac:dyDescent="0.3">
      <c r="A643" t="s">
        <v>47</v>
      </c>
      <c r="B643">
        <v>78</v>
      </c>
      <c r="D643">
        <v>2</v>
      </c>
      <c r="F643">
        <v>1</v>
      </c>
      <c r="G643">
        <v>6</v>
      </c>
      <c r="L643">
        <v>4</v>
      </c>
    </row>
    <row r="644" spans="1:12" x14ac:dyDescent="0.3">
      <c r="A644" t="s">
        <v>698</v>
      </c>
      <c r="B644">
        <v>78</v>
      </c>
      <c r="D644">
        <v>0</v>
      </c>
      <c r="F644">
        <v>0</v>
      </c>
      <c r="G644">
        <v>0</v>
      </c>
      <c r="L644">
        <v>0</v>
      </c>
    </row>
    <row r="645" spans="1:12" x14ac:dyDescent="0.3">
      <c r="A645" t="s">
        <v>699</v>
      </c>
      <c r="B645">
        <v>78</v>
      </c>
      <c r="D645">
        <v>0</v>
      </c>
      <c r="F645">
        <v>0</v>
      </c>
      <c r="G645">
        <v>0</v>
      </c>
      <c r="L645">
        <v>0</v>
      </c>
    </row>
    <row r="646" spans="1:12" x14ac:dyDescent="0.3">
      <c r="A646" t="s">
        <v>700</v>
      </c>
      <c r="B646">
        <v>78</v>
      </c>
      <c r="D646">
        <v>0</v>
      </c>
      <c r="F646">
        <v>0</v>
      </c>
      <c r="G646">
        <v>0</v>
      </c>
      <c r="L646">
        <v>0</v>
      </c>
    </row>
    <row r="647" spans="1:12" x14ac:dyDescent="0.3">
      <c r="A647" t="s">
        <v>701</v>
      </c>
      <c r="B647">
        <v>78</v>
      </c>
      <c r="D647">
        <v>0</v>
      </c>
      <c r="F647">
        <v>0</v>
      </c>
      <c r="G647">
        <v>0</v>
      </c>
      <c r="L647">
        <v>0</v>
      </c>
    </row>
    <row r="648" spans="1:12" x14ac:dyDescent="0.3">
      <c r="A648" t="s">
        <v>702</v>
      </c>
      <c r="B648">
        <v>78</v>
      </c>
      <c r="D648">
        <v>2</v>
      </c>
      <c r="F648">
        <v>1</v>
      </c>
      <c r="G648">
        <v>2</v>
      </c>
      <c r="L648">
        <v>1</v>
      </c>
    </row>
    <row r="649" spans="1:12" x14ac:dyDescent="0.3">
      <c r="A649" t="s">
        <v>703</v>
      </c>
      <c r="B649">
        <v>78</v>
      </c>
      <c r="D649">
        <v>0</v>
      </c>
      <c r="F649">
        <v>0</v>
      </c>
      <c r="G649">
        <v>0</v>
      </c>
      <c r="L649">
        <v>0</v>
      </c>
    </row>
    <row r="650" spans="1:12" x14ac:dyDescent="0.3">
      <c r="A650" t="s">
        <v>704</v>
      </c>
      <c r="B650">
        <v>78</v>
      </c>
      <c r="D650">
        <v>6</v>
      </c>
      <c r="F650">
        <v>20</v>
      </c>
      <c r="G650">
        <v>6</v>
      </c>
      <c r="L650">
        <v>20</v>
      </c>
    </row>
    <row r="651" spans="1:12" x14ac:dyDescent="0.3">
      <c r="A651" t="s">
        <v>705</v>
      </c>
      <c r="B651">
        <v>78</v>
      </c>
      <c r="D651">
        <v>3</v>
      </c>
      <c r="F651">
        <v>3</v>
      </c>
      <c r="G651">
        <v>3</v>
      </c>
      <c r="L651">
        <v>3</v>
      </c>
    </row>
    <row r="652" spans="1:12" x14ac:dyDescent="0.3">
      <c r="A652" t="s">
        <v>706</v>
      </c>
      <c r="B652">
        <v>78</v>
      </c>
      <c r="D652">
        <v>0</v>
      </c>
      <c r="F652">
        <v>0</v>
      </c>
      <c r="G652">
        <v>0</v>
      </c>
      <c r="L652">
        <v>0</v>
      </c>
    </row>
    <row r="653" spans="1:12" x14ac:dyDescent="0.3">
      <c r="A653" t="s">
        <v>707</v>
      </c>
      <c r="B653">
        <v>78</v>
      </c>
      <c r="D653">
        <v>0</v>
      </c>
      <c r="F653">
        <v>0</v>
      </c>
      <c r="G653">
        <v>0</v>
      </c>
      <c r="L653">
        <v>0</v>
      </c>
    </row>
    <row r="654" spans="1:12" x14ac:dyDescent="0.3">
      <c r="A654" t="s">
        <v>708</v>
      </c>
      <c r="B654">
        <v>78</v>
      </c>
      <c r="D654">
        <v>0</v>
      </c>
      <c r="F654">
        <v>0</v>
      </c>
      <c r="G654">
        <v>0</v>
      </c>
      <c r="L654">
        <v>0</v>
      </c>
    </row>
    <row r="655" spans="1:12" x14ac:dyDescent="0.3">
      <c r="A655" t="s">
        <v>709</v>
      </c>
      <c r="B655">
        <v>78</v>
      </c>
      <c r="D655">
        <v>94</v>
      </c>
      <c r="G655">
        <v>94</v>
      </c>
    </row>
    <row r="656" spans="1:12" x14ac:dyDescent="0.3">
      <c r="A656" t="s">
        <v>710</v>
      </c>
      <c r="B656">
        <v>78</v>
      </c>
      <c r="D656">
        <v>6</v>
      </c>
      <c r="G656">
        <v>6</v>
      </c>
    </row>
    <row r="657" spans="1:14" x14ac:dyDescent="0.3">
      <c r="A657" t="s">
        <v>711</v>
      </c>
      <c r="B657">
        <v>78</v>
      </c>
      <c r="D657">
        <v>3</v>
      </c>
      <c r="G657">
        <v>3</v>
      </c>
    </row>
    <row r="658" spans="1:14" x14ac:dyDescent="0.3">
      <c r="A658" t="s">
        <v>712</v>
      </c>
      <c r="B658">
        <v>78</v>
      </c>
      <c r="D658">
        <v>0</v>
      </c>
      <c r="G658">
        <v>0</v>
      </c>
    </row>
    <row r="659" spans="1:14" x14ac:dyDescent="0.3">
      <c r="A659" t="s">
        <v>713</v>
      </c>
      <c r="B659">
        <v>78</v>
      </c>
      <c r="D659">
        <v>0</v>
      </c>
      <c r="G659">
        <v>0</v>
      </c>
      <c r="L659">
        <v>0</v>
      </c>
    </row>
    <row r="660" spans="1:14" x14ac:dyDescent="0.3">
      <c r="A660" t="s">
        <v>405</v>
      </c>
      <c r="B660">
        <v>78</v>
      </c>
      <c r="D660">
        <v>0</v>
      </c>
    </row>
    <row r="661" spans="1:14" x14ac:dyDescent="0.3">
      <c r="A661" t="s">
        <v>714</v>
      </c>
      <c r="B661">
        <v>78</v>
      </c>
      <c r="D661">
        <v>1736</v>
      </c>
      <c r="E661">
        <v>0</v>
      </c>
      <c r="F661">
        <v>86</v>
      </c>
      <c r="G661">
        <v>1277</v>
      </c>
      <c r="L661">
        <v>291</v>
      </c>
      <c r="N661">
        <v>0</v>
      </c>
    </row>
    <row r="662" spans="1:14" x14ac:dyDescent="0.3">
      <c r="A662" t="s">
        <v>34</v>
      </c>
      <c r="B662">
        <v>80</v>
      </c>
      <c r="D662">
        <v>82</v>
      </c>
      <c r="E662">
        <v>82</v>
      </c>
      <c r="F662">
        <v>78</v>
      </c>
      <c r="G662">
        <v>78</v>
      </c>
      <c r="L662">
        <v>81</v>
      </c>
      <c r="N662">
        <v>81</v>
      </c>
    </row>
    <row r="663" spans="1:14" x14ac:dyDescent="0.3">
      <c r="A663" t="s">
        <v>35</v>
      </c>
      <c r="B663">
        <v>80</v>
      </c>
      <c r="D663">
        <v>78</v>
      </c>
      <c r="E663">
        <v>81</v>
      </c>
      <c r="F663">
        <v>81</v>
      </c>
      <c r="G663">
        <v>82</v>
      </c>
      <c r="L663">
        <v>82</v>
      </c>
      <c r="N663">
        <v>78</v>
      </c>
    </row>
    <row r="664" spans="1:14" x14ac:dyDescent="0.3">
      <c r="A664" t="s">
        <v>36</v>
      </c>
      <c r="B664">
        <v>80</v>
      </c>
      <c r="D664">
        <v>2</v>
      </c>
      <c r="E664">
        <v>0</v>
      </c>
      <c r="F664">
        <v>1</v>
      </c>
      <c r="G664">
        <v>2</v>
      </c>
      <c r="L664">
        <v>1</v>
      </c>
      <c r="N664">
        <v>0</v>
      </c>
    </row>
    <row r="665" spans="1:14" x14ac:dyDescent="0.3">
      <c r="A665" t="s">
        <v>37</v>
      </c>
      <c r="B665">
        <v>80</v>
      </c>
      <c r="D665">
        <v>2</v>
      </c>
      <c r="F665">
        <v>0</v>
      </c>
      <c r="G665">
        <v>0</v>
      </c>
      <c r="L665">
        <v>2</v>
      </c>
    </row>
    <row r="666" spans="1:14" x14ac:dyDescent="0.3">
      <c r="A666" t="s">
        <v>38</v>
      </c>
      <c r="B666">
        <v>80</v>
      </c>
      <c r="D666">
        <v>12</v>
      </c>
      <c r="E666">
        <v>12</v>
      </c>
      <c r="F666">
        <v>12</v>
      </c>
      <c r="G666">
        <v>12</v>
      </c>
      <c r="L666">
        <v>12</v>
      </c>
      <c r="N666">
        <v>12</v>
      </c>
    </row>
    <row r="667" spans="1:14" x14ac:dyDescent="0.3">
      <c r="A667" t="s">
        <v>39</v>
      </c>
      <c r="B667">
        <v>80</v>
      </c>
    </row>
    <row r="668" spans="1:14" x14ac:dyDescent="0.3">
      <c r="A668" t="s">
        <v>689</v>
      </c>
      <c r="B668">
        <v>80</v>
      </c>
    </row>
    <row r="669" spans="1:14" x14ac:dyDescent="0.3">
      <c r="A669" t="s">
        <v>40</v>
      </c>
      <c r="B669">
        <v>80</v>
      </c>
    </row>
    <row r="670" spans="1:14" x14ac:dyDescent="0.3">
      <c r="A670" t="s">
        <v>41</v>
      </c>
      <c r="B670">
        <v>80</v>
      </c>
    </row>
    <row r="671" spans="1:14" x14ac:dyDescent="0.3">
      <c r="A671" t="s">
        <v>42</v>
      </c>
      <c r="B671">
        <v>80</v>
      </c>
      <c r="D671">
        <v>45</v>
      </c>
      <c r="G671">
        <v>45</v>
      </c>
      <c r="L671">
        <v>45</v>
      </c>
    </row>
    <row r="672" spans="1:14" x14ac:dyDescent="0.3">
      <c r="A672" t="s">
        <v>45</v>
      </c>
      <c r="B672">
        <v>80</v>
      </c>
      <c r="D672">
        <v>2</v>
      </c>
      <c r="G672">
        <v>6</v>
      </c>
      <c r="L672">
        <v>8</v>
      </c>
    </row>
    <row r="673" spans="1:14" x14ac:dyDescent="0.3">
      <c r="A673" t="s">
        <v>46</v>
      </c>
      <c r="B673">
        <v>80</v>
      </c>
      <c r="F673">
        <v>6</v>
      </c>
    </row>
    <row r="674" spans="1:14" x14ac:dyDescent="0.3">
      <c r="A674" t="s">
        <v>49</v>
      </c>
      <c r="B674">
        <v>80</v>
      </c>
      <c r="D674">
        <v>4.5</v>
      </c>
      <c r="E674">
        <v>4</v>
      </c>
      <c r="F674">
        <v>4.5</v>
      </c>
      <c r="G674">
        <v>4.5</v>
      </c>
      <c r="L674">
        <v>4.5</v>
      </c>
      <c r="N674">
        <v>4</v>
      </c>
    </row>
    <row r="675" spans="1:14" x14ac:dyDescent="0.3">
      <c r="A675" t="s">
        <v>690</v>
      </c>
      <c r="B675">
        <v>80</v>
      </c>
      <c r="D675">
        <v>0</v>
      </c>
      <c r="E675">
        <v>0</v>
      </c>
      <c r="F675">
        <v>0</v>
      </c>
      <c r="G675">
        <v>0</v>
      </c>
      <c r="L675">
        <v>0</v>
      </c>
      <c r="N675">
        <v>0</v>
      </c>
    </row>
    <row r="676" spans="1:14" x14ac:dyDescent="0.3">
      <c r="A676" t="s">
        <v>48</v>
      </c>
      <c r="B676">
        <v>80</v>
      </c>
      <c r="D676">
        <v>1900</v>
      </c>
      <c r="E676">
        <v>1900</v>
      </c>
      <c r="F676">
        <v>1900</v>
      </c>
      <c r="G676">
        <v>1900</v>
      </c>
      <c r="L676">
        <v>1900</v>
      </c>
      <c r="N676">
        <v>1900</v>
      </c>
    </row>
    <row r="677" spans="1:14" x14ac:dyDescent="0.3">
      <c r="A677" t="s">
        <v>691</v>
      </c>
      <c r="B677">
        <v>80</v>
      </c>
      <c r="D677">
        <v>3518</v>
      </c>
      <c r="E677">
        <v>0</v>
      </c>
      <c r="F677">
        <v>1770</v>
      </c>
      <c r="G677">
        <v>3539</v>
      </c>
      <c r="L677">
        <v>1668</v>
      </c>
      <c r="N677">
        <v>0</v>
      </c>
    </row>
    <row r="678" spans="1:14" x14ac:dyDescent="0.3">
      <c r="A678" t="s">
        <v>50</v>
      </c>
      <c r="B678">
        <v>80</v>
      </c>
      <c r="D678">
        <v>3518</v>
      </c>
      <c r="E678">
        <v>0</v>
      </c>
      <c r="F678">
        <v>414</v>
      </c>
      <c r="G678">
        <v>3539</v>
      </c>
      <c r="L678">
        <v>1668</v>
      </c>
      <c r="N678">
        <v>0</v>
      </c>
    </row>
    <row r="679" spans="1:14" x14ac:dyDescent="0.3">
      <c r="A679" t="s">
        <v>692</v>
      </c>
      <c r="B679">
        <v>80</v>
      </c>
      <c r="D679">
        <v>1</v>
      </c>
      <c r="E679">
        <v>1</v>
      </c>
      <c r="F679">
        <v>1</v>
      </c>
      <c r="G679">
        <v>1</v>
      </c>
      <c r="L679">
        <v>1</v>
      </c>
      <c r="N679">
        <v>1</v>
      </c>
    </row>
    <row r="680" spans="1:14" x14ac:dyDescent="0.3">
      <c r="A680" t="s">
        <v>51</v>
      </c>
      <c r="B680">
        <v>80</v>
      </c>
      <c r="D680">
        <v>10</v>
      </c>
      <c r="E680">
        <v>0</v>
      </c>
      <c r="F680">
        <v>0</v>
      </c>
      <c r="G680">
        <v>0</v>
      </c>
      <c r="L680">
        <v>21</v>
      </c>
      <c r="N680">
        <v>0</v>
      </c>
    </row>
    <row r="681" spans="1:14" x14ac:dyDescent="0.3">
      <c r="A681" t="s">
        <v>53</v>
      </c>
      <c r="B681">
        <v>80</v>
      </c>
      <c r="D681">
        <v>1063</v>
      </c>
      <c r="E681">
        <v>42</v>
      </c>
      <c r="F681">
        <v>48</v>
      </c>
      <c r="G681">
        <v>712</v>
      </c>
      <c r="L681">
        <v>27</v>
      </c>
      <c r="N681">
        <v>52</v>
      </c>
    </row>
    <row r="682" spans="1:14" x14ac:dyDescent="0.3">
      <c r="A682" t="s">
        <v>54</v>
      </c>
      <c r="B682">
        <v>80</v>
      </c>
      <c r="D682">
        <v>0</v>
      </c>
      <c r="E682">
        <v>0</v>
      </c>
      <c r="F682">
        <v>0</v>
      </c>
      <c r="G682">
        <v>0</v>
      </c>
      <c r="L682">
        <v>0</v>
      </c>
      <c r="N682">
        <v>0</v>
      </c>
    </row>
    <row r="683" spans="1:14" x14ac:dyDescent="0.3">
      <c r="A683" t="s">
        <v>55</v>
      </c>
      <c r="B683">
        <v>80</v>
      </c>
      <c r="D683">
        <v>0</v>
      </c>
      <c r="E683">
        <v>0</v>
      </c>
      <c r="F683">
        <v>0</v>
      </c>
      <c r="G683">
        <v>0</v>
      </c>
      <c r="L683">
        <v>0</v>
      </c>
      <c r="N683">
        <v>0</v>
      </c>
    </row>
    <row r="684" spans="1:14" x14ac:dyDescent="0.3">
      <c r="A684" t="s">
        <v>56</v>
      </c>
      <c r="B684">
        <v>80</v>
      </c>
      <c r="D684">
        <v>0.92</v>
      </c>
      <c r="E684">
        <v>0.92</v>
      </c>
      <c r="F684">
        <v>0.92</v>
      </c>
      <c r="G684">
        <v>0.92</v>
      </c>
      <c r="L684">
        <v>0.92</v>
      </c>
      <c r="N684">
        <v>0.92</v>
      </c>
    </row>
    <row r="685" spans="1:14" x14ac:dyDescent="0.3">
      <c r="A685" t="s">
        <v>57</v>
      </c>
      <c r="B685">
        <v>80</v>
      </c>
      <c r="D685">
        <v>100</v>
      </c>
      <c r="E685">
        <v>100</v>
      </c>
      <c r="F685">
        <v>100</v>
      </c>
      <c r="G685">
        <v>100</v>
      </c>
      <c r="L685">
        <v>100</v>
      </c>
      <c r="N685">
        <v>100</v>
      </c>
    </row>
    <row r="686" spans="1:14" x14ac:dyDescent="0.3">
      <c r="A686" t="s">
        <v>58</v>
      </c>
      <c r="B686">
        <v>80</v>
      </c>
      <c r="D686">
        <v>2</v>
      </c>
      <c r="E686">
        <v>2</v>
      </c>
      <c r="F686">
        <v>2</v>
      </c>
      <c r="G686">
        <v>2</v>
      </c>
      <c r="L686">
        <v>2</v>
      </c>
      <c r="N686">
        <v>2</v>
      </c>
    </row>
    <row r="687" spans="1:14" x14ac:dyDescent="0.3">
      <c r="A687" t="s">
        <v>59</v>
      </c>
      <c r="B687">
        <v>80</v>
      </c>
      <c r="D687">
        <v>0</v>
      </c>
      <c r="E687">
        <v>0</v>
      </c>
      <c r="F687">
        <v>0</v>
      </c>
      <c r="G687">
        <v>0</v>
      </c>
      <c r="L687">
        <v>0</v>
      </c>
      <c r="N687">
        <v>0</v>
      </c>
    </row>
    <row r="688" spans="1:14" x14ac:dyDescent="0.3">
      <c r="A688" t="s">
        <v>693</v>
      </c>
      <c r="B688">
        <v>80</v>
      </c>
      <c r="D688">
        <v>0</v>
      </c>
      <c r="G688">
        <v>0</v>
      </c>
      <c r="L688">
        <v>0</v>
      </c>
    </row>
    <row r="689" spans="1:14" x14ac:dyDescent="0.3">
      <c r="A689" t="s">
        <v>674</v>
      </c>
      <c r="B689">
        <v>80</v>
      </c>
      <c r="D689">
        <v>2660</v>
      </c>
      <c r="G689">
        <v>2660</v>
      </c>
      <c r="L689">
        <v>284</v>
      </c>
    </row>
    <row r="690" spans="1:14" x14ac:dyDescent="0.3">
      <c r="A690" t="s">
        <v>78</v>
      </c>
      <c r="B690">
        <v>80</v>
      </c>
      <c r="D690">
        <v>40.299999999999997</v>
      </c>
      <c r="G690">
        <v>40.299999999999997</v>
      </c>
      <c r="L690">
        <v>4.3</v>
      </c>
    </row>
    <row r="691" spans="1:14" x14ac:dyDescent="0.3">
      <c r="A691" t="s">
        <v>694</v>
      </c>
      <c r="B691">
        <v>80</v>
      </c>
      <c r="E691">
        <v>0</v>
      </c>
      <c r="G691">
        <v>0</v>
      </c>
      <c r="N691">
        <v>0</v>
      </c>
    </row>
    <row r="692" spans="1:14" x14ac:dyDescent="0.3">
      <c r="A692" t="s">
        <v>695</v>
      </c>
      <c r="B692">
        <v>80</v>
      </c>
      <c r="D692">
        <v>0</v>
      </c>
      <c r="E692">
        <v>1</v>
      </c>
      <c r="F692">
        <v>0</v>
      </c>
      <c r="G692">
        <v>0</v>
      </c>
      <c r="L692">
        <v>0</v>
      </c>
      <c r="N692">
        <v>1</v>
      </c>
    </row>
    <row r="693" spans="1:14" x14ac:dyDescent="0.3">
      <c r="A693" t="s">
        <v>696</v>
      </c>
      <c r="B693">
        <v>80</v>
      </c>
      <c r="D693">
        <v>0</v>
      </c>
      <c r="E693">
        <v>0</v>
      </c>
      <c r="F693">
        <v>0</v>
      </c>
      <c r="G693">
        <v>0</v>
      </c>
      <c r="L693">
        <v>0</v>
      </c>
      <c r="N693">
        <v>0</v>
      </c>
    </row>
    <row r="694" spans="1:14" x14ac:dyDescent="0.3">
      <c r="A694" t="s">
        <v>52</v>
      </c>
      <c r="B694">
        <v>80</v>
      </c>
      <c r="D694">
        <v>1</v>
      </c>
      <c r="E694">
        <v>1</v>
      </c>
      <c r="F694">
        <v>1</v>
      </c>
      <c r="G694">
        <v>1</v>
      </c>
      <c r="L694">
        <v>1</v>
      </c>
      <c r="N694">
        <v>1</v>
      </c>
    </row>
    <row r="695" spans="1:14" x14ac:dyDescent="0.3">
      <c r="A695" t="s">
        <v>697</v>
      </c>
      <c r="B695">
        <v>80</v>
      </c>
      <c r="D695">
        <v>60</v>
      </c>
      <c r="E695">
        <v>9</v>
      </c>
      <c r="F695">
        <v>15</v>
      </c>
      <c r="G695">
        <v>60</v>
      </c>
      <c r="L695">
        <v>15</v>
      </c>
      <c r="N695">
        <v>9</v>
      </c>
    </row>
    <row r="696" spans="1:14" x14ac:dyDescent="0.3">
      <c r="A696" t="s">
        <v>43</v>
      </c>
      <c r="B696">
        <v>80</v>
      </c>
      <c r="D696">
        <v>100</v>
      </c>
      <c r="F696">
        <v>20</v>
      </c>
      <c r="G696">
        <v>100</v>
      </c>
      <c r="L696">
        <v>20</v>
      </c>
    </row>
    <row r="697" spans="1:14" x14ac:dyDescent="0.3">
      <c r="A697" t="s">
        <v>44</v>
      </c>
      <c r="B697">
        <v>80</v>
      </c>
      <c r="D697">
        <v>0</v>
      </c>
      <c r="F697">
        <v>0</v>
      </c>
      <c r="G697">
        <v>0</v>
      </c>
      <c r="L697">
        <v>0</v>
      </c>
    </row>
    <row r="698" spans="1:14" x14ac:dyDescent="0.3">
      <c r="A698" t="s">
        <v>47</v>
      </c>
      <c r="B698">
        <v>80</v>
      </c>
      <c r="D698">
        <v>2</v>
      </c>
      <c r="F698">
        <v>6</v>
      </c>
      <c r="G698">
        <v>6</v>
      </c>
      <c r="L698">
        <v>8</v>
      </c>
    </row>
    <row r="699" spans="1:14" x14ac:dyDescent="0.3">
      <c r="A699" t="s">
        <v>698</v>
      </c>
      <c r="B699">
        <v>80</v>
      </c>
      <c r="D699">
        <v>0</v>
      </c>
      <c r="F699">
        <v>0</v>
      </c>
      <c r="G699">
        <v>0</v>
      </c>
      <c r="L699">
        <v>0</v>
      </c>
    </row>
    <row r="700" spans="1:14" x14ac:dyDescent="0.3">
      <c r="A700" t="s">
        <v>699</v>
      </c>
      <c r="B700">
        <v>80</v>
      </c>
      <c r="D700">
        <v>0</v>
      </c>
      <c r="F700">
        <v>0</v>
      </c>
      <c r="G700">
        <v>0</v>
      </c>
      <c r="L700">
        <v>0</v>
      </c>
    </row>
    <row r="701" spans="1:14" x14ac:dyDescent="0.3">
      <c r="A701" t="s">
        <v>700</v>
      </c>
      <c r="B701">
        <v>80</v>
      </c>
      <c r="D701">
        <v>0</v>
      </c>
      <c r="F701">
        <v>0</v>
      </c>
      <c r="G701">
        <v>0</v>
      </c>
      <c r="L701">
        <v>0</v>
      </c>
    </row>
    <row r="702" spans="1:14" x14ac:dyDescent="0.3">
      <c r="A702" t="s">
        <v>701</v>
      </c>
      <c r="B702">
        <v>80</v>
      </c>
      <c r="D702">
        <v>0</v>
      </c>
      <c r="F702">
        <v>0</v>
      </c>
      <c r="G702">
        <v>0</v>
      </c>
      <c r="L702">
        <v>0</v>
      </c>
    </row>
    <row r="703" spans="1:14" x14ac:dyDescent="0.3">
      <c r="A703" t="s">
        <v>702</v>
      </c>
      <c r="B703">
        <v>80</v>
      </c>
      <c r="D703">
        <v>2</v>
      </c>
      <c r="F703">
        <v>1</v>
      </c>
      <c r="G703">
        <v>2</v>
      </c>
      <c r="L703">
        <v>1</v>
      </c>
    </row>
    <row r="704" spans="1:14" x14ac:dyDescent="0.3">
      <c r="A704" t="s">
        <v>703</v>
      </c>
      <c r="B704">
        <v>80</v>
      </c>
      <c r="D704">
        <v>0</v>
      </c>
      <c r="F704">
        <v>0</v>
      </c>
      <c r="G704">
        <v>0</v>
      </c>
      <c r="L704">
        <v>0</v>
      </c>
    </row>
    <row r="705" spans="1:14" x14ac:dyDescent="0.3">
      <c r="A705" t="s">
        <v>704</v>
      </c>
      <c r="B705">
        <v>80</v>
      </c>
      <c r="D705">
        <v>6</v>
      </c>
      <c r="F705">
        <v>20</v>
      </c>
      <c r="G705">
        <v>6</v>
      </c>
      <c r="L705">
        <v>20</v>
      </c>
    </row>
    <row r="706" spans="1:14" x14ac:dyDescent="0.3">
      <c r="A706" t="s">
        <v>705</v>
      </c>
      <c r="B706">
        <v>80</v>
      </c>
      <c r="D706">
        <v>3</v>
      </c>
      <c r="F706">
        <v>3</v>
      </c>
      <c r="G706">
        <v>3</v>
      </c>
      <c r="L706">
        <v>3</v>
      </c>
    </row>
    <row r="707" spans="1:14" x14ac:dyDescent="0.3">
      <c r="A707" t="s">
        <v>706</v>
      </c>
      <c r="B707">
        <v>80</v>
      </c>
      <c r="D707">
        <v>0</v>
      </c>
      <c r="F707">
        <v>0</v>
      </c>
      <c r="G707">
        <v>0</v>
      </c>
      <c r="L707">
        <v>0</v>
      </c>
    </row>
    <row r="708" spans="1:14" x14ac:dyDescent="0.3">
      <c r="A708" t="s">
        <v>707</v>
      </c>
      <c r="B708">
        <v>80</v>
      </c>
      <c r="D708">
        <v>0</v>
      </c>
      <c r="F708">
        <v>0</v>
      </c>
      <c r="G708">
        <v>0</v>
      </c>
      <c r="L708">
        <v>0</v>
      </c>
    </row>
    <row r="709" spans="1:14" x14ac:dyDescent="0.3">
      <c r="A709" t="s">
        <v>708</v>
      </c>
      <c r="B709">
        <v>80</v>
      </c>
      <c r="D709">
        <v>0</v>
      </c>
      <c r="F709">
        <v>0</v>
      </c>
      <c r="G709">
        <v>0</v>
      </c>
      <c r="L709">
        <v>0</v>
      </c>
    </row>
    <row r="710" spans="1:14" x14ac:dyDescent="0.3">
      <c r="A710" t="s">
        <v>709</v>
      </c>
      <c r="B710">
        <v>80</v>
      </c>
      <c r="D710">
        <v>94</v>
      </c>
      <c r="G710">
        <v>94</v>
      </c>
    </row>
    <row r="711" spans="1:14" x14ac:dyDescent="0.3">
      <c r="A711" t="s">
        <v>710</v>
      </c>
      <c r="B711">
        <v>80</v>
      </c>
      <c r="D711">
        <v>6</v>
      </c>
      <c r="G711">
        <v>6</v>
      </c>
    </row>
    <row r="712" spans="1:14" x14ac:dyDescent="0.3">
      <c r="A712" t="s">
        <v>711</v>
      </c>
      <c r="B712">
        <v>80</v>
      </c>
      <c r="D712">
        <v>3</v>
      </c>
      <c r="G712">
        <v>3</v>
      </c>
    </row>
    <row r="713" spans="1:14" x14ac:dyDescent="0.3">
      <c r="A713" t="s">
        <v>712</v>
      </c>
      <c r="B713">
        <v>80</v>
      </c>
      <c r="D713">
        <v>0</v>
      </c>
      <c r="G713">
        <v>0</v>
      </c>
    </row>
    <row r="714" spans="1:14" x14ac:dyDescent="0.3">
      <c r="A714" t="s">
        <v>713</v>
      </c>
      <c r="B714">
        <v>80</v>
      </c>
      <c r="D714">
        <v>0</v>
      </c>
      <c r="G714">
        <v>0</v>
      </c>
      <c r="L714">
        <v>0</v>
      </c>
    </row>
    <row r="715" spans="1:14" x14ac:dyDescent="0.3">
      <c r="A715" t="s">
        <v>405</v>
      </c>
      <c r="B715">
        <v>80</v>
      </c>
      <c r="D715">
        <v>0</v>
      </c>
    </row>
    <row r="716" spans="1:14" x14ac:dyDescent="0.3">
      <c r="A716" t="s">
        <v>714</v>
      </c>
      <c r="B716">
        <v>80</v>
      </c>
      <c r="D716">
        <v>1201</v>
      </c>
      <c r="E716">
        <v>0</v>
      </c>
      <c r="F716">
        <v>52</v>
      </c>
      <c r="G716">
        <v>774</v>
      </c>
      <c r="L716">
        <v>86</v>
      </c>
      <c r="N716">
        <v>0</v>
      </c>
    </row>
    <row r="717" spans="1:14" x14ac:dyDescent="0.3">
      <c r="A717" t="s">
        <v>34</v>
      </c>
      <c r="B717">
        <v>82</v>
      </c>
      <c r="D717">
        <v>84</v>
      </c>
      <c r="E717">
        <v>84</v>
      </c>
      <c r="F717">
        <v>80</v>
      </c>
      <c r="G717">
        <v>80</v>
      </c>
      <c r="L717">
        <v>83</v>
      </c>
      <c r="N717">
        <v>83</v>
      </c>
    </row>
    <row r="718" spans="1:14" x14ac:dyDescent="0.3">
      <c r="A718" t="s">
        <v>35</v>
      </c>
      <c r="B718">
        <v>82</v>
      </c>
      <c r="D718">
        <v>80</v>
      </c>
      <c r="E718">
        <v>83</v>
      </c>
      <c r="F718">
        <v>83</v>
      </c>
      <c r="G718">
        <v>84</v>
      </c>
      <c r="L718">
        <v>84</v>
      </c>
      <c r="N718">
        <v>80</v>
      </c>
    </row>
    <row r="719" spans="1:14" x14ac:dyDescent="0.3">
      <c r="A719" t="s">
        <v>36</v>
      </c>
      <c r="B719">
        <v>82</v>
      </c>
      <c r="D719">
        <v>2</v>
      </c>
      <c r="E719">
        <v>0</v>
      </c>
      <c r="F719">
        <v>1</v>
      </c>
      <c r="G719">
        <v>2</v>
      </c>
      <c r="L719">
        <v>1</v>
      </c>
      <c r="N719">
        <v>0</v>
      </c>
    </row>
    <row r="720" spans="1:14" x14ac:dyDescent="0.3">
      <c r="A720" t="s">
        <v>37</v>
      </c>
      <c r="B720">
        <v>82</v>
      </c>
      <c r="D720">
        <v>2</v>
      </c>
      <c r="F720">
        <v>0</v>
      </c>
      <c r="G720">
        <v>0</v>
      </c>
      <c r="L720">
        <v>2</v>
      </c>
    </row>
    <row r="721" spans="1:14" x14ac:dyDescent="0.3">
      <c r="A721" t="s">
        <v>38</v>
      </c>
      <c r="B721">
        <v>82</v>
      </c>
      <c r="D721">
        <v>12</v>
      </c>
      <c r="E721">
        <v>12</v>
      </c>
      <c r="F721">
        <v>12</v>
      </c>
      <c r="G721">
        <v>12</v>
      </c>
      <c r="L721">
        <v>12</v>
      </c>
      <c r="N721">
        <v>12</v>
      </c>
    </row>
    <row r="722" spans="1:14" x14ac:dyDescent="0.3">
      <c r="A722" t="s">
        <v>39</v>
      </c>
      <c r="B722">
        <v>82</v>
      </c>
    </row>
    <row r="723" spans="1:14" x14ac:dyDescent="0.3">
      <c r="A723" t="s">
        <v>689</v>
      </c>
      <c r="B723">
        <v>82</v>
      </c>
    </row>
    <row r="724" spans="1:14" x14ac:dyDescent="0.3">
      <c r="A724" t="s">
        <v>40</v>
      </c>
      <c r="B724">
        <v>82</v>
      </c>
    </row>
    <row r="725" spans="1:14" x14ac:dyDescent="0.3">
      <c r="A725" t="s">
        <v>41</v>
      </c>
      <c r="B725">
        <v>82</v>
      </c>
    </row>
    <row r="726" spans="1:14" x14ac:dyDescent="0.3">
      <c r="A726" t="s">
        <v>42</v>
      </c>
      <c r="B726">
        <v>82</v>
      </c>
      <c r="D726">
        <v>45</v>
      </c>
      <c r="G726">
        <v>45</v>
      </c>
      <c r="L726">
        <v>45</v>
      </c>
    </row>
    <row r="727" spans="1:14" x14ac:dyDescent="0.3">
      <c r="A727" t="s">
        <v>45</v>
      </c>
      <c r="B727">
        <v>82</v>
      </c>
      <c r="D727">
        <v>2</v>
      </c>
      <c r="F727">
        <v>1</v>
      </c>
      <c r="G727">
        <v>6</v>
      </c>
      <c r="L727">
        <v>4</v>
      </c>
    </row>
    <row r="728" spans="1:14" x14ac:dyDescent="0.3">
      <c r="A728" t="s">
        <v>49</v>
      </c>
      <c r="B728">
        <v>82</v>
      </c>
      <c r="D728">
        <v>5.3</v>
      </c>
      <c r="E728">
        <v>4</v>
      </c>
      <c r="F728">
        <v>4</v>
      </c>
      <c r="G728">
        <v>5.3</v>
      </c>
      <c r="L728">
        <v>5.2</v>
      </c>
      <c r="N728">
        <v>4</v>
      </c>
    </row>
    <row r="729" spans="1:14" x14ac:dyDescent="0.3">
      <c r="A729" t="s">
        <v>690</v>
      </c>
      <c r="B729">
        <v>82</v>
      </c>
      <c r="D729">
        <v>0</v>
      </c>
      <c r="E729">
        <v>0</v>
      </c>
      <c r="F729">
        <v>0</v>
      </c>
      <c r="G729">
        <v>0</v>
      </c>
      <c r="L729">
        <v>0</v>
      </c>
      <c r="N729">
        <v>0</v>
      </c>
    </row>
    <row r="730" spans="1:14" x14ac:dyDescent="0.3">
      <c r="A730" t="s">
        <v>48</v>
      </c>
      <c r="B730">
        <v>82</v>
      </c>
      <c r="D730">
        <v>1900</v>
      </c>
      <c r="E730">
        <v>1900</v>
      </c>
      <c r="F730">
        <v>1900</v>
      </c>
      <c r="G730">
        <v>1900</v>
      </c>
      <c r="L730">
        <v>1900</v>
      </c>
      <c r="N730">
        <v>1900</v>
      </c>
    </row>
    <row r="731" spans="1:14" x14ac:dyDescent="0.3">
      <c r="A731" t="s">
        <v>691</v>
      </c>
      <c r="B731">
        <v>82</v>
      </c>
      <c r="D731">
        <v>3518</v>
      </c>
      <c r="E731">
        <v>0</v>
      </c>
      <c r="F731">
        <v>1770</v>
      </c>
      <c r="G731">
        <v>3539</v>
      </c>
      <c r="L731">
        <v>1670</v>
      </c>
      <c r="N731">
        <v>0</v>
      </c>
    </row>
    <row r="732" spans="1:14" x14ac:dyDescent="0.3">
      <c r="A732" t="s">
        <v>50</v>
      </c>
      <c r="B732">
        <v>82</v>
      </c>
      <c r="D732">
        <v>3518</v>
      </c>
      <c r="E732">
        <v>0</v>
      </c>
      <c r="F732">
        <v>1770</v>
      </c>
      <c r="G732">
        <v>3539</v>
      </c>
      <c r="L732">
        <v>1670</v>
      </c>
      <c r="N732">
        <v>0</v>
      </c>
    </row>
    <row r="733" spans="1:14" x14ac:dyDescent="0.3">
      <c r="A733" t="s">
        <v>692</v>
      </c>
      <c r="B733">
        <v>82</v>
      </c>
      <c r="D733">
        <v>1</v>
      </c>
      <c r="E733">
        <v>1</v>
      </c>
      <c r="F733">
        <v>1</v>
      </c>
      <c r="G733">
        <v>1</v>
      </c>
      <c r="L733">
        <v>1</v>
      </c>
      <c r="N733">
        <v>1</v>
      </c>
    </row>
    <row r="734" spans="1:14" x14ac:dyDescent="0.3">
      <c r="A734" t="s">
        <v>51</v>
      </c>
      <c r="B734">
        <v>82</v>
      </c>
      <c r="D734">
        <v>5</v>
      </c>
      <c r="E734">
        <v>0</v>
      </c>
      <c r="F734">
        <v>0</v>
      </c>
      <c r="G734">
        <v>0</v>
      </c>
      <c r="L734">
        <v>97</v>
      </c>
      <c r="N734">
        <v>0</v>
      </c>
    </row>
    <row r="735" spans="1:14" x14ac:dyDescent="0.3">
      <c r="A735" t="s">
        <v>53</v>
      </c>
      <c r="B735">
        <v>82</v>
      </c>
      <c r="D735">
        <v>1402</v>
      </c>
      <c r="E735">
        <v>56</v>
      </c>
      <c r="F735">
        <v>72</v>
      </c>
      <c r="G735">
        <v>1074</v>
      </c>
      <c r="L735">
        <v>102</v>
      </c>
      <c r="N735">
        <v>193</v>
      </c>
    </row>
    <row r="736" spans="1:14" x14ac:dyDescent="0.3">
      <c r="A736" t="s">
        <v>54</v>
      </c>
      <c r="B736">
        <v>82</v>
      </c>
      <c r="D736">
        <v>0</v>
      </c>
      <c r="E736">
        <v>0</v>
      </c>
      <c r="F736">
        <v>0</v>
      </c>
      <c r="G736">
        <v>0</v>
      </c>
      <c r="L736">
        <v>0</v>
      </c>
      <c r="N736">
        <v>0</v>
      </c>
    </row>
    <row r="737" spans="1:14" x14ac:dyDescent="0.3">
      <c r="A737" t="s">
        <v>55</v>
      </c>
      <c r="B737">
        <v>82</v>
      </c>
      <c r="D737">
        <v>0</v>
      </c>
      <c r="E737">
        <v>0</v>
      </c>
      <c r="F737">
        <v>0</v>
      </c>
      <c r="G737">
        <v>0</v>
      </c>
      <c r="L737">
        <v>0</v>
      </c>
      <c r="N737">
        <v>0</v>
      </c>
    </row>
    <row r="738" spans="1:14" x14ac:dyDescent="0.3">
      <c r="A738" t="s">
        <v>56</v>
      </c>
      <c r="B738">
        <v>82</v>
      </c>
      <c r="D738">
        <v>0.92</v>
      </c>
      <c r="E738">
        <v>0.92</v>
      </c>
      <c r="F738">
        <v>0.92</v>
      </c>
      <c r="G738">
        <v>0.92</v>
      </c>
      <c r="L738">
        <v>0.92</v>
      </c>
      <c r="N738">
        <v>0.92</v>
      </c>
    </row>
    <row r="739" spans="1:14" x14ac:dyDescent="0.3">
      <c r="A739" t="s">
        <v>57</v>
      </c>
      <c r="B739">
        <v>82</v>
      </c>
      <c r="D739">
        <v>100</v>
      </c>
      <c r="E739">
        <v>100</v>
      </c>
      <c r="F739">
        <v>100</v>
      </c>
      <c r="G739">
        <v>100</v>
      </c>
      <c r="L739">
        <v>100</v>
      </c>
      <c r="N739">
        <v>100</v>
      </c>
    </row>
    <row r="740" spans="1:14" x14ac:dyDescent="0.3">
      <c r="A740" t="s">
        <v>58</v>
      </c>
      <c r="B740">
        <v>82</v>
      </c>
      <c r="D740">
        <v>2</v>
      </c>
      <c r="E740">
        <v>2</v>
      </c>
      <c r="F740">
        <v>2</v>
      </c>
      <c r="G740">
        <v>2</v>
      </c>
      <c r="L740">
        <v>2</v>
      </c>
      <c r="N740">
        <v>2</v>
      </c>
    </row>
    <row r="741" spans="1:14" x14ac:dyDescent="0.3">
      <c r="A741" t="s">
        <v>59</v>
      </c>
      <c r="B741">
        <v>82</v>
      </c>
      <c r="D741">
        <v>0</v>
      </c>
      <c r="E741">
        <v>0</v>
      </c>
      <c r="F741">
        <v>0</v>
      </c>
      <c r="G741">
        <v>0</v>
      </c>
      <c r="L741">
        <v>0</v>
      </c>
      <c r="N741">
        <v>0</v>
      </c>
    </row>
    <row r="742" spans="1:14" x14ac:dyDescent="0.3">
      <c r="A742" t="s">
        <v>693</v>
      </c>
      <c r="B742">
        <v>82</v>
      </c>
      <c r="D742">
        <v>0</v>
      </c>
      <c r="G742">
        <v>0</v>
      </c>
      <c r="L742">
        <v>0</v>
      </c>
    </row>
    <row r="743" spans="1:14" x14ac:dyDescent="0.3">
      <c r="A743" t="s">
        <v>674</v>
      </c>
      <c r="B743">
        <v>82</v>
      </c>
      <c r="D743">
        <v>5296</v>
      </c>
      <c r="G743">
        <v>2660</v>
      </c>
      <c r="L743">
        <v>377</v>
      </c>
    </row>
    <row r="744" spans="1:14" x14ac:dyDescent="0.3">
      <c r="A744" t="s">
        <v>78</v>
      </c>
      <c r="B744">
        <v>82</v>
      </c>
      <c r="D744">
        <v>80.2</v>
      </c>
      <c r="G744">
        <v>40.299999999999997</v>
      </c>
      <c r="L744">
        <v>5.7</v>
      </c>
    </row>
    <row r="745" spans="1:14" x14ac:dyDescent="0.3">
      <c r="A745" t="s">
        <v>694</v>
      </c>
      <c r="B745">
        <v>82</v>
      </c>
      <c r="E745">
        <v>0</v>
      </c>
      <c r="G745">
        <v>0</v>
      </c>
      <c r="N745">
        <v>0</v>
      </c>
    </row>
    <row r="746" spans="1:14" x14ac:dyDescent="0.3">
      <c r="A746" t="s">
        <v>695</v>
      </c>
      <c r="B746">
        <v>82</v>
      </c>
      <c r="D746">
        <v>0</v>
      </c>
      <c r="E746">
        <v>1</v>
      </c>
      <c r="F746">
        <v>0</v>
      </c>
      <c r="G746">
        <v>0</v>
      </c>
      <c r="L746">
        <v>0</v>
      </c>
      <c r="N746">
        <v>1</v>
      </c>
    </row>
    <row r="747" spans="1:14" x14ac:dyDescent="0.3">
      <c r="A747" t="s">
        <v>696</v>
      </c>
      <c r="B747">
        <v>82</v>
      </c>
      <c r="D747">
        <v>0</v>
      </c>
      <c r="E747">
        <v>0</v>
      </c>
      <c r="F747">
        <v>0</v>
      </c>
      <c r="G747">
        <v>0</v>
      </c>
      <c r="L747">
        <v>0</v>
      </c>
      <c r="N747">
        <v>0</v>
      </c>
    </row>
    <row r="748" spans="1:14" x14ac:dyDescent="0.3">
      <c r="A748" t="s">
        <v>52</v>
      </c>
      <c r="B748">
        <v>82</v>
      </c>
      <c r="D748">
        <v>1</v>
      </c>
      <c r="E748">
        <v>1</v>
      </c>
      <c r="F748">
        <v>1</v>
      </c>
      <c r="G748">
        <v>1</v>
      </c>
      <c r="L748">
        <v>1</v>
      </c>
      <c r="N748">
        <v>1</v>
      </c>
    </row>
    <row r="749" spans="1:14" x14ac:dyDescent="0.3">
      <c r="A749" t="s">
        <v>697</v>
      </c>
      <c r="B749">
        <v>82</v>
      </c>
      <c r="D749">
        <v>60</v>
      </c>
      <c r="E749">
        <v>9</v>
      </c>
      <c r="F749">
        <v>15</v>
      </c>
      <c r="G749">
        <v>60</v>
      </c>
      <c r="L749">
        <v>15</v>
      </c>
      <c r="N749">
        <v>9</v>
      </c>
    </row>
    <row r="750" spans="1:14" x14ac:dyDescent="0.3">
      <c r="A750" t="s">
        <v>43</v>
      </c>
      <c r="B750">
        <v>82</v>
      </c>
      <c r="D750">
        <v>100</v>
      </c>
      <c r="F750">
        <v>20</v>
      </c>
      <c r="G750">
        <v>100</v>
      </c>
      <c r="L750">
        <v>20</v>
      </c>
    </row>
    <row r="751" spans="1:14" x14ac:dyDescent="0.3">
      <c r="A751" t="s">
        <v>44</v>
      </c>
      <c r="B751">
        <v>82</v>
      </c>
      <c r="D751">
        <v>0</v>
      </c>
      <c r="F751">
        <v>0</v>
      </c>
      <c r="G751">
        <v>0</v>
      </c>
      <c r="L751">
        <v>0</v>
      </c>
    </row>
    <row r="752" spans="1:14" x14ac:dyDescent="0.3">
      <c r="A752" t="s">
        <v>47</v>
      </c>
      <c r="B752">
        <v>82</v>
      </c>
      <c r="D752">
        <v>2</v>
      </c>
      <c r="F752">
        <v>1</v>
      </c>
      <c r="G752">
        <v>6</v>
      </c>
      <c r="L752">
        <v>4</v>
      </c>
    </row>
    <row r="753" spans="1:12" x14ac:dyDescent="0.3">
      <c r="A753" t="s">
        <v>698</v>
      </c>
      <c r="B753">
        <v>82</v>
      </c>
      <c r="D753">
        <v>0</v>
      </c>
      <c r="F753">
        <v>0</v>
      </c>
      <c r="G753">
        <v>0</v>
      </c>
      <c r="L753">
        <v>0</v>
      </c>
    </row>
    <row r="754" spans="1:12" x14ac:dyDescent="0.3">
      <c r="A754" t="s">
        <v>699</v>
      </c>
      <c r="B754">
        <v>82</v>
      </c>
      <c r="D754">
        <v>0</v>
      </c>
      <c r="F754">
        <v>0</v>
      </c>
      <c r="G754">
        <v>0</v>
      </c>
      <c r="L754">
        <v>0</v>
      </c>
    </row>
    <row r="755" spans="1:12" x14ac:dyDescent="0.3">
      <c r="A755" t="s">
        <v>700</v>
      </c>
      <c r="B755">
        <v>82</v>
      </c>
      <c r="D755">
        <v>0</v>
      </c>
      <c r="F755">
        <v>0</v>
      </c>
      <c r="G755">
        <v>0</v>
      </c>
      <c r="L755">
        <v>0</v>
      </c>
    </row>
    <row r="756" spans="1:12" x14ac:dyDescent="0.3">
      <c r="A756" t="s">
        <v>701</v>
      </c>
      <c r="B756">
        <v>82</v>
      </c>
      <c r="D756">
        <v>0</v>
      </c>
      <c r="F756">
        <v>0</v>
      </c>
      <c r="G756">
        <v>0</v>
      </c>
      <c r="L756">
        <v>0</v>
      </c>
    </row>
    <row r="757" spans="1:12" x14ac:dyDescent="0.3">
      <c r="A757" t="s">
        <v>702</v>
      </c>
      <c r="B757">
        <v>82</v>
      </c>
      <c r="D757">
        <v>2</v>
      </c>
      <c r="F757">
        <v>1</v>
      </c>
      <c r="G757">
        <v>2</v>
      </c>
      <c r="L757">
        <v>1</v>
      </c>
    </row>
    <row r="758" spans="1:12" x14ac:dyDescent="0.3">
      <c r="A758" t="s">
        <v>703</v>
      </c>
      <c r="B758">
        <v>82</v>
      </c>
      <c r="D758">
        <v>0</v>
      </c>
      <c r="F758">
        <v>0</v>
      </c>
      <c r="G758">
        <v>0</v>
      </c>
      <c r="L758">
        <v>0</v>
      </c>
    </row>
    <row r="759" spans="1:12" x14ac:dyDescent="0.3">
      <c r="A759" t="s">
        <v>704</v>
      </c>
      <c r="B759">
        <v>82</v>
      </c>
      <c r="D759">
        <v>6</v>
      </c>
      <c r="F759">
        <v>20</v>
      </c>
      <c r="G759">
        <v>6</v>
      </c>
      <c r="L759">
        <v>20</v>
      </c>
    </row>
    <row r="760" spans="1:12" x14ac:dyDescent="0.3">
      <c r="A760" t="s">
        <v>705</v>
      </c>
      <c r="B760">
        <v>82</v>
      </c>
      <c r="D760">
        <v>3</v>
      </c>
      <c r="F760">
        <v>3</v>
      </c>
      <c r="G760">
        <v>3</v>
      </c>
      <c r="L760">
        <v>3</v>
      </c>
    </row>
    <row r="761" spans="1:12" x14ac:dyDescent="0.3">
      <c r="A761" t="s">
        <v>706</v>
      </c>
      <c r="B761">
        <v>82</v>
      </c>
      <c r="D761">
        <v>0</v>
      </c>
      <c r="F761">
        <v>0</v>
      </c>
      <c r="G761">
        <v>0</v>
      </c>
      <c r="L761">
        <v>0</v>
      </c>
    </row>
    <row r="762" spans="1:12" x14ac:dyDescent="0.3">
      <c r="A762" t="s">
        <v>707</v>
      </c>
      <c r="B762">
        <v>82</v>
      </c>
      <c r="D762">
        <v>0</v>
      </c>
      <c r="F762">
        <v>0</v>
      </c>
      <c r="G762">
        <v>0</v>
      </c>
      <c r="L762">
        <v>0</v>
      </c>
    </row>
    <row r="763" spans="1:12" x14ac:dyDescent="0.3">
      <c r="A763" t="s">
        <v>708</v>
      </c>
      <c r="B763">
        <v>82</v>
      </c>
      <c r="D763">
        <v>0</v>
      </c>
      <c r="F763">
        <v>0</v>
      </c>
      <c r="G763">
        <v>0</v>
      </c>
      <c r="L763">
        <v>0</v>
      </c>
    </row>
    <row r="764" spans="1:12" x14ac:dyDescent="0.3">
      <c r="A764" t="s">
        <v>709</v>
      </c>
      <c r="B764">
        <v>82</v>
      </c>
      <c r="D764">
        <v>94</v>
      </c>
      <c r="G764">
        <v>94</v>
      </c>
    </row>
    <row r="765" spans="1:12" x14ac:dyDescent="0.3">
      <c r="A765" t="s">
        <v>710</v>
      </c>
      <c r="B765">
        <v>82</v>
      </c>
      <c r="D765">
        <v>6</v>
      </c>
      <c r="G765">
        <v>6</v>
      </c>
    </row>
    <row r="766" spans="1:12" x14ac:dyDescent="0.3">
      <c r="A766" t="s">
        <v>711</v>
      </c>
      <c r="B766">
        <v>82</v>
      </c>
      <c r="D766">
        <v>3</v>
      </c>
      <c r="G766">
        <v>3</v>
      </c>
    </row>
    <row r="767" spans="1:12" x14ac:dyDescent="0.3">
      <c r="A767" t="s">
        <v>712</v>
      </c>
      <c r="B767">
        <v>82</v>
      </c>
      <c r="D767">
        <v>0</v>
      </c>
      <c r="G767">
        <v>0</v>
      </c>
    </row>
    <row r="768" spans="1:12" x14ac:dyDescent="0.3">
      <c r="A768" t="s">
        <v>713</v>
      </c>
      <c r="B768">
        <v>82</v>
      </c>
      <c r="D768">
        <v>0</v>
      </c>
      <c r="G768">
        <v>0</v>
      </c>
      <c r="L768">
        <v>0</v>
      </c>
    </row>
    <row r="769" spans="1:14" x14ac:dyDescent="0.3">
      <c r="A769" t="s">
        <v>405</v>
      </c>
      <c r="B769">
        <v>82</v>
      </c>
      <c r="D769">
        <v>0</v>
      </c>
    </row>
    <row r="770" spans="1:14" x14ac:dyDescent="0.3">
      <c r="A770" t="s">
        <v>714</v>
      </c>
      <c r="B770">
        <v>82</v>
      </c>
      <c r="D770">
        <v>1585</v>
      </c>
      <c r="E770">
        <v>0</v>
      </c>
      <c r="F770">
        <v>78</v>
      </c>
      <c r="G770">
        <v>1167</v>
      </c>
      <c r="L770">
        <v>321</v>
      </c>
      <c r="N770">
        <v>0</v>
      </c>
    </row>
    <row r="771" spans="1:14" x14ac:dyDescent="0.3">
      <c r="A771" t="s">
        <v>34</v>
      </c>
      <c r="B771">
        <v>84</v>
      </c>
      <c r="C771">
        <v>98</v>
      </c>
      <c r="D771">
        <v>98</v>
      </c>
      <c r="E771">
        <v>98</v>
      </c>
      <c r="F771">
        <v>82</v>
      </c>
      <c r="G771">
        <v>82</v>
      </c>
      <c r="H771">
        <v>82</v>
      </c>
      <c r="I771">
        <v>85</v>
      </c>
      <c r="J771">
        <v>85</v>
      </c>
      <c r="K771">
        <v>85</v>
      </c>
      <c r="L771">
        <v>86</v>
      </c>
      <c r="M771">
        <v>86</v>
      </c>
      <c r="N771">
        <v>86</v>
      </c>
    </row>
    <row r="772" spans="1:14" x14ac:dyDescent="0.3">
      <c r="A772" t="s">
        <v>35</v>
      </c>
      <c r="B772">
        <v>84</v>
      </c>
      <c r="C772">
        <v>85</v>
      </c>
      <c r="D772">
        <v>82</v>
      </c>
      <c r="E772">
        <v>86</v>
      </c>
      <c r="F772">
        <v>86</v>
      </c>
      <c r="G772">
        <v>98</v>
      </c>
      <c r="H772">
        <v>85</v>
      </c>
      <c r="I772">
        <v>82</v>
      </c>
      <c r="J772">
        <v>86</v>
      </c>
      <c r="K772">
        <v>98</v>
      </c>
      <c r="L772">
        <v>98</v>
      </c>
      <c r="M772">
        <v>85</v>
      </c>
      <c r="N772">
        <v>82</v>
      </c>
    </row>
    <row r="773" spans="1:14" x14ac:dyDescent="0.3">
      <c r="A773" t="s">
        <v>36</v>
      </c>
      <c r="B773">
        <v>84</v>
      </c>
      <c r="C773">
        <v>1</v>
      </c>
      <c r="D773">
        <v>3</v>
      </c>
      <c r="E773">
        <v>0</v>
      </c>
      <c r="F773">
        <v>1</v>
      </c>
      <c r="G773">
        <v>3</v>
      </c>
      <c r="H773">
        <v>0</v>
      </c>
      <c r="I773">
        <v>0</v>
      </c>
      <c r="J773">
        <v>3</v>
      </c>
      <c r="K773">
        <v>0</v>
      </c>
      <c r="L773">
        <v>0</v>
      </c>
      <c r="M773">
        <v>2</v>
      </c>
      <c r="N773">
        <v>0</v>
      </c>
    </row>
    <row r="774" spans="1:14" x14ac:dyDescent="0.3">
      <c r="A774" t="s">
        <v>37</v>
      </c>
      <c r="B774">
        <v>84</v>
      </c>
      <c r="C774">
        <v>0</v>
      </c>
      <c r="D774">
        <v>2</v>
      </c>
      <c r="F774">
        <v>0</v>
      </c>
      <c r="G774">
        <v>2</v>
      </c>
      <c r="I774">
        <v>0</v>
      </c>
      <c r="J774">
        <v>3</v>
      </c>
      <c r="L774">
        <v>0</v>
      </c>
      <c r="M774">
        <v>1</v>
      </c>
    </row>
    <row r="775" spans="1:14" x14ac:dyDescent="0.3">
      <c r="A775" t="s">
        <v>38</v>
      </c>
      <c r="B775">
        <v>84</v>
      </c>
      <c r="C775">
        <v>12</v>
      </c>
      <c r="D775">
        <v>12</v>
      </c>
      <c r="E775">
        <v>12</v>
      </c>
      <c r="F775">
        <v>12</v>
      </c>
      <c r="G775">
        <v>12</v>
      </c>
      <c r="H775">
        <v>12</v>
      </c>
      <c r="I775">
        <v>12</v>
      </c>
      <c r="J775">
        <v>12</v>
      </c>
      <c r="K775">
        <v>12</v>
      </c>
      <c r="L775">
        <v>12</v>
      </c>
      <c r="M775">
        <v>12</v>
      </c>
      <c r="N775">
        <v>12</v>
      </c>
    </row>
    <row r="776" spans="1:14" x14ac:dyDescent="0.3">
      <c r="A776" t="s">
        <v>39</v>
      </c>
      <c r="B776">
        <v>84</v>
      </c>
    </row>
    <row r="777" spans="1:14" x14ac:dyDescent="0.3">
      <c r="A777" t="s">
        <v>689</v>
      </c>
      <c r="B777">
        <v>84</v>
      </c>
    </row>
    <row r="778" spans="1:14" x14ac:dyDescent="0.3">
      <c r="A778" t="s">
        <v>40</v>
      </c>
      <c r="B778">
        <v>84</v>
      </c>
    </row>
    <row r="779" spans="1:14" x14ac:dyDescent="0.3">
      <c r="A779" t="s">
        <v>41</v>
      </c>
      <c r="B779">
        <v>84</v>
      </c>
    </row>
    <row r="780" spans="1:14" x14ac:dyDescent="0.3">
      <c r="A780" t="s">
        <v>42</v>
      </c>
      <c r="B780">
        <v>84</v>
      </c>
      <c r="D780">
        <v>45</v>
      </c>
      <c r="G780">
        <v>45</v>
      </c>
      <c r="J780">
        <v>45</v>
      </c>
      <c r="M780">
        <v>45</v>
      </c>
    </row>
    <row r="781" spans="1:14" x14ac:dyDescent="0.3">
      <c r="A781" t="s">
        <v>45</v>
      </c>
      <c r="B781">
        <v>84</v>
      </c>
      <c r="C781">
        <v>5</v>
      </c>
      <c r="D781">
        <v>2</v>
      </c>
      <c r="F781">
        <v>1</v>
      </c>
      <c r="G781">
        <v>6</v>
      </c>
      <c r="J781">
        <v>8</v>
      </c>
      <c r="M781">
        <v>4</v>
      </c>
    </row>
    <row r="782" spans="1:14" x14ac:dyDescent="0.3">
      <c r="A782" t="s">
        <v>46</v>
      </c>
      <c r="B782">
        <v>84</v>
      </c>
      <c r="I782">
        <v>8</v>
      </c>
      <c r="L782">
        <v>4</v>
      </c>
    </row>
    <row r="783" spans="1:14" x14ac:dyDescent="0.3">
      <c r="A783" t="s">
        <v>49</v>
      </c>
      <c r="B783">
        <v>84</v>
      </c>
      <c r="C783">
        <v>4</v>
      </c>
      <c r="D783">
        <v>6</v>
      </c>
      <c r="E783">
        <v>4</v>
      </c>
      <c r="F783">
        <v>4</v>
      </c>
      <c r="G783">
        <v>6</v>
      </c>
      <c r="H783">
        <v>4</v>
      </c>
      <c r="I783">
        <v>5.9</v>
      </c>
      <c r="J783">
        <v>5.9</v>
      </c>
      <c r="K783">
        <v>4</v>
      </c>
      <c r="L783">
        <v>5.9</v>
      </c>
      <c r="M783">
        <v>5.9</v>
      </c>
      <c r="N783">
        <v>4</v>
      </c>
    </row>
    <row r="784" spans="1:14" x14ac:dyDescent="0.3">
      <c r="A784" t="s">
        <v>690</v>
      </c>
      <c r="B784">
        <v>84</v>
      </c>
      <c r="C784">
        <v>0</v>
      </c>
      <c r="D784">
        <v>0</v>
      </c>
      <c r="E784">
        <v>0</v>
      </c>
      <c r="F784">
        <v>0</v>
      </c>
      <c r="G784">
        <v>0</v>
      </c>
      <c r="H784">
        <v>0</v>
      </c>
      <c r="I784">
        <v>0</v>
      </c>
      <c r="J784">
        <v>0</v>
      </c>
      <c r="K784">
        <v>0</v>
      </c>
      <c r="L784">
        <v>0</v>
      </c>
      <c r="M784">
        <v>0</v>
      </c>
      <c r="N784">
        <v>0</v>
      </c>
    </row>
    <row r="785" spans="1:14" x14ac:dyDescent="0.3">
      <c r="A785" t="s">
        <v>48</v>
      </c>
      <c r="B785">
        <v>84</v>
      </c>
      <c r="C785">
        <v>1900</v>
      </c>
      <c r="D785">
        <v>1900</v>
      </c>
      <c r="E785">
        <v>1900</v>
      </c>
      <c r="F785">
        <v>1900</v>
      </c>
      <c r="G785">
        <v>1900</v>
      </c>
      <c r="H785">
        <v>1900</v>
      </c>
      <c r="I785">
        <v>1900</v>
      </c>
      <c r="J785">
        <v>1900</v>
      </c>
      <c r="K785">
        <v>1900</v>
      </c>
      <c r="L785">
        <v>1900</v>
      </c>
      <c r="M785">
        <v>1900</v>
      </c>
      <c r="N785">
        <v>1900</v>
      </c>
    </row>
    <row r="786" spans="1:14" x14ac:dyDescent="0.3">
      <c r="A786" t="s">
        <v>691</v>
      </c>
      <c r="B786">
        <v>84</v>
      </c>
      <c r="C786">
        <v>1770</v>
      </c>
      <c r="D786">
        <v>5055</v>
      </c>
      <c r="E786">
        <v>0</v>
      </c>
      <c r="F786">
        <v>1770</v>
      </c>
      <c r="G786">
        <v>5075</v>
      </c>
      <c r="H786">
        <v>0</v>
      </c>
      <c r="I786">
        <v>0</v>
      </c>
      <c r="J786">
        <v>4739</v>
      </c>
      <c r="K786">
        <v>0</v>
      </c>
      <c r="L786">
        <v>0</v>
      </c>
      <c r="M786">
        <v>3285</v>
      </c>
      <c r="N786">
        <v>0</v>
      </c>
    </row>
    <row r="787" spans="1:14" x14ac:dyDescent="0.3">
      <c r="A787" t="s">
        <v>50</v>
      </c>
      <c r="B787">
        <v>84</v>
      </c>
      <c r="C787">
        <v>1770</v>
      </c>
      <c r="D787">
        <v>5055</v>
      </c>
      <c r="E787">
        <v>0</v>
      </c>
      <c r="F787">
        <v>1770</v>
      </c>
      <c r="G787">
        <v>5075</v>
      </c>
      <c r="H787">
        <v>0</v>
      </c>
      <c r="I787">
        <v>0</v>
      </c>
      <c r="J787">
        <v>4189</v>
      </c>
      <c r="K787">
        <v>0</v>
      </c>
      <c r="L787">
        <v>0</v>
      </c>
      <c r="M787">
        <v>2752</v>
      </c>
      <c r="N787">
        <v>0</v>
      </c>
    </row>
    <row r="788" spans="1:14" x14ac:dyDescent="0.3">
      <c r="A788" t="s">
        <v>692</v>
      </c>
      <c r="B788">
        <v>84</v>
      </c>
      <c r="C788">
        <v>1</v>
      </c>
      <c r="D788">
        <v>1</v>
      </c>
      <c r="E788">
        <v>1</v>
      </c>
      <c r="F788">
        <v>1</v>
      </c>
      <c r="G788">
        <v>1</v>
      </c>
      <c r="H788">
        <v>1</v>
      </c>
      <c r="I788">
        <v>1</v>
      </c>
      <c r="J788">
        <v>1</v>
      </c>
      <c r="K788">
        <v>1</v>
      </c>
      <c r="L788">
        <v>1</v>
      </c>
      <c r="M788">
        <v>1</v>
      </c>
      <c r="N788">
        <v>1</v>
      </c>
    </row>
    <row r="789" spans="1:14" x14ac:dyDescent="0.3">
      <c r="A789" t="s">
        <v>51</v>
      </c>
      <c r="B789">
        <v>84</v>
      </c>
      <c r="C789">
        <v>0</v>
      </c>
      <c r="D789">
        <v>10</v>
      </c>
      <c r="E789">
        <v>0</v>
      </c>
      <c r="F789">
        <v>0</v>
      </c>
      <c r="G789">
        <v>3</v>
      </c>
      <c r="H789">
        <v>0</v>
      </c>
      <c r="I789">
        <v>0</v>
      </c>
      <c r="J789">
        <v>11</v>
      </c>
      <c r="K789">
        <v>0</v>
      </c>
      <c r="L789">
        <v>0</v>
      </c>
      <c r="M789">
        <v>25</v>
      </c>
      <c r="N789">
        <v>0</v>
      </c>
    </row>
    <row r="790" spans="1:14" x14ac:dyDescent="0.3">
      <c r="A790" t="s">
        <v>53</v>
      </c>
      <c r="B790">
        <v>84</v>
      </c>
      <c r="C790">
        <v>17</v>
      </c>
      <c r="D790">
        <v>745</v>
      </c>
      <c r="E790">
        <v>29</v>
      </c>
      <c r="F790">
        <v>23</v>
      </c>
      <c r="G790">
        <v>544</v>
      </c>
      <c r="H790">
        <v>6</v>
      </c>
      <c r="I790">
        <v>12</v>
      </c>
      <c r="J790">
        <v>8</v>
      </c>
      <c r="K790">
        <v>10</v>
      </c>
      <c r="L790">
        <v>41</v>
      </c>
      <c r="M790">
        <v>10</v>
      </c>
      <c r="N790">
        <v>23</v>
      </c>
    </row>
    <row r="791" spans="1:14" x14ac:dyDescent="0.3">
      <c r="A791" t="s">
        <v>54</v>
      </c>
      <c r="B791">
        <v>84</v>
      </c>
      <c r="C791">
        <v>0</v>
      </c>
      <c r="D791">
        <v>0</v>
      </c>
      <c r="E791">
        <v>0</v>
      </c>
      <c r="F791">
        <v>0</v>
      </c>
      <c r="G791">
        <v>0</v>
      </c>
      <c r="H791">
        <v>0</v>
      </c>
      <c r="I791">
        <v>0</v>
      </c>
      <c r="J791">
        <v>0</v>
      </c>
      <c r="K791">
        <v>0</v>
      </c>
      <c r="L791">
        <v>0</v>
      </c>
      <c r="M791">
        <v>0</v>
      </c>
      <c r="N791">
        <v>0</v>
      </c>
    </row>
    <row r="792" spans="1:14" x14ac:dyDescent="0.3">
      <c r="A792" t="s">
        <v>55</v>
      </c>
      <c r="B792">
        <v>84</v>
      </c>
      <c r="C792">
        <v>0</v>
      </c>
      <c r="D792">
        <v>0</v>
      </c>
      <c r="E792">
        <v>0</v>
      </c>
      <c r="F792">
        <v>0</v>
      </c>
      <c r="G792">
        <v>0</v>
      </c>
      <c r="H792">
        <v>0</v>
      </c>
      <c r="I792">
        <v>0</v>
      </c>
      <c r="J792">
        <v>0</v>
      </c>
      <c r="K792">
        <v>0</v>
      </c>
      <c r="L792">
        <v>0</v>
      </c>
      <c r="M792">
        <v>0</v>
      </c>
      <c r="N792">
        <v>0</v>
      </c>
    </row>
    <row r="793" spans="1:14" x14ac:dyDescent="0.3">
      <c r="A793" t="s">
        <v>56</v>
      </c>
      <c r="B793">
        <v>84</v>
      </c>
      <c r="C793">
        <v>0.92</v>
      </c>
      <c r="D793">
        <v>0.92</v>
      </c>
      <c r="E793">
        <v>0.92</v>
      </c>
      <c r="F793">
        <v>0.92</v>
      </c>
      <c r="G793">
        <v>0.92</v>
      </c>
      <c r="H793">
        <v>0.92</v>
      </c>
      <c r="I793">
        <v>0.92</v>
      </c>
      <c r="J793">
        <v>0.92</v>
      </c>
      <c r="K793">
        <v>0.92</v>
      </c>
      <c r="L793">
        <v>0.92</v>
      </c>
      <c r="M793">
        <v>0.92</v>
      </c>
      <c r="N793">
        <v>0.92</v>
      </c>
    </row>
    <row r="794" spans="1:14" x14ac:dyDescent="0.3">
      <c r="A794" t="s">
        <v>57</v>
      </c>
      <c r="B794">
        <v>84</v>
      </c>
      <c r="C794">
        <v>100</v>
      </c>
      <c r="D794">
        <v>100</v>
      </c>
      <c r="E794">
        <v>100</v>
      </c>
      <c r="F794">
        <v>100</v>
      </c>
      <c r="G794">
        <v>100</v>
      </c>
      <c r="H794">
        <v>100</v>
      </c>
      <c r="I794">
        <v>100</v>
      </c>
      <c r="J794">
        <v>100</v>
      </c>
      <c r="K794">
        <v>100</v>
      </c>
      <c r="L794">
        <v>100</v>
      </c>
      <c r="M794">
        <v>100</v>
      </c>
      <c r="N794">
        <v>100</v>
      </c>
    </row>
    <row r="795" spans="1:14" x14ac:dyDescent="0.3">
      <c r="A795" t="s">
        <v>58</v>
      </c>
      <c r="B795">
        <v>84</v>
      </c>
      <c r="C795">
        <v>2</v>
      </c>
      <c r="D795">
        <v>2</v>
      </c>
      <c r="E795">
        <v>2</v>
      </c>
      <c r="F795">
        <v>2</v>
      </c>
      <c r="G795">
        <v>2</v>
      </c>
      <c r="H795">
        <v>2</v>
      </c>
      <c r="I795">
        <v>2</v>
      </c>
      <c r="J795">
        <v>2</v>
      </c>
      <c r="K795">
        <v>2</v>
      </c>
      <c r="L795">
        <v>2</v>
      </c>
      <c r="M795">
        <v>2</v>
      </c>
      <c r="N795">
        <v>2</v>
      </c>
    </row>
    <row r="796" spans="1:14" x14ac:dyDescent="0.3">
      <c r="A796" t="s">
        <v>59</v>
      </c>
      <c r="B796">
        <v>84</v>
      </c>
      <c r="C796">
        <v>0</v>
      </c>
      <c r="D796">
        <v>0</v>
      </c>
      <c r="E796">
        <v>0</v>
      </c>
      <c r="F796">
        <v>0</v>
      </c>
      <c r="G796">
        <v>0</v>
      </c>
      <c r="H796">
        <v>0</v>
      </c>
      <c r="I796">
        <v>0</v>
      </c>
      <c r="J796">
        <v>0</v>
      </c>
      <c r="K796">
        <v>0</v>
      </c>
      <c r="L796">
        <v>0</v>
      </c>
      <c r="M796">
        <v>0</v>
      </c>
      <c r="N796">
        <v>0</v>
      </c>
    </row>
    <row r="797" spans="1:14" x14ac:dyDescent="0.3">
      <c r="A797" t="s">
        <v>693</v>
      </c>
      <c r="B797">
        <v>84</v>
      </c>
      <c r="D797">
        <v>0</v>
      </c>
      <c r="G797">
        <v>0</v>
      </c>
      <c r="J797">
        <v>0</v>
      </c>
      <c r="M797">
        <v>0</v>
      </c>
    </row>
    <row r="798" spans="1:14" x14ac:dyDescent="0.3">
      <c r="A798" t="s">
        <v>674</v>
      </c>
      <c r="B798">
        <v>84</v>
      </c>
      <c r="D798">
        <v>1314</v>
      </c>
      <c r="G798">
        <v>5296</v>
      </c>
      <c r="J798">
        <v>256</v>
      </c>
      <c r="M798">
        <v>347</v>
      </c>
    </row>
    <row r="799" spans="1:14" x14ac:dyDescent="0.3">
      <c r="A799" t="s">
        <v>78</v>
      </c>
      <c r="B799">
        <v>84</v>
      </c>
      <c r="D799">
        <v>19.899999999999999</v>
      </c>
      <c r="G799">
        <v>80.2</v>
      </c>
      <c r="J799">
        <v>3.9</v>
      </c>
      <c r="M799">
        <v>5.3</v>
      </c>
    </row>
    <row r="800" spans="1:14" x14ac:dyDescent="0.3">
      <c r="A800" t="s">
        <v>694</v>
      </c>
      <c r="B800">
        <v>84</v>
      </c>
      <c r="E800">
        <v>0</v>
      </c>
      <c r="H800">
        <v>0</v>
      </c>
      <c r="K800">
        <v>0</v>
      </c>
      <c r="N800">
        <v>0</v>
      </c>
    </row>
    <row r="801" spans="1:14" x14ac:dyDescent="0.3">
      <c r="A801" t="s">
        <v>695</v>
      </c>
      <c r="B801">
        <v>84</v>
      </c>
      <c r="C801">
        <v>0</v>
      </c>
      <c r="D801">
        <v>0</v>
      </c>
      <c r="E801">
        <v>1</v>
      </c>
      <c r="F801">
        <v>0</v>
      </c>
      <c r="G801">
        <v>0</v>
      </c>
      <c r="H801">
        <v>1</v>
      </c>
      <c r="I801">
        <v>0</v>
      </c>
      <c r="J801">
        <v>0</v>
      </c>
      <c r="K801">
        <v>1</v>
      </c>
      <c r="L801">
        <v>0</v>
      </c>
      <c r="M801">
        <v>0</v>
      </c>
      <c r="N801">
        <v>1</v>
      </c>
    </row>
    <row r="802" spans="1:14" x14ac:dyDescent="0.3">
      <c r="A802" t="s">
        <v>696</v>
      </c>
      <c r="B802">
        <v>84</v>
      </c>
      <c r="C802">
        <v>0</v>
      </c>
      <c r="D802">
        <v>0</v>
      </c>
      <c r="E802">
        <v>0</v>
      </c>
      <c r="F802">
        <v>0</v>
      </c>
      <c r="G802">
        <v>0</v>
      </c>
      <c r="H802">
        <v>0</v>
      </c>
      <c r="I802">
        <v>0</v>
      </c>
      <c r="J802">
        <v>0</v>
      </c>
      <c r="K802">
        <v>0</v>
      </c>
      <c r="L802">
        <v>0</v>
      </c>
      <c r="M802">
        <v>0</v>
      </c>
      <c r="N802">
        <v>0</v>
      </c>
    </row>
    <row r="803" spans="1:14" x14ac:dyDescent="0.3">
      <c r="A803" t="s">
        <v>52</v>
      </c>
      <c r="B803">
        <v>84</v>
      </c>
      <c r="C803">
        <v>1</v>
      </c>
      <c r="D803">
        <v>1</v>
      </c>
      <c r="E803">
        <v>1</v>
      </c>
      <c r="F803">
        <v>1</v>
      </c>
      <c r="G803">
        <v>1</v>
      </c>
      <c r="H803">
        <v>1</v>
      </c>
      <c r="I803">
        <v>1</v>
      </c>
      <c r="J803">
        <v>1</v>
      </c>
      <c r="K803">
        <v>1</v>
      </c>
      <c r="L803">
        <v>1</v>
      </c>
      <c r="M803">
        <v>1</v>
      </c>
      <c r="N803">
        <v>1</v>
      </c>
    </row>
    <row r="804" spans="1:14" x14ac:dyDescent="0.3">
      <c r="A804" t="s">
        <v>697</v>
      </c>
      <c r="B804">
        <v>84</v>
      </c>
      <c r="C804">
        <v>15</v>
      </c>
      <c r="D804">
        <v>60</v>
      </c>
      <c r="E804">
        <v>9</v>
      </c>
      <c r="F804">
        <v>15</v>
      </c>
      <c r="G804">
        <v>60</v>
      </c>
      <c r="H804">
        <v>9</v>
      </c>
      <c r="I804">
        <v>15</v>
      </c>
      <c r="J804">
        <v>60</v>
      </c>
      <c r="K804">
        <v>9</v>
      </c>
      <c r="L804">
        <v>15</v>
      </c>
      <c r="M804">
        <v>60</v>
      </c>
      <c r="N804">
        <v>9</v>
      </c>
    </row>
    <row r="805" spans="1:14" x14ac:dyDescent="0.3">
      <c r="A805" t="s">
        <v>43</v>
      </c>
      <c r="B805">
        <v>84</v>
      </c>
      <c r="C805">
        <v>20</v>
      </c>
      <c r="D805">
        <v>100</v>
      </c>
      <c r="F805">
        <v>20</v>
      </c>
      <c r="G805">
        <v>100</v>
      </c>
      <c r="I805">
        <v>20</v>
      </c>
      <c r="J805">
        <v>100</v>
      </c>
      <c r="L805">
        <v>20</v>
      </c>
      <c r="M805">
        <v>100</v>
      </c>
    </row>
    <row r="806" spans="1:14" x14ac:dyDescent="0.3">
      <c r="A806" t="s">
        <v>44</v>
      </c>
      <c r="B806">
        <v>84</v>
      </c>
      <c r="C806">
        <v>0</v>
      </c>
      <c r="D806">
        <v>0</v>
      </c>
      <c r="F806">
        <v>0</v>
      </c>
      <c r="G806">
        <v>0</v>
      </c>
      <c r="I806">
        <v>0</v>
      </c>
      <c r="J806">
        <v>0</v>
      </c>
      <c r="L806">
        <v>0</v>
      </c>
      <c r="M806">
        <v>0</v>
      </c>
    </row>
    <row r="807" spans="1:14" x14ac:dyDescent="0.3">
      <c r="A807" t="s">
        <v>47</v>
      </c>
      <c r="B807">
        <v>84</v>
      </c>
      <c r="C807">
        <v>5</v>
      </c>
      <c r="D807">
        <v>2</v>
      </c>
      <c r="F807">
        <v>1</v>
      </c>
      <c r="G807">
        <v>6</v>
      </c>
      <c r="I807">
        <v>8</v>
      </c>
      <c r="J807">
        <v>8</v>
      </c>
      <c r="L807">
        <v>4</v>
      </c>
      <c r="M807">
        <v>4</v>
      </c>
    </row>
    <row r="808" spans="1:14" x14ac:dyDescent="0.3">
      <c r="A808" t="s">
        <v>698</v>
      </c>
      <c r="B808">
        <v>84</v>
      </c>
      <c r="C808">
        <v>0</v>
      </c>
      <c r="D808">
        <v>0</v>
      </c>
      <c r="F808">
        <v>0</v>
      </c>
      <c r="G808">
        <v>0</v>
      </c>
      <c r="I808">
        <v>0</v>
      </c>
      <c r="J808">
        <v>0</v>
      </c>
      <c r="L808">
        <v>0</v>
      </c>
      <c r="M808">
        <v>0</v>
      </c>
    </row>
    <row r="809" spans="1:14" x14ac:dyDescent="0.3">
      <c r="A809" t="s">
        <v>699</v>
      </c>
      <c r="B809">
        <v>84</v>
      </c>
      <c r="C809">
        <v>0</v>
      </c>
      <c r="D809">
        <v>0</v>
      </c>
      <c r="F809">
        <v>0</v>
      </c>
      <c r="G809">
        <v>0</v>
      </c>
      <c r="I809">
        <v>0</v>
      </c>
      <c r="J809">
        <v>0</v>
      </c>
      <c r="L809">
        <v>0</v>
      </c>
      <c r="M809">
        <v>0</v>
      </c>
    </row>
    <row r="810" spans="1:14" x14ac:dyDescent="0.3">
      <c r="A810" t="s">
        <v>700</v>
      </c>
      <c r="B810">
        <v>84</v>
      </c>
      <c r="C810">
        <v>0</v>
      </c>
      <c r="D810">
        <v>0</v>
      </c>
      <c r="F810">
        <v>0</v>
      </c>
      <c r="G810">
        <v>0</v>
      </c>
      <c r="I810">
        <v>0</v>
      </c>
      <c r="J810">
        <v>0</v>
      </c>
      <c r="L810">
        <v>0</v>
      </c>
      <c r="M810">
        <v>0</v>
      </c>
    </row>
    <row r="811" spans="1:14" x14ac:dyDescent="0.3">
      <c r="A811" t="s">
        <v>701</v>
      </c>
      <c r="B811">
        <v>84</v>
      </c>
      <c r="C811">
        <v>0</v>
      </c>
      <c r="D811">
        <v>0</v>
      </c>
      <c r="F811">
        <v>0</v>
      </c>
      <c r="G811">
        <v>0</v>
      </c>
      <c r="I811">
        <v>0</v>
      </c>
      <c r="J811">
        <v>0</v>
      </c>
      <c r="L811">
        <v>0</v>
      </c>
      <c r="M811">
        <v>0</v>
      </c>
    </row>
    <row r="812" spans="1:14" x14ac:dyDescent="0.3">
      <c r="A812" t="s">
        <v>702</v>
      </c>
      <c r="B812">
        <v>84</v>
      </c>
      <c r="C812">
        <v>1</v>
      </c>
      <c r="D812">
        <v>2</v>
      </c>
      <c r="F812">
        <v>1</v>
      </c>
      <c r="G812">
        <v>2</v>
      </c>
      <c r="I812">
        <v>1</v>
      </c>
      <c r="J812">
        <v>2</v>
      </c>
      <c r="L812">
        <v>1</v>
      </c>
      <c r="M812">
        <v>2</v>
      </c>
    </row>
    <row r="813" spans="1:14" x14ac:dyDescent="0.3">
      <c r="A813" t="s">
        <v>703</v>
      </c>
      <c r="B813">
        <v>84</v>
      </c>
      <c r="C813">
        <v>0</v>
      </c>
      <c r="D813">
        <v>0</v>
      </c>
      <c r="F813">
        <v>0</v>
      </c>
      <c r="G813">
        <v>0</v>
      </c>
      <c r="I813">
        <v>0</v>
      </c>
      <c r="J813">
        <v>0</v>
      </c>
      <c r="L813">
        <v>0</v>
      </c>
      <c r="M813">
        <v>0</v>
      </c>
    </row>
    <row r="814" spans="1:14" x14ac:dyDescent="0.3">
      <c r="A814" t="s">
        <v>704</v>
      </c>
      <c r="B814">
        <v>84</v>
      </c>
      <c r="C814">
        <v>20</v>
      </c>
      <c r="D814">
        <v>6</v>
      </c>
      <c r="F814">
        <v>20</v>
      </c>
      <c r="G814">
        <v>6</v>
      </c>
      <c r="I814">
        <v>20</v>
      </c>
      <c r="J814">
        <v>6</v>
      </c>
      <c r="L814">
        <v>20</v>
      </c>
      <c r="M814">
        <v>6</v>
      </c>
    </row>
    <row r="815" spans="1:14" x14ac:dyDescent="0.3">
      <c r="A815" t="s">
        <v>705</v>
      </c>
      <c r="B815">
        <v>84</v>
      </c>
      <c r="C815">
        <v>3</v>
      </c>
      <c r="D815">
        <v>3</v>
      </c>
      <c r="F815">
        <v>3</v>
      </c>
      <c r="G815">
        <v>3</v>
      </c>
      <c r="I815">
        <v>3</v>
      </c>
      <c r="J815">
        <v>3</v>
      </c>
      <c r="L815">
        <v>3</v>
      </c>
      <c r="M815">
        <v>3</v>
      </c>
    </row>
    <row r="816" spans="1:14" x14ac:dyDescent="0.3">
      <c r="A816" t="s">
        <v>706</v>
      </c>
      <c r="B816">
        <v>84</v>
      </c>
      <c r="C816">
        <v>0</v>
      </c>
      <c r="D816">
        <v>0</v>
      </c>
      <c r="F816">
        <v>0</v>
      </c>
      <c r="G816">
        <v>0</v>
      </c>
      <c r="I816">
        <v>0</v>
      </c>
      <c r="J816">
        <v>0</v>
      </c>
      <c r="L816">
        <v>0</v>
      </c>
      <c r="M816">
        <v>0</v>
      </c>
    </row>
    <row r="817" spans="1:14" x14ac:dyDescent="0.3">
      <c r="A817" t="s">
        <v>707</v>
      </c>
      <c r="B817">
        <v>84</v>
      </c>
      <c r="C817">
        <v>0</v>
      </c>
      <c r="D817">
        <v>0</v>
      </c>
      <c r="F817">
        <v>0</v>
      </c>
      <c r="G817">
        <v>0</v>
      </c>
      <c r="I817">
        <v>0</v>
      </c>
      <c r="J817">
        <v>0</v>
      </c>
      <c r="L817">
        <v>0</v>
      </c>
      <c r="M817">
        <v>0</v>
      </c>
    </row>
    <row r="818" spans="1:14" x14ac:dyDescent="0.3">
      <c r="A818" t="s">
        <v>708</v>
      </c>
      <c r="B818">
        <v>84</v>
      </c>
      <c r="C818">
        <v>0</v>
      </c>
      <c r="D818">
        <v>0</v>
      </c>
      <c r="F818">
        <v>0</v>
      </c>
      <c r="G818">
        <v>0</v>
      </c>
      <c r="I818">
        <v>0</v>
      </c>
      <c r="J818">
        <v>0</v>
      </c>
      <c r="L818">
        <v>0</v>
      </c>
      <c r="M818">
        <v>0</v>
      </c>
    </row>
    <row r="819" spans="1:14" x14ac:dyDescent="0.3">
      <c r="A819" t="s">
        <v>709</v>
      </c>
      <c r="B819">
        <v>84</v>
      </c>
      <c r="D819">
        <v>94</v>
      </c>
      <c r="G819">
        <v>94</v>
      </c>
      <c r="J819">
        <v>94</v>
      </c>
      <c r="M819">
        <v>94</v>
      </c>
    </row>
    <row r="820" spans="1:14" x14ac:dyDescent="0.3">
      <c r="A820" t="s">
        <v>710</v>
      </c>
      <c r="B820">
        <v>84</v>
      </c>
      <c r="D820">
        <v>6</v>
      </c>
      <c r="G820">
        <v>6</v>
      </c>
      <c r="J820">
        <v>6</v>
      </c>
      <c r="M820">
        <v>6</v>
      </c>
    </row>
    <row r="821" spans="1:14" x14ac:dyDescent="0.3">
      <c r="A821" t="s">
        <v>711</v>
      </c>
      <c r="B821">
        <v>84</v>
      </c>
      <c r="D821">
        <v>3</v>
      </c>
      <c r="G821">
        <v>3</v>
      </c>
      <c r="J821">
        <v>3</v>
      </c>
      <c r="M821">
        <v>3</v>
      </c>
    </row>
    <row r="822" spans="1:14" x14ac:dyDescent="0.3">
      <c r="A822" t="s">
        <v>712</v>
      </c>
      <c r="B822">
        <v>84</v>
      </c>
      <c r="D822">
        <v>0</v>
      </c>
      <c r="G822">
        <v>0</v>
      </c>
      <c r="J822">
        <v>0</v>
      </c>
      <c r="M822">
        <v>0</v>
      </c>
    </row>
    <row r="823" spans="1:14" x14ac:dyDescent="0.3">
      <c r="A823" t="s">
        <v>713</v>
      </c>
      <c r="B823">
        <v>84</v>
      </c>
      <c r="D823">
        <v>0</v>
      </c>
      <c r="G823">
        <v>0</v>
      </c>
      <c r="J823">
        <v>0</v>
      </c>
      <c r="M823">
        <v>0</v>
      </c>
    </row>
    <row r="824" spans="1:14" x14ac:dyDescent="0.3">
      <c r="A824" t="s">
        <v>405</v>
      </c>
      <c r="B824">
        <v>84</v>
      </c>
      <c r="D824">
        <v>0</v>
      </c>
    </row>
    <row r="825" spans="1:14" x14ac:dyDescent="0.3">
      <c r="A825" t="s">
        <v>714</v>
      </c>
      <c r="B825">
        <v>84</v>
      </c>
      <c r="C825">
        <v>18</v>
      </c>
      <c r="D825">
        <v>842</v>
      </c>
      <c r="E825">
        <v>0</v>
      </c>
      <c r="F825">
        <v>25</v>
      </c>
      <c r="G825">
        <v>598</v>
      </c>
      <c r="H825">
        <v>0</v>
      </c>
      <c r="I825">
        <v>0</v>
      </c>
      <c r="J825">
        <v>33</v>
      </c>
      <c r="K825">
        <v>0</v>
      </c>
      <c r="L825">
        <v>0</v>
      </c>
      <c r="M825">
        <v>81</v>
      </c>
      <c r="N825">
        <v>0</v>
      </c>
    </row>
    <row r="826" spans="1:14" x14ac:dyDescent="0.3">
      <c r="A826" t="s">
        <v>34</v>
      </c>
      <c r="B826">
        <v>87</v>
      </c>
      <c r="C826">
        <v>31</v>
      </c>
      <c r="D826">
        <v>31</v>
      </c>
      <c r="E826">
        <v>31</v>
      </c>
      <c r="F826">
        <v>98</v>
      </c>
      <c r="G826">
        <v>98</v>
      </c>
      <c r="H826">
        <v>98</v>
      </c>
      <c r="I826">
        <v>88</v>
      </c>
      <c r="J826">
        <v>88</v>
      </c>
      <c r="K826">
        <v>88</v>
      </c>
      <c r="L826">
        <v>89</v>
      </c>
      <c r="M826">
        <v>89</v>
      </c>
      <c r="N826">
        <v>89</v>
      </c>
    </row>
    <row r="827" spans="1:14" x14ac:dyDescent="0.3">
      <c r="A827" t="s">
        <v>35</v>
      </c>
      <c r="B827">
        <v>87</v>
      </c>
      <c r="C827">
        <v>88</v>
      </c>
      <c r="D827">
        <v>98</v>
      </c>
      <c r="E827">
        <v>89</v>
      </c>
      <c r="F827">
        <v>89</v>
      </c>
      <c r="G827">
        <v>31</v>
      </c>
      <c r="H827">
        <v>88</v>
      </c>
      <c r="I827">
        <v>98</v>
      </c>
      <c r="J827">
        <v>89</v>
      </c>
      <c r="K827">
        <v>31</v>
      </c>
      <c r="L827">
        <v>31</v>
      </c>
      <c r="M827">
        <v>88</v>
      </c>
      <c r="N827">
        <v>98</v>
      </c>
    </row>
    <row r="828" spans="1:14" x14ac:dyDescent="0.3">
      <c r="A828" t="s">
        <v>36</v>
      </c>
      <c r="B828">
        <v>87</v>
      </c>
      <c r="C828">
        <v>1</v>
      </c>
      <c r="D828">
        <v>2</v>
      </c>
      <c r="E828">
        <v>0</v>
      </c>
      <c r="F828">
        <v>1</v>
      </c>
      <c r="G828">
        <v>2</v>
      </c>
      <c r="H828">
        <v>0</v>
      </c>
      <c r="I828">
        <v>1</v>
      </c>
      <c r="J828">
        <v>2</v>
      </c>
      <c r="K828">
        <v>0</v>
      </c>
      <c r="L828">
        <v>1</v>
      </c>
      <c r="M828">
        <v>2</v>
      </c>
      <c r="N828">
        <v>0</v>
      </c>
    </row>
    <row r="829" spans="1:14" x14ac:dyDescent="0.3">
      <c r="A829" t="s">
        <v>37</v>
      </c>
      <c r="B829">
        <v>87</v>
      </c>
      <c r="C829">
        <v>0</v>
      </c>
      <c r="D829">
        <v>2</v>
      </c>
      <c r="F829">
        <v>0</v>
      </c>
      <c r="G829">
        <v>2</v>
      </c>
      <c r="I829">
        <v>0</v>
      </c>
      <c r="J829">
        <v>2</v>
      </c>
      <c r="L829">
        <v>0</v>
      </c>
      <c r="M829">
        <v>2</v>
      </c>
    </row>
    <row r="830" spans="1:14" x14ac:dyDescent="0.3">
      <c r="A830" t="s">
        <v>38</v>
      </c>
      <c r="B830">
        <v>87</v>
      </c>
      <c r="C830">
        <v>12</v>
      </c>
      <c r="D830">
        <v>12</v>
      </c>
      <c r="E830">
        <v>12</v>
      </c>
      <c r="F830">
        <v>12</v>
      </c>
      <c r="G830">
        <v>12</v>
      </c>
      <c r="H830">
        <v>12</v>
      </c>
      <c r="I830">
        <v>12</v>
      </c>
      <c r="J830">
        <v>12</v>
      </c>
      <c r="K830">
        <v>12</v>
      </c>
      <c r="L830">
        <v>12</v>
      </c>
      <c r="M830">
        <v>12</v>
      </c>
      <c r="N830">
        <v>12</v>
      </c>
    </row>
    <row r="831" spans="1:14" x14ac:dyDescent="0.3">
      <c r="A831" t="s">
        <v>39</v>
      </c>
      <c r="B831">
        <v>87</v>
      </c>
    </row>
    <row r="832" spans="1:14" x14ac:dyDescent="0.3">
      <c r="A832" t="s">
        <v>689</v>
      </c>
      <c r="B832">
        <v>87</v>
      </c>
    </row>
    <row r="833" spans="1:14" x14ac:dyDescent="0.3">
      <c r="A833" t="s">
        <v>40</v>
      </c>
      <c r="B833">
        <v>87</v>
      </c>
    </row>
    <row r="834" spans="1:14" x14ac:dyDescent="0.3">
      <c r="A834" t="s">
        <v>41</v>
      </c>
      <c r="B834">
        <v>87</v>
      </c>
    </row>
    <row r="835" spans="1:14" x14ac:dyDescent="0.3">
      <c r="A835" t="s">
        <v>42</v>
      </c>
      <c r="B835">
        <v>87</v>
      </c>
      <c r="D835">
        <v>45</v>
      </c>
      <c r="G835">
        <v>45</v>
      </c>
      <c r="J835">
        <v>45</v>
      </c>
      <c r="M835">
        <v>45</v>
      </c>
    </row>
    <row r="836" spans="1:14" x14ac:dyDescent="0.3">
      <c r="A836" t="s">
        <v>45</v>
      </c>
      <c r="B836">
        <v>87</v>
      </c>
      <c r="C836">
        <v>5</v>
      </c>
      <c r="D836">
        <v>2</v>
      </c>
      <c r="F836">
        <v>1</v>
      </c>
      <c r="G836">
        <v>6</v>
      </c>
      <c r="I836">
        <v>3</v>
      </c>
      <c r="J836">
        <v>8</v>
      </c>
      <c r="L836">
        <v>7</v>
      </c>
      <c r="M836">
        <v>4</v>
      </c>
    </row>
    <row r="837" spans="1:14" x14ac:dyDescent="0.3">
      <c r="A837" t="s">
        <v>49</v>
      </c>
      <c r="B837">
        <v>87</v>
      </c>
      <c r="C837">
        <v>4</v>
      </c>
      <c r="D837">
        <v>5.7</v>
      </c>
      <c r="E837">
        <v>4</v>
      </c>
      <c r="F837">
        <v>4</v>
      </c>
      <c r="G837">
        <v>5.7</v>
      </c>
      <c r="H837">
        <v>4</v>
      </c>
      <c r="I837">
        <v>4</v>
      </c>
      <c r="J837">
        <v>5.5</v>
      </c>
      <c r="K837">
        <v>4</v>
      </c>
      <c r="L837">
        <v>4</v>
      </c>
      <c r="M837">
        <v>4.2</v>
      </c>
      <c r="N837">
        <v>4</v>
      </c>
    </row>
    <row r="838" spans="1:14" x14ac:dyDescent="0.3">
      <c r="A838" t="s">
        <v>690</v>
      </c>
      <c r="B838">
        <v>87</v>
      </c>
      <c r="C838">
        <v>0</v>
      </c>
      <c r="D838">
        <v>0</v>
      </c>
      <c r="E838">
        <v>0</v>
      </c>
      <c r="F838">
        <v>0</v>
      </c>
      <c r="G838">
        <v>0</v>
      </c>
      <c r="H838">
        <v>0</v>
      </c>
      <c r="I838">
        <v>0</v>
      </c>
      <c r="J838">
        <v>0</v>
      </c>
      <c r="K838">
        <v>0</v>
      </c>
      <c r="L838">
        <v>0</v>
      </c>
      <c r="M838">
        <v>0</v>
      </c>
      <c r="N838">
        <v>0</v>
      </c>
    </row>
    <row r="839" spans="1:14" x14ac:dyDescent="0.3">
      <c r="A839" t="s">
        <v>48</v>
      </c>
      <c r="B839">
        <v>87</v>
      </c>
      <c r="C839">
        <v>1900</v>
      </c>
      <c r="D839">
        <v>1900</v>
      </c>
      <c r="E839">
        <v>1900</v>
      </c>
      <c r="F839">
        <v>1900</v>
      </c>
      <c r="G839">
        <v>1900</v>
      </c>
      <c r="H839">
        <v>1900</v>
      </c>
      <c r="I839">
        <v>1900</v>
      </c>
      <c r="J839">
        <v>1900</v>
      </c>
      <c r="K839">
        <v>1900</v>
      </c>
      <c r="L839">
        <v>1900</v>
      </c>
      <c r="M839">
        <v>1900</v>
      </c>
      <c r="N839">
        <v>1900</v>
      </c>
    </row>
    <row r="840" spans="1:14" x14ac:dyDescent="0.3">
      <c r="A840" t="s">
        <v>691</v>
      </c>
      <c r="B840">
        <v>87</v>
      </c>
      <c r="C840">
        <v>1770</v>
      </c>
      <c r="D840">
        <v>3518</v>
      </c>
      <c r="E840">
        <v>0</v>
      </c>
      <c r="F840">
        <v>1770</v>
      </c>
      <c r="G840">
        <v>3532</v>
      </c>
      <c r="H840">
        <v>0</v>
      </c>
      <c r="I840">
        <v>1770</v>
      </c>
      <c r="J840">
        <v>3245</v>
      </c>
      <c r="K840">
        <v>0</v>
      </c>
      <c r="L840">
        <v>1770</v>
      </c>
      <c r="M840">
        <v>3175</v>
      </c>
      <c r="N840">
        <v>0</v>
      </c>
    </row>
    <row r="841" spans="1:14" x14ac:dyDescent="0.3">
      <c r="A841" t="s">
        <v>50</v>
      </c>
      <c r="B841">
        <v>87</v>
      </c>
      <c r="C841">
        <v>1770</v>
      </c>
      <c r="D841">
        <v>3518</v>
      </c>
      <c r="E841">
        <v>0</v>
      </c>
      <c r="F841">
        <v>1770</v>
      </c>
      <c r="G841">
        <v>3532</v>
      </c>
      <c r="H841">
        <v>0</v>
      </c>
      <c r="I841">
        <v>1770</v>
      </c>
      <c r="J841">
        <v>3245</v>
      </c>
      <c r="K841">
        <v>0</v>
      </c>
      <c r="L841">
        <v>1770</v>
      </c>
      <c r="M841">
        <v>3175</v>
      </c>
      <c r="N841">
        <v>0</v>
      </c>
    </row>
    <row r="842" spans="1:14" x14ac:dyDescent="0.3">
      <c r="A842" t="s">
        <v>692</v>
      </c>
      <c r="B842">
        <v>87</v>
      </c>
      <c r="C842">
        <v>1</v>
      </c>
      <c r="D842">
        <v>1</v>
      </c>
      <c r="E842">
        <v>1</v>
      </c>
      <c r="F842">
        <v>1</v>
      </c>
      <c r="G842">
        <v>1</v>
      </c>
      <c r="H842">
        <v>1</v>
      </c>
      <c r="I842">
        <v>1</v>
      </c>
      <c r="J842">
        <v>1</v>
      </c>
      <c r="K842">
        <v>1</v>
      </c>
      <c r="L842">
        <v>1</v>
      </c>
      <c r="M842">
        <v>1</v>
      </c>
      <c r="N842">
        <v>1</v>
      </c>
    </row>
    <row r="843" spans="1:14" x14ac:dyDescent="0.3">
      <c r="A843" t="s">
        <v>51</v>
      </c>
      <c r="B843">
        <v>87</v>
      </c>
      <c r="C843">
        <v>0</v>
      </c>
      <c r="D843">
        <v>5</v>
      </c>
      <c r="E843">
        <v>0</v>
      </c>
      <c r="F843">
        <v>0</v>
      </c>
      <c r="G843">
        <v>2</v>
      </c>
      <c r="H843">
        <v>0</v>
      </c>
      <c r="I843">
        <v>0</v>
      </c>
      <c r="J843">
        <v>20</v>
      </c>
      <c r="K843">
        <v>0</v>
      </c>
      <c r="L843">
        <v>0</v>
      </c>
      <c r="M843">
        <v>46</v>
      </c>
      <c r="N843">
        <v>0</v>
      </c>
    </row>
    <row r="844" spans="1:14" x14ac:dyDescent="0.3">
      <c r="A844" t="s">
        <v>53</v>
      </c>
      <c r="B844">
        <v>87</v>
      </c>
      <c r="C844">
        <v>17</v>
      </c>
      <c r="D844">
        <v>718</v>
      </c>
      <c r="E844">
        <v>28</v>
      </c>
      <c r="F844">
        <v>21</v>
      </c>
      <c r="G844">
        <v>483</v>
      </c>
      <c r="H844">
        <v>6</v>
      </c>
      <c r="I844">
        <v>23</v>
      </c>
      <c r="J844">
        <v>15</v>
      </c>
      <c r="K844">
        <v>18</v>
      </c>
      <c r="L844">
        <v>77</v>
      </c>
      <c r="M844">
        <v>19</v>
      </c>
      <c r="N844">
        <v>42</v>
      </c>
    </row>
    <row r="845" spans="1:14" x14ac:dyDescent="0.3">
      <c r="A845" t="s">
        <v>54</v>
      </c>
      <c r="B845">
        <v>87</v>
      </c>
      <c r="C845">
        <v>0</v>
      </c>
      <c r="D845">
        <v>0</v>
      </c>
      <c r="E845">
        <v>0</v>
      </c>
      <c r="F845">
        <v>0</v>
      </c>
      <c r="G845">
        <v>0</v>
      </c>
      <c r="H845">
        <v>0</v>
      </c>
      <c r="I845">
        <v>0</v>
      </c>
      <c r="J845">
        <v>0</v>
      </c>
      <c r="K845">
        <v>0</v>
      </c>
      <c r="L845">
        <v>0</v>
      </c>
      <c r="M845">
        <v>0</v>
      </c>
      <c r="N845">
        <v>0</v>
      </c>
    </row>
    <row r="846" spans="1:14" x14ac:dyDescent="0.3">
      <c r="A846" t="s">
        <v>55</v>
      </c>
      <c r="B846">
        <v>87</v>
      </c>
      <c r="C846">
        <v>0</v>
      </c>
      <c r="D846">
        <v>0</v>
      </c>
      <c r="E846">
        <v>0</v>
      </c>
      <c r="F846">
        <v>0</v>
      </c>
      <c r="G846">
        <v>0</v>
      </c>
      <c r="H846">
        <v>0</v>
      </c>
      <c r="I846">
        <v>0</v>
      </c>
      <c r="J846">
        <v>0</v>
      </c>
      <c r="K846">
        <v>0</v>
      </c>
      <c r="L846">
        <v>0</v>
      </c>
      <c r="M846">
        <v>0</v>
      </c>
      <c r="N846">
        <v>0</v>
      </c>
    </row>
    <row r="847" spans="1:14" x14ac:dyDescent="0.3">
      <c r="A847" t="s">
        <v>56</v>
      </c>
      <c r="B847">
        <v>87</v>
      </c>
      <c r="C847">
        <v>0.92</v>
      </c>
      <c r="D847">
        <v>0.92</v>
      </c>
      <c r="E847">
        <v>0.92</v>
      </c>
      <c r="F847">
        <v>0.92</v>
      </c>
      <c r="G847">
        <v>0.92</v>
      </c>
      <c r="H847">
        <v>0.92</v>
      </c>
      <c r="I847">
        <v>0.92</v>
      </c>
      <c r="J847">
        <v>0.92</v>
      </c>
      <c r="K847">
        <v>0.92</v>
      </c>
      <c r="L847">
        <v>0.92</v>
      </c>
      <c r="M847">
        <v>0.92</v>
      </c>
      <c r="N847">
        <v>0.92</v>
      </c>
    </row>
    <row r="848" spans="1:14" x14ac:dyDescent="0.3">
      <c r="A848" t="s">
        <v>57</v>
      </c>
      <c r="B848">
        <v>87</v>
      </c>
      <c r="C848">
        <v>100</v>
      </c>
      <c r="D848">
        <v>100</v>
      </c>
      <c r="E848">
        <v>100</v>
      </c>
      <c r="F848">
        <v>100</v>
      </c>
      <c r="G848">
        <v>100</v>
      </c>
      <c r="H848">
        <v>100</v>
      </c>
      <c r="I848">
        <v>100</v>
      </c>
      <c r="J848">
        <v>100</v>
      </c>
      <c r="K848">
        <v>100</v>
      </c>
      <c r="L848">
        <v>100</v>
      </c>
      <c r="M848">
        <v>100</v>
      </c>
      <c r="N848">
        <v>100</v>
      </c>
    </row>
    <row r="849" spans="1:14" x14ac:dyDescent="0.3">
      <c r="A849" t="s">
        <v>58</v>
      </c>
      <c r="B849">
        <v>87</v>
      </c>
      <c r="C849">
        <v>2</v>
      </c>
      <c r="D849">
        <v>2</v>
      </c>
      <c r="E849">
        <v>2</v>
      </c>
      <c r="F849">
        <v>2</v>
      </c>
      <c r="G849">
        <v>2</v>
      </c>
      <c r="H849">
        <v>2</v>
      </c>
      <c r="I849">
        <v>2</v>
      </c>
      <c r="J849">
        <v>2</v>
      </c>
      <c r="K849">
        <v>2</v>
      </c>
      <c r="L849">
        <v>2</v>
      </c>
      <c r="M849">
        <v>2</v>
      </c>
      <c r="N849">
        <v>2</v>
      </c>
    </row>
    <row r="850" spans="1:14" x14ac:dyDescent="0.3">
      <c r="A850" t="s">
        <v>59</v>
      </c>
      <c r="B850">
        <v>87</v>
      </c>
      <c r="C850">
        <v>0</v>
      </c>
      <c r="D850">
        <v>0</v>
      </c>
      <c r="E850">
        <v>0</v>
      </c>
      <c r="F850">
        <v>0</v>
      </c>
      <c r="G850">
        <v>0</v>
      </c>
      <c r="H850">
        <v>0</v>
      </c>
      <c r="I850">
        <v>0</v>
      </c>
      <c r="J850">
        <v>0</v>
      </c>
      <c r="K850">
        <v>0</v>
      </c>
      <c r="L850">
        <v>0</v>
      </c>
      <c r="M850">
        <v>0</v>
      </c>
      <c r="N850">
        <v>0</v>
      </c>
    </row>
    <row r="851" spans="1:14" x14ac:dyDescent="0.3">
      <c r="A851" t="s">
        <v>693</v>
      </c>
      <c r="B851">
        <v>87</v>
      </c>
      <c r="D851">
        <v>0</v>
      </c>
      <c r="G851">
        <v>0</v>
      </c>
      <c r="J851">
        <v>0</v>
      </c>
      <c r="M851">
        <v>0</v>
      </c>
    </row>
    <row r="852" spans="1:14" x14ac:dyDescent="0.3">
      <c r="A852" t="s">
        <v>674</v>
      </c>
      <c r="B852">
        <v>87</v>
      </c>
      <c r="D852">
        <v>570</v>
      </c>
      <c r="G852">
        <v>3996</v>
      </c>
      <c r="J852">
        <v>200</v>
      </c>
      <c r="M852">
        <v>358</v>
      </c>
    </row>
    <row r="853" spans="1:14" x14ac:dyDescent="0.3">
      <c r="A853" t="s">
        <v>78</v>
      </c>
      <c r="B853">
        <v>87</v>
      </c>
      <c r="D853">
        <v>8.6</v>
      </c>
      <c r="G853">
        <v>60.5</v>
      </c>
      <c r="J853">
        <v>3</v>
      </c>
      <c r="M853">
        <v>5.4</v>
      </c>
    </row>
    <row r="854" spans="1:14" x14ac:dyDescent="0.3">
      <c r="A854" t="s">
        <v>694</v>
      </c>
      <c r="B854">
        <v>87</v>
      </c>
      <c r="E854">
        <v>0</v>
      </c>
      <c r="H854">
        <v>0</v>
      </c>
      <c r="K854">
        <v>0</v>
      </c>
      <c r="N854">
        <v>0</v>
      </c>
    </row>
    <row r="855" spans="1:14" x14ac:dyDescent="0.3">
      <c r="A855" t="s">
        <v>695</v>
      </c>
      <c r="B855">
        <v>87</v>
      </c>
      <c r="C855">
        <v>0</v>
      </c>
      <c r="D855">
        <v>0</v>
      </c>
      <c r="E855">
        <v>1</v>
      </c>
      <c r="F855">
        <v>0</v>
      </c>
      <c r="G855">
        <v>0</v>
      </c>
      <c r="H855">
        <v>1</v>
      </c>
      <c r="I855">
        <v>0</v>
      </c>
      <c r="J855">
        <v>0</v>
      </c>
      <c r="K855">
        <v>1</v>
      </c>
      <c r="L855">
        <v>0</v>
      </c>
      <c r="M855">
        <v>0</v>
      </c>
      <c r="N855">
        <v>1</v>
      </c>
    </row>
    <row r="856" spans="1:14" x14ac:dyDescent="0.3">
      <c r="A856" t="s">
        <v>696</v>
      </c>
      <c r="B856">
        <v>87</v>
      </c>
      <c r="C856">
        <v>0</v>
      </c>
      <c r="D856">
        <v>0</v>
      </c>
      <c r="E856">
        <v>0</v>
      </c>
      <c r="F856">
        <v>0</v>
      </c>
      <c r="G856">
        <v>0</v>
      </c>
      <c r="H856">
        <v>0</v>
      </c>
      <c r="I856">
        <v>0</v>
      </c>
      <c r="J856">
        <v>0</v>
      </c>
      <c r="K856">
        <v>0</v>
      </c>
      <c r="L856">
        <v>0</v>
      </c>
      <c r="M856">
        <v>0</v>
      </c>
      <c r="N856">
        <v>0</v>
      </c>
    </row>
    <row r="857" spans="1:14" x14ac:dyDescent="0.3">
      <c r="A857" t="s">
        <v>52</v>
      </c>
      <c r="B857">
        <v>87</v>
      </c>
      <c r="C857">
        <v>1</v>
      </c>
      <c r="D857">
        <v>1</v>
      </c>
      <c r="E857">
        <v>1</v>
      </c>
      <c r="F857">
        <v>1</v>
      </c>
      <c r="G857">
        <v>1</v>
      </c>
      <c r="H857">
        <v>1</v>
      </c>
      <c r="I857">
        <v>1</v>
      </c>
      <c r="J857">
        <v>1</v>
      </c>
      <c r="K857">
        <v>1</v>
      </c>
      <c r="L857">
        <v>1</v>
      </c>
      <c r="M857">
        <v>1</v>
      </c>
      <c r="N857">
        <v>1</v>
      </c>
    </row>
    <row r="858" spans="1:14" x14ac:dyDescent="0.3">
      <c r="A858" t="s">
        <v>697</v>
      </c>
      <c r="B858">
        <v>87</v>
      </c>
      <c r="C858">
        <v>15</v>
      </c>
      <c r="D858">
        <v>60</v>
      </c>
      <c r="E858">
        <v>9</v>
      </c>
      <c r="F858">
        <v>15</v>
      </c>
      <c r="G858">
        <v>60</v>
      </c>
      <c r="H858">
        <v>9</v>
      </c>
      <c r="I858">
        <v>15</v>
      </c>
      <c r="J858">
        <v>60</v>
      </c>
      <c r="K858">
        <v>9</v>
      </c>
      <c r="L858">
        <v>15</v>
      </c>
      <c r="M858">
        <v>60</v>
      </c>
      <c r="N858">
        <v>9</v>
      </c>
    </row>
    <row r="859" spans="1:14" x14ac:dyDescent="0.3">
      <c r="A859" t="s">
        <v>43</v>
      </c>
      <c r="B859">
        <v>87</v>
      </c>
      <c r="C859">
        <v>20</v>
      </c>
      <c r="D859">
        <v>100</v>
      </c>
      <c r="F859">
        <v>20</v>
      </c>
      <c r="G859">
        <v>100</v>
      </c>
      <c r="I859">
        <v>20</v>
      </c>
      <c r="J859">
        <v>100</v>
      </c>
      <c r="L859">
        <v>20</v>
      </c>
      <c r="M859">
        <v>100</v>
      </c>
    </row>
    <row r="860" spans="1:14" x14ac:dyDescent="0.3">
      <c r="A860" t="s">
        <v>44</v>
      </c>
      <c r="B860">
        <v>87</v>
      </c>
      <c r="C860">
        <v>0</v>
      </c>
      <c r="D860">
        <v>0</v>
      </c>
      <c r="F860">
        <v>0</v>
      </c>
      <c r="G860">
        <v>0</v>
      </c>
      <c r="I860">
        <v>0</v>
      </c>
      <c r="J860">
        <v>0</v>
      </c>
      <c r="L860">
        <v>0</v>
      </c>
      <c r="M860">
        <v>0</v>
      </c>
    </row>
    <row r="861" spans="1:14" x14ac:dyDescent="0.3">
      <c r="A861" t="s">
        <v>47</v>
      </c>
      <c r="B861">
        <v>87</v>
      </c>
      <c r="C861">
        <v>5</v>
      </c>
      <c r="D861">
        <v>2</v>
      </c>
      <c r="F861">
        <v>1</v>
      </c>
      <c r="G861">
        <v>6</v>
      </c>
      <c r="I861">
        <v>3</v>
      </c>
      <c r="J861">
        <v>8</v>
      </c>
      <c r="L861">
        <v>7</v>
      </c>
      <c r="M861">
        <v>4</v>
      </c>
    </row>
    <row r="862" spans="1:14" x14ac:dyDescent="0.3">
      <c r="A862" t="s">
        <v>698</v>
      </c>
      <c r="B862">
        <v>87</v>
      </c>
      <c r="C862">
        <v>0</v>
      </c>
      <c r="D862">
        <v>0</v>
      </c>
      <c r="F862">
        <v>0</v>
      </c>
      <c r="G862">
        <v>0</v>
      </c>
      <c r="I862">
        <v>0</v>
      </c>
      <c r="J862">
        <v>0</v>
      </c>
      <c r="L862">
        <v>0</v>
      </c>
      <c r="M862">
        <v>0</v>
      </c>
    </row>
    <row r="863" spans="1:14" x14ac:dyDescent="0.3">
      <c r="A863" t="s">
        <v>699</v>
      </c>
      <c r="B863">
        <v>87</v>
      </c>
      <c r="C863">
        <v>0</v>
      </c>
      <c r="D863">
        <v>0</v>
      </c>
      <c r="F863">
        <v>0</v>
      </c>
      <c r="G863">
        <v>0</v>
      </c>
      <c r="I863">
        <v>0</v>
      </c>
      <c r="J863">
        <v>0</v>
      </c>
      <c r="L863">
        <v>0</v>
      </c>
      <c r="M863">
        <v>0</v>
      </c>
    </row>
    <row r="864" spans="1:14" x14ac:dyDescent="0.3">
      <c r="A864" t="s">
        <v>700</v>
      </c>
      <c r="B864">
        <v>87</v>
      </c>
      <c r="C864">
        <v>0</v>
      </c>
      <c r="D864">
        <v>0</v>
      </c>
      <c r="F864">
        <v>0</v>
      </c>
      <c r="G864">
        <v>0</v>
      </c>
      <c r="I864">
        <v>0</v>
      </c>
      <c r="J864">
        <v>0</v>
      </c>
      <c r="L864">
        <v>0</v>
      </c>
      <c r="M864">
        <v>0</v>
      </c>
    </row>
    <row r="865" spans="1:14" x14ac:dyDescent="0.3">
      <c r="A865" t="s">
        <v>701</v>
      </c>
      <c r="B865">
        <v>87</v>
      </c>
      <c r="C865">
        <v>0</v>
      </c>
      <c r="D865">
        <v>0</v>
      </c>
      <c r="F865">
        <v>0</v>
      </c>
      <c r="G865">
        <v>0</v>
      </c>
      <c r="I865">
        <v>0</v>
      </c>
      <c r="J865">
        <v>0</v>
      </c>
      <c r="L865">
        <v>0</v>
      </c>
      <c r="M865">
        <v>0</v>
      </c>
    </row>
    <row r="866" spans="1:14" x14ac:dyDescent="0.3">
      <c r="A866" t="s">
        <v>702</v>
      </c>
      <c r="B866">
        <v>87</v>
      </c>
      <c r="C866">
        <v>1</v>
      </c>
      <c r="D866">
        <v>2</v>
      </c>
      <c r="F866">
        <v>1</v>
      </c>
      <c r="G866">
        <v>2</v>
      </c>
      <c r="I866">
        <v>1</v>
      </c>
      <c r="J866">
        <v>2</v>
      </c>
      <c r="L866">
        <v>1</v>
      </c>
      <c r="M866">
        <v>2</v>
      </c>
    </row>
    <row r="867" spans="1:14" x14ac:dyDescent="0.3">
      <c r="A867" t="s">
        <v>703</v>
      </c>
      <c r="B867">
        <v>87</v>
      </c>
      <c r="C867">
        <v>0</v>
      </c>
      <c r="D867">
        <v>0</v>
      </c>
      <c r="F867">
        <v>0</v>
      </c>
      <c r="G867">
        <v>0</v>
      </c>
      <c r="I867">
        <v>0</v>
      </c>
      <c r="J867">
        <v>0</v>
      </c>
      <c r="L867">
        <v>0</v>
      </c>
      <c r="M867">
        <v>0</v>
      </c>
    </row>
    <row r="868" spans="1:14" x14ac:dyDescent="0.3">
      <c r="A868" t="s">
        <v>704</v>
      </c>
      <c r="B868">
        <v>87</v>
      </c>
      <c r="C868">
        <v>20</v>
      </c>
      <c r="D868">
        <v>6</v>
      </c>
      <c r="F868">
        <v>20</v>
      </c>
      <c r="G868">
        <v>6</v>
      </c>
      <c r="I868">
        <v>20</v>
      </c>
      <c r="J868">
        <v>6</v>
      </c>
      <c r="L868">
        <v>20</v>
      </c>
      <c r="M868">
        <v>6</v>
      </c>
    </row>
    <row r="869" spans="1:14" x14ac:dyDescent="0.3">
      <c r="A869" t="s">
        <v>705</v>
      </c>
      <c r="B869">
        <v>87</v>
      </c>
      <c r="C869">
        <v>3</v>
      </c>
      <c r="D869">
        <v>3</v>
      </c>
      <c r="F869">
        <v>3</v>
      </c>
      <c r="G869">
        <v>3</v>
      </c>
      <c r="I869">
        <v>3</v>
      </c>
      <c r="J869">
        <v>3</v>
      </c>
      <c r="L869">
        <v>3</v>
      </c>
      <c r="M869">
        <v>3</v>
      </c>
    </row>
    <row r="870" spans="1:14" x14ac:dyDescent="0.3">
      <c r="A870" t="s">
        <v>706</v>
      </c>
      <c r="B870">
        <v>87</v>
      </c>
      <c r="C870">
        <v>0</v>
      </c>
      <c r="D870">
        <v>0</v>
      </c>
      <c r="F870">
        <v>0</v>
      </c>
      <c r="G870">
        <v>0</v>
      </c>
      <c r="I870">
        <v>0</v>
      </c>
      <c r="J870">
        <v>0</v>
      </c>
      <c r="L870">
        <v>0</v>
      </c>
      <c r="M870">
        <v>0</v>
      </c>
    </row>
    <row r="871" spans="1:14" x14ac:dyDescent="0.3">
      <c r="A871" t="s">
        <v>707</v>
      </c>
      <c r="B871">
        <v>87</v>
      </c>
      <c r="C871">
        <v>0</v>
      </c>
      <c r="D871">
        <v>0</v>
      </c>
      <c r="F871">
        <v>0</v>
      </c>
      <c r="G871">
        <v>0</v>
      </c>
      <c r="I871">
        <v>0</v>
      </c>
      <c r="J871">
        <v>0</v>
      </c>
      <c r="L871">
        <v>0</v>
      </c>
      <c r="M871">
        <v>0</v>
      </c>
    </row>
    <row r="872" spans="1:14" x14ac:dyDescent="0.3">
      <c r="A872" t="s">
        <v>708</v>
      </c>
      <c r="B872">
        <v>87</v>
      </c>
      <c r="C872">
        <v>0</v>
      </c>
      <c r="D872">
        <v>0</v>
      </c>
      <c r="F872">
        <v>0</v>
      </c>
      <c r="G872">
        <v>0</v>
      </c>
      <c r="I872">
        <v>0</v>
      </c>
      <c r="J872">
        <v>0</v>
      </c>
      <c r="L872">
        <v>0</v>
      </c>
      <c r="M872">
        <v>0</v>
      </c>
    </row>
    <row r="873" spans="1:14" x14ac:dyDescent="0.3">
      <c r="A873" t="s">
        <v>709</v>
      </c>
      <c r="B873">
        <v>87</v>
      </c>
      <c r="D873">
        <v>94</v>
      </c>
      <c r="G873">
        <v>94</v>
      </c>
      <c r="J873">
        <v>94</v>
      </c>
      <c r="M873">
        <v>94</v>
      </c>
    </row>
    <row r="874" spans="1:14" x14ac:dyDescent="0.3">
      <c r="A874" t="s">
        <v>710</v>
      </c>
      <c r="B874">
        <v>87</v>
      </c>
      <c r="D874">
        <v>6</v>
      </c>
      <c r="G874">
        <v>6</v>
      </c>
      <c r="J874">
        <v>6</v>
      </c>
      <c r="M874">
        <v>6</v>
      </c>
    </row>
    <row r="875" spans="1:14" x14ac:dyDescent="0.3">
      <c r="A875" t="s">
        <v>711</v>
      </c>
      <c r="B875">
        <v>87</v>
      </c>
      <c r="D875">
        <v>3</v>
      </c>
      <c r="G875">
        <v>3</v>
      </c>
      <c r="J875">
        <v>3</v>
      </c>
      <c r="M875">
        <v>3</v>
      </c>
    </row>
    <row r="876" spans="1:14" x14ac:dyDescent="0.3">
      <c r="A876" t="s">
        <v>712</v>
      </c>
      <c r="B876">
        <v>87</v>
      </c>
      <c r="D876">
        <v>0</v>
      </c>
      <c r="G876">
        <v>0</v>
      </c>
      <c r="J876">
        <v>0</v>
      </c>
      <c r="M876">
        <v>0</v>
      </c>
    </row>
    <row r="877" spans="1:14" x14ac:dyDescent="0.3">
      <c r="A877" t="s">
        <v>713</v>
      </c>
      <c r="B877">
        <v>87</v>
      </c>
      <c r="D877">
        <v>0</v>
      </c>
      <c r="G877">
        <v>0</v>
      </c>
      <c r="J877">
        <v>0</v>
      </c>
      <c r="M877">
        <v>0</v>
      </c>
    </row>
    <row r="878" spans="1:14" x14ac:dyDescent="0.3">
      <c r="A878" t="s">
        <v>405</v>
      </c>
      <c r="B878">
        <v>87</v>
      </c>
      <c r="D878">
        <v>0</v>
      </c>
    </row>
    <row r="879" spans="1:14" x14ac:dyDescent="0.3">
      <c r="A879" t="s">
        <v>714</v>
      </c>
      <c r="B879">
        <v>87</v>
      </c>
      <c r="C879">
        <v>18</v>
      </c>
      <c r="D879">
        <v>810</v>
      </c>
      <c r="E879">
        <v>0</v>
      </c>
      <c r="F879">
        <v>23</v>
      </c>
      <c r="G879">
        <v>532</v>
      </c>
      <c r="H879">
        <v>0</v>
      </c>
      <c r="I879">
        <v>25</v>
      </c>
      <c r="J879">
        <v>36</v>
      </c>
      <c r="K879">
        <v>0</v>
      </c>
      <c r="L879">
        <v>84</v>
      </c>
      <c r="M879">
        <v>67</v>
      </c>
      <c r="N879">
        <v>0</v>
      </c>
    </row>
    <row r="880" spans="1:14" x14ac:dyDescent="0.3">
      <c r="A880" t="s">
        <v>34</v>
      </c>
      <c r="B880">
        <v>98</v>
      </c>
      <c r="C880">
        <v>87</v>
      </c>
      <c r="D880">
        <v>87</v>
      </c>
      <c r="G880">
        <v>84</v>
      </c>
      <c r="H880">
        <v>84</v>
      </c>
      <c r="I880">
        <v>97</v>
      </c>
      <c r="K880">
        <v>97</v>
      </c>
    </row>
    <row r="881" spans="1:11" x14ac:dyDescent="0.3">
      <c r="A881" t="s">
        <v>35</v>
      </c>
      <c r="B881">
        <v>98</v>
      </c>
      <c r="C881">
        <v>97</v>
      </c>
      <c r="D881">
        <v>84</v>
      </c>
      <c r="G881">
        <v>87</v>
      </c>
      <c r="H881">
        <v>97</v>
      </c>
      <c r="I881">
        <v>84</v>
      </c>
      <c r="K881">
        <v>87</v>
      </c>
    </row>
    <row r="882" spans="1:11" x14ac:dyDescent="0.3">
      <c r="A882" t="s">
        <v>36</v>
      </c>
      <c r="B882">
        <v>98</v>
      </c>
      <c r="C882">
        <v>1</v>
      </c>
      <c r="D882">
        <v>2</v>
      </c>
      <c r="G882">
        <v>3</v>
      </c>
      <c r="H882">
        <v>0</v>
      </c>
      <c r="I882">
        <v>3</v>
      </c>
      <c r="K882">
        <v>0</v>
      </c>
    </row>
    <row r="883" spans="1:11" x14ac:dyDescent="0.3">
      <c r="A883" t="s">
        <v>37</v>
      </c>
      <c r="B883">
        <v>98</v>
      </c>
      <c r="C883">
        <v>0</v>
      </c>
      <c r="D883">
        <v>0</v>
      </c>
      <c r="G883">
        <v>2</v>
      </c>
      <c r="I883">
        <v>2</v>
      </c>
    </row>
    <row r="884" spans="1:11" x14ac:dyDescent="0.3">
      <c r="A884" t="s">
        <v>38</v>
      </c>
      <c r="B884">
        <v>98</v>
      </c>
      <c r="C884">
        <v>12</v>
      </c>
      <c r="D884">
        <v>12</v>
      </c>
      <c r="G884">
        <v>12</v>
      </c>
      <c r="H884">
        <v>12</v>
      </c>
      <c r="I884">
        <v>12</v>
      </c>
      <c r="K884">
        <v>12</v>
      </c>
    </row>
    <row r="885" spans="1:11" x14ac:dyDescent="0.3">
      <c r="A885" t="s">
        <v>39</v>
      </c>
      <c r="B885">
        <v>98</v>
      </c>
    </row>
    <row r="886" spans="1:11" x14ac:dyDescent="0.3">
      <c r="A886" t="s">
        <v>689</v>
      </c>
      <c r="B886">
        <v>98</v>
      </c>
    </row>
    <row r="887" spans="1:11" x14ac:dyDescent="0.3">
      <c r="A887" t="s">
        <v>40</v>
      </c>
      <c r="B887">
        <v>98</v>
      </c>
    </row>
    <row r="888" spans="1:11" x14ac:dyDescent="0.3">
      <c r="A888" t="s">
        <v>41</v>
      </c>
      <c r="B888">
        <v>98</v>
      </c>
    </row>
    <row r="889" spans="1:11" x14ac:dyDescent="0.3">
      <c r="A889" t="s">
        <v>42</v>
      </c>
      <c r="B889">
        <v>98</v>
      </c>
      <c r="D889">
        <v>45</v>
      </c>
      <c r="G889">
        <v>45</v>
      </c>
      <c r="I889">
        <v>45</v>
      </c>
    </row>
    <row r="890" spans="1:11" x14ac:dyDescent="0.3">
      <c r="A890" t="s">
        <v>45</v>
      </c>
      <c r="B890">
        <v>98</v>
      </c>
      <c r="C890">
        <v>5</v>
      </c>
      <c r="D890">
        <v>2</v>
      </c>
      <c r="G890">
        <v>6</v>
      </c>
      <c r="I890">
        <v>4</v>
      </c>
    </row>
    <row r="891" spans="1:11" x14ac:dyDescent="0.3">
      <c r="A891" t="s">
        <v>49</v>
      </c>
      <c r="B891">
        <v>98</v>
      </c>
      <c r="C891">
        <v>4</v>
      </c>
      <c r="D891">
        <v>6.2</v>
      </c>
      <c r="G891">
        <v>6.2</v>
      </c>
      <c r="H891">
        <v>4</v>
      </c>
      <c r="I891">
        <v>5.8</v>
      </c>
      <c r="K891">
        <v>4</v>
      </c>
    </row>
    <row r="892" spans="1:11" x14ac:dyDescent="0.3">
      <c r="A892" t="s">
        <v>690</v>
      </c>
      <c r="B892">
        <v>98</v>
      </c>
      <c r="C892">
        <v>0</v>
      </c>
      <c r="D892">
        <v>0</v>
      </c>
      <c r="G892">
        <v>0</v>
      </c>
      <c r="H892">
        <v>0</v>
      </c>
      <c r="I892">
        <v>0</v>
      </c>
      <c r="K892">
        <v>0</v>
      </c>
    </row>
    <row r="893" spans="1:11" x14ac:dyDescent="0.3">
      <c r="A893" t="s">
        <v>48</v>
      </c>
      <c r="B893">
        <v>98</v>
      </c>
      <c r="C893">
        <v>1900</v>
      </c>
      <c r="D893">
        <v>1900</v>
      </c>
      <c r="G893">
        <v>1900</v>
      </c>
      <c r="H893">
        <v>1900</v>
      </c>
      <c r="I893">
        <v>1900</v>
      </c>
      <c r="K893">
        <v>1900</v>
      </c>
    </row>
    <row r="894" spans="1:11" x14ac:dyDescent="0.3">
      <c r="A894" t="s">
        <v>691</v>
      </c>
      <c r="B894">
        <v>98</v>
      </c>
      <c r="C894">
        <v>1770</v>
      </c>
      <c r="D894">
        <v>3539</v>
      </c>
      <c r="G894">
        <v>5055</v>
      </c>
      <c r="H894">
        <v>0</v>
      </c>
      <c r="I894">
        <v>4721</v>
      </c>
      <c r="K894">
        <v>0</v>
      </c>
    </row>
    <row r="895" spans="1:11" x14ac:dyDescent="0.3">
      <c r="A895" t="s">
        <v>50</v>
      </c>
      <c r="B895">
        <v>98</v>
      </c>
      <c r="C895">
        <v>1770</v>
      </c>
      <c r="D895">
        <v>3539</v>
      </c>
      <c r="G895">
        <v>5055</v>
      </c>
      <c r="H895">
        <v>0</v>
      </c>
      <c r="I895">
        <v>4721</v>
      </c>
      <c r="K895">
        <v>0</v>
      </c>
    </row>
    <row r="896" spans="1:11" x14ac:dyDescent="0.3">
      <c r="A896" t="s">
        <v>692</v>
      </c>
      <c r="B896">
        <v>98</v>
      </c>
      <c r="C896">
        <v>1</v>
      </c>
      <c r="D896">
        <v>1</v>
      </c>
      <c r="G896">
        <v>1</v>
      </c>
      <c r="H896">
        <v>1</v>
      </c>
      <c r="I896">
        <v>1</v>
      </c>
      <c r="K896">
        <v>1</v>
      </c>
    </row>
    <row r="897" spans="1:11" x14ac:dyDescent="0.3">
      <c r="A897" t="s">
        <v>51</v>
      </c>
      <c r="B897">
        <v>98</v>
      </c>
      <c r="C897">
        <v>0</v>
      </c>
      <c r="D897">
        <v>0</v>
      </c>
      <c r="G897">
        <v>12</v>
      </c>
      <c r="H897">
        <v>0</v>
      </c>
      <c r="I897">
        <v>27</v>
      </c>
      <c r="K897">
        <v>0</v>
      </c>
    </row>
    <row r="898" spans="1:11" x14ac:dyDescent="0.3">
      <c r="A898" t="s">
        <v>53</v>
      </c>
      <c r="B898">
        <v>98</v>
      </c>
      <c r="C898">
        <v>74</v>
      </c>
      <c r="D898">
        <v>730</v>
      </c>
      <c r="G898">
        <v>558</v>
      </c>
      <c r="H898">
        <v>25</v>
      </c>
      <c r="I898">
        <v>21</v>
      </c>
      <c r="K898">
        <v>25</v>
      </c>
    </row>
    <row r="899" spans="1:11" x14ac:dyDescent="0.3">
      <c r="A899" t="s">
        <v>54</v>
      </c>
      <c r="B899">
        <v>98</v>
      </c>
      <c r="C899">
        <v>0</v>
      </c>
      <c r="D899">
        <v>0</v>
      </c>
      <c r="G899">
        <v>0</v>
      </c>
      <c r="H899">
        <v>0</v>
      </c>
      <c r="I899">
        <v>0</v>
      </c>
      <c r="K899">
        <v>0</v>
      </c>
    </row>
    <row r="900" spans="1:11" x14ac:dyDescent="0.3">
      <c r="A900" t="s">
        <v>55</v>
      </c>
      <c r="B900">
        <v>98</v>
      </c>
      <c r="C900">
        <v>0</v>
      </c>
      <c r="D900">
        <v>0</v>
      </c>
      <c r="G900">
        <v>0</v>
      </c>
      <c r="H900">
        <v>0</v>
      </c>
      <c r="I900">
        <v>0</v>
      </c>
      <c r="K900">
        <v>0</v>
      </c>
    </row>
    <row r="901" spans="1:11" x14ac:dyDescent="0.3">
      <c r="A901" t="s">
        <v>56</v>
      </c>
      <c r="B901">
        <v>98</v>
      </c>
      <c r="C901">
        <v>0.92</v>
      </c>
      <c r="D901">
        <v>0.92</v>
      </c>
      <c r="G901">
        <v>0.92</v>
      </c>
      <c r="H901">
        <v>0.92</v>
      </c>
      <c r="I901">
        <v>0.92</v>
      </c>
      <c r="K901">
        <v>0.92</v>
      </c>
    </row>
    <row r="902" spans="1:11" x14ac:dyDescent="0.3">
      <c r="A902" t="s">
        <v>57</v>
      </c>
      <c r="B902">
        <v>98</v>
      </c>
      <c r="C902">
        <v>100</v>
      </c>
      <c r="D902">
        <v>100</v>
      </c>
      <c r="G902">
        <v>100</v>
      </c>
      <c r="H902">
        <v>100</v>
      </c>
      <c r="I902">
        <v>100</v>
      </c>
      <c r="K902">
        <v>100</v>
      </c>
    </row>
    <row r="903" spans="1:11" x14ac:dyDescent="0.3">
      <c r="A903" t="s">
        <v>58</v>
      </c>
      <c r="B903">
        <v>98</v>
      </c>
      <c r="C903">
        <v>2</v>
      </c>
      <c r="D903">
        <v>2</v>
      </c>
      <c r="G903">
        <v>2</v>
      </c>
      <c r="H903">
        <v>2</v>
      </c>
      <c r="I903">
        <v>2</v>
      </c>
      <c r="K903">
        <v>2</v>
      </c>
    </row>
    <row r="904" spans="1:11" x14ac:dyDescent="0.3">
      <c r="A904" t="s">
        <v>59</v>
      </c>
      <c r="B904">
        <v>98</v>
      </c>
      <c r="C904">
        <v>0</v>
      </c>
      <c r="D904">
        <v>0</v>
      </c>
      <c r="G904">
        <v>0</v>
      </c>
      <c r="H904">
        <v>0</v>
      </c>
      <c r="I904">
        <v>0</v>
      </c>
      <c r="K904">
        <v>0</v>
      </c>
    </row>
    <row r="905" spans="1:11" x14ac:dyDescent="0.3">
      <c r="A905" t="s">
        <v>693</v>
      </c>
      <c r="B905">
        <v>98</v>
      </c>
      <c r="D905">
        <v>0</v>
      </c>
      <c r="G905">
        <v>0</v>
      </c>
      <c r="I905">
        <v>0</v>
      </c>
    </row>
    <row r="906" spans="1:11" x14ac:dyDescent="0.3">
      <c r="A906" t="s">
        <v>674</v>
      </c>
      <c r="B906">
        <v>98</v>
      </c>
      <c r="D906">
        <v>3996</v>
      </c>
      <c r="G906">
        <v>1314</v>
      </c>
      <c r="I906">
        <v>285</v>
      </c>
    </row>
    <row r="907" spans="1:11" x14ac:dyDescent="0.3">
      <c r="A907" t="s">
        <v>78</v>
      </c>
      <c r="B907">
        <v>98</v>
      </c>
      <c r="D907">
        <v>60.5</v>
      </c>
      <c r="G907">
        <v>19.899999999999999</v>
      </c>
      <c r="I907">
        <v>4.3</v>
      </c>
    </row>
    <row r="908" spans="1:11" x14ac:dyDescent="0.3">
      <c r="A908" t="s">
        <v>694</v>
      </c>
      <c r="B908">
        <v>98</v>
      </c>
      <c r="D908">
        <v>0</v>
      </c>
      <c r="H908">
        <v>0</v>
      </c>
      <c r="K908">
        <v>0</v>
      </c>
    </row>
    <row r="909" spans="1:11" x14ac:dyDescent="0.3">
      <c r="A909" t="s">
        <v>695</v>
      </c>
      <c r="B909">
        <v>98</v>
      </c>
      <c r="C909">
        <v>0</v>
      </c>
      <c r="D909">
        <v>0</v>
      </c>
      <c r="G909">
        <v>0</v>
      </c>
      <c r="H909">
        <v>1</v>
      </c>
      <c r="I909">
        <v>0</v>
      </c>
      <c r="K909">
        <v>1</v>
      </c>
    </row>
    <row r="910" spans="1:11" x14ac:dyDescent="0.3">
      <c r="A910" t="s">
        <v>696</v>
      </c>
      <c r="B910">
        <v>98</v>
      </c>
      <c r="C910">
        <v>0</v>
      </c>
      <c r="D910">
        <v>0</v>
      </c>
      <c r="G910">
        <v>0</v>
      </c>
      <c r="H910">
        <v>0</v>
      </c>
      <c r="I910">
        <v>0</v>
      </c>
      <c r="K910">
        <v>0</v>
      </c>
    </row>
    <row r="911" spans="1:11" x14ac:dyDescent="0.3">
      <c r="A911" t="s">
        <v>52</v>
      </c>
      <c r="B911">
        <v>98</v>
      </c>
      <c r="C911">
        <v>1</v>
      </c>
      <c r="D911">
        <v>1</v>
      </c>
      <c r="G911">
        <v>1</v>
      </c>
      <c r="H911">
        <v>1</v>
      </c>
      <c r="I911">
        <v>1</v>
      </c>
      <c r="K911">
        <v>1</v>
      </c>
    </row>
    <row r="912" spans="1:11" x14ac:dyDescent="0.3">
      <c r="A912" t="s">
        <v>697</v>
      </c>
      <c r="B912">
        <v>98</v>
      </c>
      <c r="C912">
        <v>15</v>
      </c>
      <c r="D912">
        <v>60</v>
      </c>
      <c r="G912">
        <v>60</v>
      </c>
      <c r="H912">
        <v>9</v>
      </c>
      <c r="I912">
        <v>15</v>
      </c>
      <c r="K912">
        <v>9</v>
      </c>
    </row>
    <row r="913" spans="1:9" x14ac:dyDescent="0.3">
      <c r="A913" t="s">
        <v>43</v>
      </c>
      <c r="B913">
        <v>98</v>
      </c>
      <c r="C913">
        <v>20</v>
      </c>
      <c r="D913">
        <v>100</v>
      </c>
      <c r="G913">
        <v>100</v>
      </c>
      <c r="I913">
        <v>20</v>
      </c>
    </row>
    <row r="914" spans="1:9" x14ac:dyDescent="0.3">
      <c r="A914" t="s">
        <v>44</v>
      </c>
      <c r="B914">
        <v>98</v>
      </c>
      <c r="C914">
        <v>0</v>
      </c>
      <c r="D914">
        <v>0</v>
      </c>
      <c r="G914">
        <v>0</v>
      </c>
      <c r="I914">
        <v>0</v>
      </c>
    </row>
    <row r="915" spans="1:9" x14ac:dyDescent="0.3">
      <c r="A915" t="s">
        <v>47</v>
      </c>
      <c r="B915">
        <v>98</v>
      </c>
      <c r="C915">
        <v>5</v>
      </c>
      <c r="D915">
        <v>2</v>
      </c>
      <c r="G915">
        <v>6</v>
      </c>
      <c r="I915">
        <v>4</v>
      </c>
    </row>
    <row r="916" spans="1:9" x14ac:dyDescent="0.3">
      <c r="A916" t="s">
        <v>698</v>
      </c>
      <c r="B916">
        <v>98</v>
      </c>
      <c r="C916">
        <v>0</v>
      </c>
      <c r="D916">
        <v>0</v>
      </c>
      <c r="G916">
        <v>0</v>
      </c>
      <c r="I916">
        <v>0</v>
      </c>
    </row>
    <row r="917" spans="1:9" x14ac:dyDescent="0.3">
      <c r="A917" t="s">
        <v>699</v>
      </c>
      <c r="B917">
        <v>98</v>
      </c>
      <c r="C917">
        <v>0</v>
      </c>
      <c r="D917">
        <v>0</v>
      </c>
      <c r="G917">
        <v>0</v>
      </c>
      <c r="I917">
        <v>0</v>
      </c>
    </row>
    <row r="918" spans="1:9" x14ac:dyDescent="0.3">
      <c r="A918" t="s">
        <v>700</v>
      </c>
      <c r="B918">
        <v>98</v>
      </c>
      <c r="C918">
        <v>0</v>
      </c>
      <c r="D918">
        <v>0</v>
      </c>
      <c r="G918">
        <v>0</v>
      </c>
      <c r="I918">
        <v>0</v>
      </c>
    </row>
    <row r="919" spans="1:9" x14ac:dyDescent="0.3">
      <c r="A919" t="s">
        <v>701</v>
      </c>
      <c r="B919">
        <v>98</v>
      </c>
      <c r="C919">
        <v>0</v>
      </c>
      <c r="D919">
        <v>0</v>
      </c>
      <c r="G919">
        <v>0</v>
      </c>
      <c r="I919">
        <v>0</v>
      </c>
    </row>
    <row r="920" spans="1:9" x14ac:dyDescent="0.3">
      <c r="A920" t="s">
        <v>702</v>
      </c>
      <c r="B920">
        <v>98</v>
      </c>
      <c r="C920">
        <v>1</v>
      </c>
      <c r="D920">
        <v>2</v>
      </c>
      <c r="G920">
        <v>2</v>
      </c>
      <c r="I920">
        <v>1</v>
      </c>
    </row>
    <row r="921" spans="1:9" x14ac:dyDescent="0.3">
      <c r="A921" t="s">
        <v>703</v>
      </c>
      <c r="B921">
        <v>98</v>
      </c>
      <c r="C921">
        <v>0</v>
      </c>
      <c r="D921">
        <v>0</v>
      </c>
      <c r="G921">
        <v>0</v>
      </c>
      <c r="I921">
        <v>0</v>
      </c>
    </row>
    <row r="922" spans="1:9" x14ac:dyDescent="0.3">
      <c r="A922" t="s">
        <v>704</v>
      </c>
      <c r="B922">
        <v>98</v>
      </c>
      <c r="C922">
        <v>20</v>
      </c>
      <c r="D922">
        <v>6</v>
      </c>
      <c r="G922">
        <v>6</v>
      </c>
      <c r="I922">
        <v>20</v>
      </c>
    </row>
    <row r="923" spans="1:9" x14ac:dyDescent="0.3">
      <c r="A923" t="s">
        <v>705</v>
      </c>
      <c r="B923">
        <v>98</v>
      </c>
      <c r="C923">
        <v>3</v>
      </c>
      <c r="D923">
        <v>3</v>
      </c>
      <c r="G923">
        <v>3</v>
      </c>
      <c r="I923">
        <v>3</v>
      </c>
    </row>
    <row r="924" spans="1:9" x14ac:dyDescent="0.3">
      <c r="A924" t="s">
        <v>706</v>
      </c>
      <c r="B924">
        <v>98</v>
      </c>
      <c r="C924">
        <v>0</v>
      </c>
      <c r="D924">
        <v>0</v>
      </c>
      <c r="G924">
        <v>0</v>
      </c>
      <c r="I924">
        <v>0</v>
      </c>
    </row>
    <row r="925" spans="1:9" x14ac:dyDescent="0.3">
      <c r="A925" t="s">
        <v>707</v>
      </c>
      <c r="B925">
        <v>98</v>
      </c>
      <c r="C925">
        <v>0</v>
      </c>
      <c r="D925">
        <v>0</v>
      </c>
      <c r="G925">
        <v>0</v>
      </c>
      <c r="I925">
        <v>0</v>
      </c>
    </row>
    <row r="926" spans="1:9" x14ac:dyDescent="0.3">
      <c r="A926" t="s">
        <v>708</v>
      </c>
      <c r="B926">
        <v>98</v>
      </c>
      <c r="C926">
        <v>0</v>
      </c>
      <c r="D926">
        <v>0</v>
      </c>
      <c r="G926">
        <v>0</v>
      </c>
      <c r="I926">
        <v>0</v>
      </c>
    </row>
    <row r="927" spans="1:9" x14ac:dyDescent="0.3">
      <c r="A927" t="s">
        <v>709</v>
      </c>
      <c r="B927">
        <v>98</v>
      </c>
      <c r="D927">
        <v>94</v>
      </c>
      <c r="G927">
        <v>94</v>
      </c>
    </row>
    <row r="928" spans="1:9" x14ac:dyDescent="0.3">
      <c r="A928" t="s">
        <v>710</v>
      </c>
      <c r="B928">
        <v>98</v>
      </c>
      <c r="D928">
        <v>6</v>
      </c>
      <c r="G928">
        <v>6</v>
      </c>
    </row>
    <row r="929" spans="1:11" x14ac:dyDescent="0.3">
      <c r="A929" t="s">
        <v>711</v>
      </c>
      <c r="B929">
        <v>98</v>
      </c>
      <c r="D929">
        <v>3</v>
      </c>
      <c r="G929">
        <v>3</v>
      </c>
    </row>
    <row r="930" spans="1:11" x14ac:dyDescent="0.3">
      <c r="A930" t="s">
        <v>712</v>
      </c>
      <c r="B930">
        <v>98</v>
      </c>
      <c r="D930">
        <v>0</v>
      </c>
      <c r="G930">
        <v>0</v>
      </c>
    </row>
    <row r="931" spans="1:11" x14ac:dyDescent="0.3">
      <c r="A931" t="s">
        <v>713</v>
      </c>
      <c r="B931">
        <v>98</v>
      </c>
      <c r="D931">
        <v>0</v>
      </c>
      <c r="G931">
        <v>0</v>
      </c>
      <c r="I931">
        <v>0</v>
      </c>
    </row>
    <row r="932" spans="1:11" x14ac:dyDescent="0.3">
      <c r="A932" t="s">
        <v>405</v>
      </c>
      <c r="B932">
        <v>98</v>
      </c>
      <c r="D932">
        <v>0</v>
      </c>
    </row>
    <row r="933" spans="1:11" x14ac:dyDescent="0.3">
      <c r="A933" t="s">
        <v>714</v>
      </c>
      <c r="B933">
        <v>98</v>
      </c>
      <c r="C933">
        <v>80</v>
      </c>
      <c r="D933">
        <v>793</v>
      </c>
      <c r="G933">
        <v>634</v>
      </c>
      <c r="H933">
        <v>0</v>
      </c>
      <c r="I933">
        <v>50</v>
      </c>
      <c r="K933">
        <v>0</v>
      </c>
    </row>
    <row r="935" spans="1:11" x14ac:dyDescent="0.3">
      <c r="A935" t="s">
        <v>565</v>
      </c>
    </row>
    <row r="936" spans="1:11" x14ac:dyDescent="0.3">
      <c r="A936" t="s">
        <v>715</v>
      </c>
    </row>
    <row r="937" spans="1:11" x14ac:dyDescent="0.3">
      <c r="A937" t="s">
        <v>0</v>
      </c>
      <c r="B937" t="s">
        <v>1</v>
      </c>
      <c r="C937" t="s">
        <v>643</v>
      </c>
    </row>
    <row r="938" spans="1:11" x14ac:dyDescent="0.3">
      <c r="A938" t="s">
        <v>716</v>
      </c>
      <c r="B938">
        <v>39</v>
      </c>
      <c r="C938">
        <v>0</v>
      </c>
    </row>
    <row r="939" spans="1:11" x14ac:dyDescent="0.3">
      <c r="A939" t="s">
        <v>717</v>
      </c>
      <c r="B939">
        <v>39</v>
      </c>
      <c r="C939">
        <v>73.2</v>
      </c>
    </row>
    <row r="940" spans="1:11" x14ac:dyDescent="0.3">
      <c r="A940" t="s">
        <v>718</v>
      </c>
      <c r="B940">
        <v>39</v>
      </c>
      <c r="C940">
        <v>0</v>
      </c>
    </row>
    <row r="941" spans="1:11" x14ac:dyDescent="0.3">
      <c r="A941" t="s">
        <v>719</v>
      </c>
      <c r="B941">
        <v>39</v>
      </c>
      <c r="C941">
        <v>0</v>
      </c>
    </row>
    <row r="942" spans="1:11" x14ac:dyDescent="0.3">
      <c r="A942" t="s">
        <v>720</v>
      </c>
      <c r="B942">
        <v>39</v>
      </c>
      <c r="C942">
        <v>206</v>
      </c>
    </row>
    <row r="943" spans="1:11" x14ac:dyDescent="0.3">
      <c r="A943" t="s">
        <v>563</v>
      </c>
      <c r="B943">
        <v>39</v>
      </c>
      <c r="C943">
        <v>54.5</v>
      </c>
    </row>
    <row r="944" spans="1:11" x14ac:dyDescent="0.3">
      <c r="A944" t="s">
        <v>721</v>
      </c>
      <c r="B944">
        <v>39</v>
      </c>
      <c r="C944">
        <v>0</v>
      </c>
    </row>
    <row r="945" spans="1:3" x14ac:dyDescent="0.3">
      <c r="A945" t="s">
        <v>272</v>
      </c>
      <c r="B945">
        <v>39</v>
      </c>
      <c r="C945">
        <v>0</v>
      </c>
    </row>
    <row r="946" spans="1:3" x14ac:dyDescent="0.3">
      <c r="A946" t="s">
        <v>722</v>
      </c>
      <c r="B946">
        <v>39</v>
      </c>
      <c r="C946">
        <v>39</v>
      </c>
    </row>
    <row r="947" spans="1:3" x14ac:dyDescent="0.3">
      <c r="A947" t="s">
        <v>723</v>
      </c>
      <c r="B947">
        <v>39</v>
      </c>
      <c r="C947">
        <v>0</v>
      </c>
    </row>
    <row r="948" spans="1:3" x14ac:dyDescent="0.3">
      <c r="A948" t="s">
        <v>716</v>
      </c>
      <c r="B948">
        <v>75</v>
      </c>
      <c r="C948">
        <v>0</v>
      </c>
    </row>
    <row r="949" spans="1:3" x14ac:dyDescent="0.3">
      <c r="A949" t="s">
        <v>717</v>
      </c>
      <c r="B949">
        <v>75</v>
      </c>
      <c r="C949">
        <v>70.3</v>
      </c>
    </row>
    <row r="950" spans="1:3" x14ac:dyDescent="0.3">
      <c r="A950" t="s">
        <v>718</v>
      </c>
      <c r="B950">
        <v>75</v>
      </c>
      <c r="C950">
        <v>0</v>
      </c>
    </row>
    <row r="951" spans="1:3" x14ac:dyDescent="0.3">
      <c r="A951" t="s">
        <v>719</v>
      </c>
      <c r="B951">
        <v>75</v>
      </c>
      <c r="C951">
        <v>0</v>
      </c>
    </row>
    <row r="952" spans="1:3" x14ac:dyDescent="0.3">
      <c r="A952" t="s">
        <v>720</v>
      </c>
      <c r="B952">
        <v>75</v>
      </c>
      <c r="C952">
        <v>206</v>
      </c>
    </row>
    <row r="953" spans="1:3" x14ac:dyDescent="0.3">
      <c r="A953" t="s">
        <v>563</v>
      </c>
      <c r="B953">
        <v>75</v>
      </c>
      <c r="C953">
        <v>0</v>
      </c>
    </row>
    <row r="954" spans="1:3" x14ac:dyDescent="0.3">
      <c r="A954" t="s">
        <v>721</v>
      </c>
      <c r="B954">
        <v>75</v>
      </c>
      <c r="C954">
        <v>0</v>
      </c>
    </row>
    <row r="955" spans="1:3" x14ac:dyDescent="0.3">
      <c r="A955" t="s">
        <v>272</v>
      </c>
      <c r="B955">
        <v>75</v>
      </c>
      <c r="C955">
        <v>0</v>
      </c>
    </row>
    <row r="956" spans="1:3" x14ac:dyDescent="0.3">
      <c r="A956" t="s">
        <v>722</v>
      </c>
      <c r="B956">
        <v>75</v>
      </c>
      <c r="C956">
        <v>75</v>
      </c>
    </row>
    <row r="957" spans="1:3" x14ac:dyDescent="0.3">
      <c r="A957" t="s">
        <v>723</v>
      </c>
      <c r="B957">
        <v>75</v>
      </c>
      <c r="C957">
        <v>0</v>
      </c>
    </row>
    <row r="958" spans="1:3" x14ac:dyDescent="0.3">
      <c r="A958" t="s">
        <v>716</v>
      </c>
      <c r="B958">
        <v>78</v>
      </c>
      <c r="C958">
        <v>0</v>
      </c>
    </row>
    <row r="959" spans="1:3" x14ac:dyDescent="0.3">
      <c r="A959" t="s">
        <v>717</v>
      </c>
      <c r="B959">
        <v>78</v>
      </c>
      <c r="C959">
        <v>57.1</v>
      </c>
    </row>
    <row r="960" spans="1:3" x14ac:dyDescent="0.3">
      <c r="A960" t="s">
        <v>718</v>
      </c>
      <c r="B960">
        <v>78</v>
      </c>
      <c r="C960">
        <v>0</v>
      </c>
    </row>
    <row r="961" spans="1:3" x14ac:dyDescent="0.3">
      <c r="A961" t="s">
        <v>719</v>
      </c>
      <c r="B961">
        <v>78</v>
      </c>
      <c r="C961">
        <v>0</v>
      </c>
    </row>
    <row r="962" spans="1:3" x14ac:dyDescent="0.3">
      <c r="A962" t="s">
        <v>720</v>
      </c>
      <c r="B962">
        <v>78</v>
      </c>
      <c r="C962">
        <v>206</v>
      </c>
    </row>
    <row r="963" spans="1:3" x14ac:dyDescent="0.3">
      <c r="A963" t="s">
        <v>563</v>
      </c>
      <c r="B963">
        <v>78</v>
      </c>
      <c r="C963">
        <v>0</v>
      </c>
    </row>
    <row r="964" spans="1:3" x14ac:dyDescent="0.3">
      <c r="A964" t="s">
        <v>721</v>
      </c>
      <c r="B964">
        <v>78</v>
      </c>
      <c r="C964">
        <v>0</v>
      </c>
    </row>
    <row r="965" spans="1:3" x14ac:dyDescent="0.3">
      <c r="A965" t="s">
        <v>272</v>
      </c>
      <c r="B965">
        <v>78</v>
      </c>
      <c r="C965">
        <v>0</v>
      </c>
    </row>
    <row r="966" spans="1:3" x14ac:dyDescent="0.3">
      <c r="A966" t="s">
        <v>722</v>
      </c>
      <c r="B966">
        <v>78</v>
      </c>
      <c r="C966">
        <v>78</v>
      </c>
    </row>
    <row r="967" spans="1:3" x14ac:dyDescent="0.3">
      <c r="A967" t="s">
        <v>723</v>
      </c>
      <c r="B967">
        <v>78</v>
      </c>
      <c r="C967">
        <v>0</v>
      </c>
    </row>
    <row r="968" spans="1:3" x14ac:dyDescent="0.3">
      <c r="A968" t="s">
        <v>716</v>
      </c>
      <c r="B968">
        <v>80</v>
      </c>
      <c r="C968">
        <v>0</v>
      </c>
    </row>
    <row r="969" spans="1:3" x14ac:dyDescent="0.3">
      <c r="A969" t="s">
        <v>717</v>
      </c>
      <c r="B969">
        <v>80</v>
      </c>
      <c r="C969">
        <v>45</v>
      </c>
    </row>
    <row r="970" spans="1:3" x14ac:dyDescent="0.3">
      <c r="A970" t="s">
        <v>718</v>
      </c>
      <c r="B970">
        <v>80</v>
      </c>
      <c r="C970">
        <v>0</v>
      </c>
    </row>
    <row r="971" spans="1:3" x14ac:dyDescent="0.3">
      <c r="A971" t="s">
        <v>719</v>
      </c>
      <c r="B971">
        <v>80</v>
      </c>
      <c r="C971">
        <v>0</v>
      </c>
    </row>
    <row r="972" spans="1:3" x14ac:dyDescent="0.3">
      <c r="A972" t="s">
        <v>720</v>
      </c>
      <c r="B972">
        <v>80</v>
      </c>
      <c r="C972">
        <v>206</v>
      </c>
    </row>
    <row r="973" spans="1:3" x14ac:dyDescent="0.3">
      <c r="A973" t="s">
        <v>563</v>
      </c>
      <c r="B973">
        <v>80</v>
      </c>
      <c r="C973">
        <v>0</v>
      </c>
    </row>
    <row r="974" spans="1:3" x14ac:dyDescent="0.3">
      <c r="A974" t="s">
        <v>721</v>
      </c>
      <c r="B974">
        <v>80</v>
      </c>
      <c r="C974">
        <v>0</v>
      </c>
    </row>
    <row r="975" spans="1:3" x14ac:dyDescent="0.3">
      <c r="A975" t="s">
        <v>272</v>
      </c>
      <c r="B975">
        <v>80</v>
      </c>
      <c r="C975">
        <v>0</v>
      </c>
    </row>
    <row r="976" spans="1:3" x14ac:dyDescent="0.3">
      <c r="A976" t="s">
        <v>722</v>
      </c>
      <c r="B976">
        <v>80</v>
      </c>
      <c r="C976">
        <v>80</v>
      </c>
    </row>
    <row r="977" spans="1:3" x14ac:dyDescent="0.3">
      <c r="A977" t="s">
        <v>723</v>
      </c>
      <c r="B977">
        <v>80</v>
      </c>
      <c r="C977">
        <v>0</v>
      </c>
    </row>
    <row r="978" spans="1:3" x14ac:dyDescent="0.3">
      <c r="A978" t="s">
        <v>716</v>
      </c>
      <c r="B978">
        <v>82</v>
      </c>
      <c r="C978">
        <v>0</v>
      </c>
    </row>
    <row r="979" spans="1:3" x14ac:dyDescent="0.3">
      <c r="A979" t="s">
        <v>717</v>
      </c>
      <c r="B979">
        <v>82</v>
      </c>
      <c r="C979">
        <v>76.5</v>
      </c>
    </row>
    <row r="980" spans="1:3" x14ac:dyDescent="0.3">
      <c r="A980" t="s">
        <v>718</v>
      </c>
      <c r="B980">
        <v>82</v>
      </c>
      <c r="C980">
        <v>0</v>
      </c>
    </row>
    <row r="981" spans="1:3" x14ac:dyDescent="0.3">
      <c r="A981" t="s">
        <v>719</v>
      </c>
      <c r="B981">
        <v>82</v>
      </c>
      <c r="C981">
        <v>0</v>
      </c>
    </row>
    <row r="982" spans="1:3" x14ac:dyDescent="0.3">
      <c r="A982" t="s">
        <v>720</v>
      </c>
      <c r="B982">
        <v>82</v>
      </c>
      <c r="C982">
        <v>206</v>
      </c>
    </row>
    <row r="983" spans="1:3" x14ac:dyDescent="0.3">
      <c r="A983" t="s">
        <v>563</v>
      </c>
      <c r="B983">
        <v>82</v>
      </c>
      <c r="C983">
        <v>0</v>
      </c>
    </row>
    <row r="984" spans="1:3" x14ac:dyDescent="0.3">
      <c r="A984" t="s">
        <v>721</v>
      </c>
      <c r="B984">
        <v>82</v>
      </c>
      <c r="C984">
        <v>0</v>
      </c>
    </row>
    <row r="985" spans="1:3" x14ac:dyDescent="0.3">
      <c r="A985" t="s">
        <v>272</v>
      </c>
      <c r="B985">
        <v>82</v>
      </c>
      <c r="C985">
        <v>0</v>
      </c>
    </row>
    <row r="986" spans="1:3" x14ac:dyDescent="0.3">
      <c r="A986" t="s">
        <v>722</v>
      </c>
      <c r="B986">
        <v>82</v>
      </c>
      <c r="C986">
        <v>82</v>
      </c>
    </row>
    <row r="987" spans="1:3" x14ac:dyDescent="0.3">
      <c r="A987" t="s">
        <v>723</v>
      </c>
      <c r="B987">
        <v>82</v>
      </c>
      <c r="C987">
        <v>0</v>
      </c>
    </row>
    <row r="988" spans="1:3" x14ac:dyDescent="0.3">
      <c r="A988" t="s">
        <v>716</v>
      </c>
      <c r="B988">
        <v>84</v>
      </c>
      <c r="C988">
        <v>0</v>
      </c>
    </row>
    <row r="989" spans="1:3" x14ac:dyDescent="0.3">
      <c r="A989" t="s">
        <v>717</v>
      </c>
      <c r="B989">
        <v>84</v>
      </c>
      <c r="C989">
        <v>65.400000000000006</v>
      </c>
    </row>
    <row r="990" spans="1:3" x14ac:dyDescent="0.3">
      <c r="A990" t="s">
        <v>718</v>
      </c>
      <c r="B990">
        <v>84</v>
      </c>
      <c r="C990">
        <v>0</v>
      </c>
    </row>
    <row r="991" spans="1:3" x14ac:dyDescent="0.3">
      <c r="A991" t="s">
        <v>719</v>
      </c>
      <c r="B991">
        <v>84</v>
      </c>
      <c r="C991">
        <v>0</v>
      </c>
    </row>
    <row r="992" spans="1:3" x14ac:dyDescent="0.3">
      <c r="A992" t="s">
        <v>720</v>
      </c>
      <c r="B992">
        <v>84</v>
      </c>
      <c r="C992">
        <v>206</v>
      </c>
    </row>
    <row r="993" spans="1:3" x14ac:dyDescent="0.3">
      <c r="A993" t="s">
        <v>563</v>
      </c>
      <c r="B993">
        <v>84</v>
      </c>
      <c r="C993">
        <v>0</v>
      </c>
    </row>
    <row r="994" spans="1:3" x14ac:dyDescent="0.3">
      <c r="A994" t="s">
        <v>721</v>
      </c>
      <c r="B994">
        <v>84</v>
      </c>
      <c r="C994">
        <v>0</v>
      </c>
    </row>
    <row r="995" spans="1:3" x14ac:dyDescent="0.3">
      <c r="A995" t="s">
        <v>272</v>
      </c>
      <c r="B995">
        <v>84</v>
      </c>
      <c r="C995">
        <v>0</v>
      </c>
    </row>
    <row r="996" spans="1:3" x14ac:dyDescent="0.3">
      <c r="A996" t="s">
        <v>722</v>
      </c>
      <c r="B996">
        <v>84</v>
      </c>
      <c r="C996">
        <v>84</v>
      </c>
    </row>
    <row r="997" spans="1:3" x14ac:dyDescent="0.3">
      <c r="A997" t="s">
        <v>723</v>
      </c>
      <c r="B997">
        <v>84</v>
      </c>
      <c r="C997">
        <v>0</v>
      </c>
    </row>
    <row r="998" spans="1:3" x14ac:dyDescent="0.3">
      <c r="A998" t="s">
        <v>716</v>
      </c>
      <c r="B998">
        <v>87</v>
      </c>
      <c r="C998">
        <v>0</v>
      </c>
    </row>
    <row r="999" spans="1:3" x14ac:dyDescent="0.3">
      <c r="A999" t="s">
        <v>717</v>
      </c>
      <c r="B999">
        <v>87</v>
      </c>
      <c r="C999">
        <v>68.2</v>
      </c>
    </row>
    <row r="1000" spans="1:3" x14ac:dyDescent="0.3">
      <c r="A1000" t="s">
        <v>718</v>
      </c>
      <c r="B1000">
        <v>87</v>
      </c>
      <c r="C1000">
        <v>0</v>
      </c>
    </row>
    <row r="1001" spans="1:3" x14ac:dyDescent="0.3">
      <c r="A1001" t="s">
        <v>719</v>
      </c>
      <c r="B1001">
        <v>87</v>
      </c>
      <c r="C1001">
        <v>0</v>
      </c>
    </row>
    <row r="1002" spans="1:3" x14ac:dyDescent="0.3">
      <c r="A1002" t="s">
        <v>720</v>
      </c>
      <c r="B1002">
        <v>87</v>
      </c>
      <c r="C1002">
        <v>206</v>
      </c>
    </row>
    <row r="1003" spans="1:3" x14ac:dyDescent="0.3">
      <c r="A1003" t="s">
        <v>563</v>
      </c>
      <c r="B1003">
        <v>87</v>
      </c>
      <c r="C1003">
        <v>0</v>
      </c>
    </row>
    <row r="1004" spans="1:3" x14ac:dyDescent="0.3">
      <c r="A1004" t="s">
        <v>721</v>
      </c>
      <c r="B1004">
        <v>87</v>
      </c>
      <c r="C1004">
        <v>0</v>
      </c>
    </row>
    <row r="1005" spans="1:3" x14ac:dyDescent="0.3">
      <c r="A1005" t="s">
        <v>272</v>
      </c>
      <c r="B1005">
        <v>87</v>
      </c>
      <c r="C1005">
        <v>0</v>
      </c>
    </row>
    <row r="1006" spans="1:3" x14ac:dyDescent="0.3">
      <c r="A1006" t="s">
        <v>722</v>
      </c>
      <c r="B1006">
        <v>87</v>
      </c>
      <c r="C1006">
        <v>87</v>
      </c>
    </row>
    <row r="1007" spans="1:3" x14ac:dyDescent="0.3">
      <c r="A1007" t="s">
        <v>723</v>
      </c>
      <c r="B1007">
        <v>87</v>
      </c>
      <c r="C1007">
        <v>0</v>
      </c>
    </row>
    <row r="1008" spans="1:3" x14ac:dyDescent="0.3">
      <c r="A1008" t="s">
        <v>716</v>
      </c>
      <c r="B1008">
        <v>98</v>
      </c>
      <c r="C1008">
        <v>0</v>
      </c>
    </row>
    <row r="1009" spans="1:10" x14ac:dyDescent="0.3">
      <c r="A1009" t="s">
        <v>717</v>
      </c>
      <c r="B1009">
        <v>98</v>
      </c>
      <c r="C1009">
        <v>60.5</v>
      </c>
    </row>
    <row r="1010" spans="1:10" x14ac:dyDescent="0.3">
      <c r="A1010" t="s">
        <v>718</v>
      </c>
      <c r="B1010">
        <v>98</v>
      </c>
      <c r="C1010">
        <v>0</v>
      </c>
    </row>
    <row r="1011" spans="1:10" x14ac:dyDescent="0.3">
      <c r="A1011" t="s">
        <v>719</v>
      </c>
      <c r="B1011">
        <v>98</v>
      </c>
      <c r="C1011">
        <v>0</v>
      </c>
    </row>
    <row r="1012" spans="1:10" x14ac:dyDescent="0.3">
      <c r="A1012" t="s">
        <v>720</v>
      </c>
      <c r="B1012">
        <v>98</v>
      </c>
      <c r="C1012">
        <v>206</v>
      </c>
    </row>
    <row r="1013" spans="1:10" x14ac:dyDescent="0.3">
      <c r="A1013" t="s">
        <v>563</v>
      </c>
      <c r="B1013">
        <v>98</v>
      </c>
      <c r="C1013">
        <v>0</v>
      </c>
    </row>
    <row r="1014" spans="1:10" x14ac:dyDescent="0.3">
      <c r="A1014" t="s">
        <v>721</v>
      </c>
      <c r="B1014">
        <v>98</v>
      </c>
      <c r="C1014">
        <v>0</v>
      </c>
    </row>
    <row r="1015" spans="1:10" x14ac:dyDescent="0.3">
      <c r="A1015" t="s">
        <v>272</v>
      </c>
      <c r="B1015">
        <v>98</v>
      </c>
      <c r="C1015">
        <v>0</v>
      </c>
    </row>
    <row r="1016" spans="1:10" x14ac:dyDescent="0.3">
      <c r="A1016" t="s">
        <v>722</v>
      </c>
      <c r="B1016">
        <v>98</v>
      </c>
      <c r="C1016">
        <v>98</v>
      </c>
    </row>
    <row r="1017" spans="1:10" x14ac:dyDescent="0.3">
      <c r="A1017" t="s">
        <v>723</v>
      </c>
      <c r="B1017">
        <v>98</v>
      </c>
      <c r="C1017">
        <v>0</v>
      </c>
    </row>
    <row r="1019" spans="1:10" x14ac:dyDescent="0.3">
      <c r="A1019" t="s">
        <v>566</v>
      </c>
    </row>
    <row r="1020" spans="1:10" x14ac:dyDescent="0.3">
      <c r="A1020" t="s">
        <v>724</v>
      </c>
    </row>
    <row r="1021" spans="1:10" x14ac:dyDescent="0.3">
      <c r="A1021" t="s">
        <v>0</v>
      </c>
      <c r="B1021" t="s">
        <v>1</v>
      </c>
      <c r="C1021" t="s">
        <v>246</v>
      </c>
      <c r="D1021" t="s">
        <v>247</v>
      </c>
      <c r="E1021" t="s">
        <v>248</v>
      </c>
      <c r="F1021" t="s">
        <v>249</v>
      </c>
      <c r="G1021" t="s">
        <v>250</v>
      </c>
      <c r="H1021" t="s">
        <v>251</v>
      </c>
      <c r="I1021" t="s">
        <v>252</v>
      </c>
      <c r="J1021" t="s">
        <v>253</v>
      </c>
    </row>
    <row r="1022" spans="1:10" x14ac:dyDescent="0.3">
      <c r="A1022" t="s">
        <v>254</v>
      </c>
      <c r="B1022">
        <v>39</v>
      </c>
      <c r="C1022">
        <v>111</v>
      </c>
      <c r="D1022">
        <v>112</v>
      </c>
      <c r="E1022">
        <v>211</v>
      </c>
      <c r="F1022">
        <v>212</v>
      </c>
      <c r="G1022">
        <v>121</v>
      </c>
      <c r="H1022">
        <v>122</v>
      </c>
      <c r="I1022">
        <v>221</v>
      </c>
      <c r="J1022">
        <v>222</v>
      </c>
    </row>
    <row r="1023" spans="1:10" x14ac:dyDescent="0.3">
      <c r="A1023" t="s">
        <v>255</v>
      </c>
      <c r="B1023">
        <v>39</v>
      </c>
      <c r="C1023">
        <v>6</v>
      </c>
      <c r="D1023">
        <v>20</v>
      </c>
      <c r="E1023">
        <v>6</v>
      </c>
      <c r="F1023">
        <v>6</v>
      </c>
      <c r="G1023">
        <v>6</v>
      </c>
      <c r="H1023">
        <v>20</v>
      </c>
      <c r="I1023">
        <v>6</v>
      </c>
      <c r="J1023">
        <v>6</v>
      </c>
    </row>
    <row r="1024" spans="1:10" x14ac:dyDescent="0.3">
      <c r="A1024" t="s">
        <v>256</v>
      </c>
      <c r="B1024">
        <v>39</v>
      </c>
      <c r="C1024">
        <v>6</v>
      </c>
      <c r="D1024">
        <v>20</v>
      </c>
      <c r="E1024">
        <v>6</v>
      </c>
      <c r="F1024">
        <v>18</v>
      </c>
      <c r="G1024">
        <v>6</v>
      </c>
      <c r="H1024">
        <v>20</v>
      </c>
      <c r="I1024">
        <v>6</v>
      </c>
      <c r="J1024">
        <v>18</v>
      </c>
    </row>
    <row r="1025" spans="1:10" x14ac:dyDescent="0.3">
      <c r="A1025" t="s">
        <v>257</v>
      </c>
      <c r="B1025">
        <v>39</v>
      </c>
      <c r="C1025">
        <v>3</v>
      </c>
      <c r="D1025">
        <v>3</v>
      </c>
      <c r="E1025">
        <v>3</v>
      </c>
      <c r="F1025">
        <v>3</v>
      </c>
      <c r="G1025">
        <v>3</v>
      </c>
      <c r="H1025">
        <v>3</v>
      </c>
      <c r="I1025">
        <v>3</v>
      </c>
      <c r="J1025">
        <v>3</v>
      </c>
    </row>
    <row r="1026" spans="1:10" x14ac:dyDescent="0.3">
      <c r="A1026" t="s">
        <v>258</v>
      </c>
      <c r="B1026">
        <v>39</v>
      </c>
      <c r="C1026">
        <v>0</v>
      </c>
      <c r="D1026">
        <v>0</v>
      </c>
      <c r="E1026">
        <v>0</v>
      </c>
      <c r="F1026">
        <v>0</v>
      </c>
      <c r="G1026">
        <v>0</v>
      </c>
      <c r="H1026">
        <v>0</v>
      </c>
      <c r="I1026">
        <v>0</v>
      </c>
      <c r="J1026">
        <v>0</v>
      </c>
    </row>
    <row r="1027" spans="1:10" x14ac:dyDescent="0.3">
      <c r="A1027" t="s">
        <v>259</v>
      </c>
      <c r="B1027">
        <v>39</v>
      </c>
      <c r="C1027">
        <v>0</v>
      </c>
      <c r="D1027">
        <v>0</v>
      </c>
      <c r="E1027">
        <v>0</v>
      </c>
      <c r="F1027">
        <v>0</v>
      </c>
      <c r="G1027">
        <v>0</v>
      </c>
      <c r="H1027">
        <v>0</v>
      </c>
      <c r="I1027">
        <v>0</v>
      </c>
      <c r="J1027">
        <v>0</v>
      </c>
    </row>
    <row r="1028" spans="1:10" x14ac:dyDescent="0.3">
      <c r="A1028" t="s">
        <v>260</v>
      </c>
      <c r="B1028">
        <v>39</v>
      </c>
      <c r="C1028">
        <v>3</v>
      </c>
      <c r="D1028">
        <v>3</v>
      </c>
      <c r="E1028">
        <v>3</v>
      </c>
      <c r="F1028">
        <v>3</v>
      </c>
      <c r="G1028">
        <v>3</v>
      </c>
      <c r="H1028">
        <v>3</v>
      </c>
      <c r="I1028">
        <v>3</v>
      </c>
      <c r="J1028">
        <v>3</v>
      </c>
    </row>
    <row r="1029" spans="1:10" x14ac:dyDescent="0.3">
      <c r="A1029" t="s">
        <v>261</v>
      </c>
      <c r="B1029">
        <v>39</v>
      </c>
      <c r="C1029">
        <v>3</v>
      </c>
      <c r="D1029">
        <v>4.3</v>
      </c>
      <c r="E1029">
        <v>3</v>
      </c>
      <c r="F1029">
        <v>3.6</v>
      </c>
      <c r="G1029">
        <v>3</v>
      </c>
      <c r="H1029">
        <v>4.3</v>
      </c>
      <c r="I1029">
        <v>3</v>
      </c>
      <c r="J1029">
        <v>3.6</v>
      </c>
    </row>
    <row r="1030" spans="1:10" x14ac:dyDescent="0.3">
      <c r="A1030" t="s">
        <v>262</v>
      </c>
      <c r="B1030">
        <v>39</v>
      </c>
      <c r="C1030">
        <v>3</v>
      </c>
      <c r="D1030">
        <v>1</v>
      </c>
      <c r="E1030">
        <v>3</v>
      </c>
      <c r="F1030">
        <v>2.2999999999999998</v>
      </c>
      <c r="G1030">
        <v>3</v>
      </c>
      <c r="H1030">
        <v>1</v>
      </c>
      <c r="I1030">
        <v>2.9</v>
      </c>
      <c r="J1030">
        <v>1.5</v>
      </c>
    </row>
    <row r="1031" spans="1:10" x14ac:dyDescent="0.3">
      <c r="A1031" t="s">
        <v>263</v>
      </c>
      <c r="B1031">
        <v>39</v>
      </c>
      <c r="C1031">
        <v>3</v>
      </c>
      <c r="D1031">
        <v>3</v>
      </c>
      <c r="E1031">
        <v>3</v>
      </c>
      <c r="F1031">
        <v>3</v>
      </c>
      <c r="G1031">
        <v>3</v>
      </c>
      <c r="H1031">
        <v>3</v>
      </c>
      <c r="I1031">
        <v>3</v>
      </c>
      <c r="J1031">
        <v>3</v>
      </c>
    </row>
    <row r="1032" spans="1:10" x14ac:dyDescent="0.3">
      <c r="A1032" t="s">
        <v>264</v>
      </c>
      <c r="B1032">
        <v>39</v>
      </c>
      <c r="D1032">
        <v>7</v>
      </c>
      <c r="F1032">
        <v>7</v>
      </c>
      <c r="H1032">
        <v>7</v>
      </c>
      <c r="J1032">
        <v>7</v>
      </c>
    </row>
    <row r="1033" spans="1:10" x14ac:dyDescent="0.3">
      <c r="A1033" t="s">
        <v>265</v>
      </c>
      <c r="B1033">
        <v>39</v>
      </c>
      <c r="D1033">
        <v>11</v>
      </c>
      <c r="F1033">
        <v>11</v>
      </c>
      <c r="H1033">
        <v>11</v>
      </c>
      <c r="J1033">
        <v>11</v>
      </c>
    </row>
    <row r="1034" spans="1:10" x14ac:dyDescent="0.3">
      <c r="A1034" t="s">
        <v>266</v>
      </c>
      <c r="B1034">
        <v>39</v>
      </c>
      <c r="D1034">
        <v>0</v>
      </c>
      <c r="F1034">
        <v>0</v>
      </c>
      <c r="H1034">
        <v>0</v>
      </c>
      <c r="J1034">
        <v>0</v>
      </c>
    </row>
    <row r="1035" spans="1:10" x14ac:dyDescent="0.3">
      <c r="A1035" t="s">
        <v>267</v>
      </c>
      <c r="B1035">
        <v>39</v>
      </c>
      <c r="C1035">
        <v>12</v>
      </c>
      <c r="D1035">
        <v>25.3</v>
      </c>
      <c r="E1035">
        <v>12</v>
      </c>
      <c r="F1035">
        <v>23.9</v>
      </c>
      <c r="G1035">
        <v>12</v>
      </c>
      <c r="H1035">
        <v>25.3</v>
      </c>
      <c r="I1035">
        <v>11.9</v>
      </c>
      <c r="J1035">
        <v>23.1</v>
      </c>
    </row>
    <row r="1036" spans="1:10" x14ac:dyDescent="0.3">
      <c r="A1036" t="s">
        <v>268</v>
      </c>
      <c r="B1036">
        <v>39</v>
      </c>
      <c r="C1036">
        <v>0</v>
      </c>
      <c r="D1036">
        <v>1</v>
      </c>
      <c r="E1036">
        <v>0</v>
      </c>
      <c r="F1036">
        <v>1</v>
      </c>
      <c r="G1036">
        <v>0</v>
      </c>
      <c r="H1036">
        <v>1</v>
      </c>
      <c r="I1036">
        <v>0</v>
      </c>
      <c r="J1036">
        <v>1</v>
      </c>
    </row>
    <row r="1037" spans="1:10" x14ac:dyDescent="0.3">
      <c r="A1037" t="s">
        <v>269</v>
      </c>
      <c r="B1037">
        <v>39</v>
      </c>
      <c r="C1037">
        <v>1</v>
      </c>
      <c r="D1037">
        <v>1</v>
      </c>
      <c r="E1037">
        <v>1</v>
      </c>
      <c r="F1037">
        <v>1</v>
      </c>
      <c r="G1037">
        <v>1</v>
      </c>
      <c r="H1037">
        <v>1</v>
      </c>
      <c r="I1037">
        <v>1</v>
      </c>
      <c r="J1037">
        <v>1</v>
      </c>
    </row>
    <row r="1038" spans="1:10" x14ac:dyDescent="0.3">
      <c r="A1038" t="s">
        <v>270</v>
      </c>
      <c r="B1038">
        <v>39</v>
      </c>
      <c r="C1038">
        <v>42.5</v>
      </c>
      <c r="D1038">
        <v>54.5</v>
      </c>
      <c r="E1038">
        <v>6.6</v>
      </c>
      <c r="F1038">
        <v>18.600000000000001</v>
      </c>
      <c r="G1038">
        <v>42.5</v>
      </c>
      <c r="H1038">
        <v>54.5</v>
      </c>
      <c r="I1038">
        <v>6.6</v>
      </c>
      <c r="J1038">
        <v>18.5</v>
      </c>
    </row>
    <row r="1039" spans="1:10" x14ac:dyDescent="0.3">
      <c r="A1039" t="s">
        <v>271</v>
      </c>
      <c r="B1039">
        <v>39</v>
      </c>
      <c r="C1039">
        <v>54.5</v>
      </c>
      <c r="D1039">
        <v>6.6</v>
      </c>
      <c r="E1039">
        <v>18.600000000000001</v>
      </c>
      <c r="F1039">
        <v>42.5</v>
      </c>
      <c r="G1039">
        <v>54.5</v>
      </c>
      <c r="H1039">
        <v>6.6</v>
      </c>
      <c r="I1039">
        <v>18.5</v>
      </c>
      <c r="J1039">
        <v>42.5</v>
      </c>
    </row>
    <row r="1040" spans="1:10" x14ac:dyDescent="0.3">
      <c r="A1040" t="s">
        <v>272</v>
      </c>
      <c r="B1040">
        <v>39</v>
      </c>
      <c r="C1040">
        <v>48.5</v>
      </c>
      <c r="D1040">
        <v>1.3</v>
      </c>
      <c r="E1040">
        <v>12.6</v>
      </c>
      <c r="F1040">
        <v>36.6</v>
      </c>
      <c r="G1040">
        <v>48.5</v>
      </c>
      <c r="H1040">
        <v>1.3</v>
      </c>
      <c r="I1040">
        <v>12.6</v>
      </c>
      <c r="J1040">
        <v>37.4</v>
      </c>
    </row>
    <row r="1041" spans="1:10" x14ac:dyDescent="0.3">
      <c r="A1041" t="s">
        <v>273</v>
      </c>
      <c r="B1041">
        <v>39</v>
      </c>
      <c r="C1041">
        <v>48.5</v>
      </c>
      <c r="D1041">
        <v>63.5</v>
      </c>
      <c r="E1041">
        <v>12.6</v>
      </c>
      <c r="F1041">
        <v>25.6</v>
      </c>
      <c r="G1041">
        <v>48.5</v>
      </c>
      <c r="H1041">
        <v>63.5</v>
      </c>
      <c r="I1041">
        <v>12.6</v>
      </c>
      <c r="J1041">
        <v>26.4</v>
      </c>
    </row>
    <row r="1042" spans="1:10" x14ac:dyDescent="0.3">
      <c r="A1042" t="s">
        <v>274</v>
      </c>
      <c r="B1042">
        <v>39</v>
      </c>
      <c r="C1042">
        <v>61.2</v>
      </c>
      <c r="D1042">
        <v>0</v>
      </c>
      <c r="E1042">
        <v>25.3</v>
      </c>
      <c r="F1042">
        <v>37.299999999999997</v>
      </c>
      <c r="G1042">
        <v>61.2</v>
      </c>
      <c r="H1042">
        <v>0</v>
      </c>
      <c r="I1042">
        <v>25.3</v>
      </c>
      <c r="J1042">
        <v>37.200000000000003</v>
      </c>
    </row>
    <row r="1043" spans="1:10" x14ac:dyDescent="0.3">
      <c r="A1043" t="s">
        <v>275</v>
      </c>
      <c r="B1043">
        <v>39</v>
      </c>
      <c r="C1043">
        <v>67.2</v>
      </c>
      <c r="D1043">
        <v>20</v>
      </c>
      <c r="E1043">
        <v>31.3</v>
      </c>
      <c r="F1043">
        <v>55.3</v>
      </c>
      <c r="G1043">
        <v>67.2</v>
      </c>
      <c r="H1043">
        <v>20</v>
      </c>
      <c r="I1043">
        <v>31.3</v>
      </c>
      <c r="J1043">
        <v>56.1</v>
      </c>
    </row>
    <row r="1044" spans="1:10" x14ac:dyDescent="0.3">
      <c r="A1044" t="s">
        <v>276</v>
      </c>
      <c r="B1044">
        <v>39</v>
      </c>
      <c r="C1044">
        <v>67.2</v>
      </c>
      <c r="D1044">
        <v>9</v>
      </c>
      <c r="E1044">
        <v>31.3</v>
      </c>
      <c r="F1044">
        <v>44.3</v>
      </c>
      <c r="G1044">
        <v>67.2</v>
      </c>
      <c r="H1044">
        <v>9</v>
      </c>
      <c r="I1044">
        <v>31.3</v>
      </c>
      <c r="J1044">
        <v>45.1</v>
      </c>
    </row>
    <row r="1045" spans="1:10" x14ac:dyDescent="0.3">
      <c r="A1045" t="s">
        <v>567</v>
      </c>
      <c r="B1045">
        <v>39</v>
      </c>
      <c r="C1045">
        <v>6</v>
      </c>
      <c r="D1045">
        <v>20</v>
      </c>
      <c r="E1045">
        <v>6</v>
      </c>
      <c r="F1045">
        <v>18</v>
      </c>
      <c r="G1045">
        <v>6</v>
      </c>
      <c r="H1045">
        <v>20</v>
      </c>
      <c r="I1045">
        <v>6</v>
      </c>
      <c r="J1045">
        <v>18.899999999999999</v>
      </c>
    </row>
    <row r="1046" spans="1:10" x14ac:dyDescent="0.3">
      <c r="A1046" t="s">
        <v>254</v>
      </c>
      <c r="B1046">
        <v>75</v>
      </c>
      <c r="C1046">
        <v>111</v>
      </c>
      <c r="D1046">
        <v>112</v>
      </c>
      <c r="E1046">
        <v>211</v>
      </c>
      <c r="F1046">
        <v>212</v>
      </c>
      <c r="G1046">
        <v>121</v>
      </c>
      <c r="H1046">
        <v>122</v>
      </c>
      <c r="I1046">
        <v>221</v>
      </c>
      <c r="J1046">
        <v>222</v>
      </c>
    </row>
    <row r="1047" spans="1:10" x14ac:dyDescent="0.3">
      <c r="A1047" t="s">
        <v>255</v>
      </c>
      <c r="B1047">
        <v>75</v>
      </c>
      <c r="C1047">
        <v>6</v>
      </c>
      <c r="D1047">
        <v>20</v>
      </c>
      <c r="E1047">
        <v>6</v>
      </c>
      <c r="F1047">
        <v>6</v>
      </c>
      <c r="G1047">
        <v>6</v>
      </c>
      <c r="H1047">
        <v>20</v>
      </c>
      <c r="I1047">
        <v>6</v>
      </c>
      <c r="J1047">
        <v>6</v>
      </c>
    </row>
    <row r="1048" spans="1:10" x14ac:dyDescent="0.3">
      <c r="A1048" t="s">
        <v>256</v>
      </c>
      <c r="B1048">
        <v>75</v>
      </c>
      <c r="C1048">
        <v>6.5</v>
      </c>
      <c r="D1048">
        <v>20</v>
      </c>
      <c r="E1048">
        <v>6.5</v>
      </c>
      <c r="F1048">
        <v>18</v>
      </c>
      <c r="G1048">
        <v>6.5</v>
      </c>
      <c r="H1048">
        <v>20</v>
      </c>
      <c r="I1048">
        <v>6.5</v>
      </c>
      <c r="J1048">
        <v>18</v>
      </c>
    </row>
    <row r="1049" spans="1:10" x14ac:dyDescent="0.3">
      <c r="A1049" t="s">
        <v>257</v>
      </c>
      <c r="B1049">
        <v>75</v>
      </c>
      <c r="C1049">
        <v>3</v>
      </c>
      <c r="D1049">
        <v>3</v>
      </c>
      <c r="E1049">
        <v>3</v>
      </c>
      <c r="F1049">
        <v>3</v>
      </c>
      <c r="G1049">
        <v>3</v>
      </c>
      <c r="H1049">
        <v>3</v>
      </c>
      <c r="I1049">
        <v>3</v>
      </c>
      <c r="J1049">
        <v>3</v>
      </c>
    </row>
    <row r="1050" spans="1:10" x14ac:dyDescent="0.3">
      <c r="A1050" t="s">
        <v>258</v>
      </c>
      <c r="B1050">
        <v>75</v>
      </c>
      <c r="C1050">
        <v>0</v>
      </c>
      <c r="D1050">
        <v>0</v>
      </c>
      <c r="E1050">
        <v>0</v>
      </c>
      <c r="F1050">
        <v>0</v>
      </c>
      <c r="G1050">
        <v>0</v>
      </c>
      <c r="H1050">
        <v>0</v>
      </c>
      <c r="I1050">
        <v>0</v>
      </c>
      <c r="J1050">
        <v>0</v>
      </c>
    </row>
    <row r="1051" spans="1:10" x14ac:dyDescent="0.3">
      <c r="A1051" t="s">
        <v>259</v>
      </c>
      <c r="B1051">
        <v>75</v>
      </c>
      <c r="C1051">
        <v>0</v>
      </c>
      <c r="D1051">
        <v>0</v>
      </c>
      <c r="E1051">
        <v>0</v>
      </c>
      <c r="F1051">
        <v>0</v>
      </c>
      <c r="G1051">
        <v>0</v>
      </c>
      <c r="H1051">
        <v>0</v>
      </c>
      <c r="I1051">
        <v>0</v>
      </c>
      <c r="J1051">
        <v>0</v>
      </c>
    </row>
    <row r="1052" spans="1:10" x14ac:dyDescent="0.3">
      <c r="A1052" t="s">
        <v>260</v>
      </c>
      <c r="B1052">
        <v>75</v>
      </c>
      <c r="C1052">
        <v>3</v>
      </c>
      <c r="D1052">
        <v>3</v>
      </c>
      <c r="E1052">
        <v>3</v>
      </c>
      <c r="F1052">
        <v>3</v>
      </c>
      <c r="G1052">
        <v>3</v>
      </c>
      <c r="H1052">
        <v>3</v>
      </c>
      <c r="I1052">
        <v>3</v>
      </c>
      <c r="J1052">
        <v>3</v>
      </c>
    </row>
    <row r="1053" spans="1:10" x14ac:dyDescent="0.3">
      <c r="A1053" t="s">
        <v>261</v>
      </c>
      <c r="B1053">
        <v>75</v>
      </c>
      <c r="C1053">
        <v>3</v>
      </c>
      <c r="D1053">
        <v>4.3</v>
      </c>
      <c r="E1053">
        <v>3</v>
      </c>
      <c r="F1053">
        <v>3</v>
      </c>
      <c r="G1053">
        <v>3</v>
      </c>
      <c r="H1053">
        <v>4.3</v>
      </c>
      <c r="I1053">
        <v>3</v>
      </c>
      <c r="J1053">
        <v>3</v>
      </c>
    </row>
    <row r="1054" spans="1:10" x14ac:dyDescent="0.3">
      <c r="A1054" t="s">
        <v>262</v>
      </c>
      <c r="B1054">
        <v>75</v>
      </c>
      <c r="C1054">
        <v>1</v>
      </c>
      <c r="D1054">
        <v>1</v>
      </c>
      <c r="E1054">
        <v>1</v>
      </c>
      <c r="F1054">
        <v>2.9</v>
      </c>
      <c r="G1054">
        <v>1</v>
      </c>
      <c r="H1054">
        <v>1.1000000000000001</v>
      </c>
      <c r="I1054">
        <v>1</v>
      </c>
      <c r="J1054">
        <v>2.8</v>
      </c>
    </row>
    <row r="1055" spans="1:10" x14ac:dyDescent="0.3">
      <c r="A1055" t="s">
        <v>263</v>
      </c>
      <c r="B1055">
        <v>75</v>
      </c>
      <c r="C1055">
        <v>3</v>
      </c>
      <c r="D1055">
        <v>3</v>
      </c>
      <c r="E1055">
        <v>3</v>
      </c>
      <c r="F1055">
        <v>3</v>
      </c>
      <c r="G1055">
        <v>3</v>
      </c>
      <c r="H1055">
        <v>3</v>
      </c>
      <c r="I1055">
        <v>3</v>
      </c>
      <c r="J1055">
        <v>3</v>
      </c>
    </row>
    <row r="1056" spans="1:10" x14ac:dyDescent="0.3">
      <c r="A1056" t="s">
        <v>264</v>
      </c>
      <c r="B1056">
        <v>75</v>
      </c>
      <c r="D1056">
        <v>7</v>
      </c>
      <c r="F1056">
        <v>7</v>
      </c>
      <c r="H1056">
        <v>7</v>
      </c>
      <c r="J1056">
        <v>7</v>
      </c>
    </row>
    <row r="1057" spans="1:10" x14ac:dyDescent="0.3">
      <c r="A1057" t="s">
        <v>265</v>
      </c>
      <c r="B1057">
        <v>75</v>
      </c>
      <c r="D1057">
        <v>11</v>
      </c>
      <c r="F1057">
        <v>11</v>
      </c>
      <c r="H1057">
        <v>11</v>
      </c>
      <c r="J1057">
        <v>11</v>
      </c>
    </row>
    <row r="1058" spans="1:10" x14ac:dyDescent="0.3">
      <c r="A1058" t="s">
        <v>266</v>
      </c>
      <c r="B1058">
        <v>75</v>
      </c>
      <c r="D1058">
        <v>0</v>
      </c>
      <c r="F1058">
        <v>0</v>
      </c>
      <c r="H1058">
        <v>0</v>
      </c>
      <c r="J1058">
        <v>0</v>
      </c>
    </row>
    <row r="1059" spans="1:10" x14ac:dyDescent="0.3">
      <c r="A1059" t="s">
        <v>267</v>
      </c>
      <c r="B1059">
        <v>75</v>
      </c>
      <c r="C1059">
        <v>10.5</v>
      </c>
      <c r="D1059">
        <v>25.3</v>
      </c>
      <c r="E1059">
        <v>10.5</v>
      </c>
      <c r="F1059">
        <v>23.9</v>
      </c>
      <c r="G1059">
        <v>10.5</v>
      </c>
      <c r="H1059">
        <v>25.4</v>
      </c>
      <c r="I1059">
        <v>10.5</v>
      </c>
      <c r="J1059">
        <v>23.8</v>
      </c>
    </row>
    <row r="1060" spans="1:10" x14ac:dyDescent="0.3">
      <c r="A1060" t="s">
        <v>268</v>
      </c>
      <c r="B1060">
        <v>75</v>
      </c>
      <c r="C1060">
        <v>0</v>
      </c>
      <c r="D1060">
        <v>1</v>
      </c>
      <c r="E1060">
        <v>0</v>
      </c>
      <c r="F1060">
        <v>1</v>
      </c>
      <c r="G1060">
        <v>0</v>
      </c>
      <c r="H1060">
        <v>1</v>
      </c>
      <c r="I1060">
        <v>0</v>
      </c>
      <c r="J1060">
        <v>1</v>
      </c>
    </row>
    <row r="1061" spans="1:10" x14ac:dyDescent="0.3">
      <c r="A1061" t="s">
        <v>269</v>
      </c>
      <c r="B1061">
        <v>75</v>
      </c>
      <c r="C1061">
        <v>1</v>
      </c>
      <c r="D1061">
        <v>1</v>
      </c>
      <c r="E1061">
        <v>1</v>
      </c>
      <c r="F1061">
        <v>1</v>
      </c>
      <c r="G1061">
        <v>1</v>
      </c>
      <c r="H1061">
        <v>1</v>
      </c>
      <c r="I1061">
        <v>1</v>
      </c>
      <c r="J1061">
        <v>1</v>
      </c>
    </row>
    <row r="1062" spans="1:10" x14ac:dyDescent="0.3">
      <c r="A1062" t="s">
        <v>270</v>
      </c>
      <c r="B1062">
        <v>75</v>
      </c>
      <c r="C1062">
        <v>59.8</v>
      </c>
      <c r="D1062">
        <v>0</v>
      </c>
      <c r="E1062">
        <v>25.4</v>
      </c>
      <c r="F1062">
        <v>35.9</v>
      </c>
      <c r="G1062">
        <v>59.8</v>
      </c>
      <c r="H1062">
        <v>0</v>
      </c>
      <c r="I1062">
        <v>25.4</v>
      </c>
      <c r="J1062">
        <v>35.9</v>
      </c>
    </row>
    <row r="1063" spans="1:10" x14ac:dyDescent="0.3">
      <c r="A1063" t="s">
        <v>271</v>
      </c>
      <c r="B1063">
        <v>75</v>
      </c>
      <c r="C1063">
        <v>0</v>
      </c>
      <c r="D1063">
        <v>25.4</v>
      </c>
      <c r="E1063">
        <v>35.9</v>
      </c>
      <c r="F1063">
        <v>59.8</v>
      </c>
      <c r="G1063">
        <v>0</v>
      </c>
      <c r="H1063">
        <v>25.4</v>
      </c>
      <c r="I1063">
        <v>35.9</v>
      </c>
      <c r="J1063">
        <v>59.8</v>
      </c>
    </row>
    <row r="1064" spans="1:10" x14ac:dyDescent="0.3">
      <c r="A1064" t="s">
        <v>272</v>
      </c>
      <c r="B1064">
        <v>75</v>
      </c>
      <c r="C1064">
        <v>66.3</v>
      </c>
      <c r="D1064">
        <v>20.100000000000001</v>
      </c>
      <c r="E1064">
        <v>31.9</v>
      </c>
      <c r="F1064">
        <v>53.9</v>
      </c>
      <c r="G1064">
        <v>66.3</v>
      </c>
      <c r="H1064">
        <v>20</v>
      </c>
      <c r="I1064">
        <v>31.9</v>
      </c>
      <c r="J1064">
        <v>54</v>
      </c>
    </row>
    <row r="1065" spans="1:10" x14ac:dyDescent="0.3">
      <c r="A1065" t="s">
        <v>273</v>
      </c>
      <c r="B1065">
        <v>75</v>
      </c>
      <c r="C1065">
        <v>66.3</v>
      </c>
      <c r="D1065">
        <v>9.1</v>
      </c>
      <c r="E1065">
        <v>31.9</v>
      </c>
      <c r="F1065">
        <v>42.9</v>
      </c>
      <c r="G1065">
        <v>66.3</v>
      </c>
      <c r="H1065">
        <v>9</v>
      </c>
      <c r="I1065">
        <v>31.9</v>
      </c>
      <c r="J1065">
        <v>43</v>
      </c>
    </row>
    <row r="1066" spans="1:10" x14ac:dyDescent="0.3">
      <c r="A1066" t="s">
        <v>274</v>
      </c>
      <c r="B1066">
        <v>75</v>
      </c>
      <c r="C1066">
        <v>59.8</v>
      </c>
      <c r="D1066">
        <v>0</v>
      </c>
      <c r="E1066">
        <v>25.4</v>
      </c>
      <c r="F1066">
        <v>35.9</v>
      </c>
      <c r="G1066">
        <v>59.8</v>
      </c>
      <c r="H1066">
        <v>0</v>
      </c>
      <c r="I1066">
        <v>25.4</v>
      </c>
      <c r="J1066">
        <v>35.9</v>
      </c>
    </row>
    <row r="1067" spans="1:10" x14ac:dyDescent="0.3">
      <c r="A1067" t="s">
        <v>275</v>
      </c>
      <c r="B1067">
        <v>75</v>
      </c>
      <c r="C1067">
        <v>66.3</v>
      </c>
      <c r="D1067">
        <v>20.100000000000001</v>
      </c>
      <c r="E1067">
        <v>31.9</v>
      </c>
      <c r="F1067">
        <v>53.9</v>
      </c>
      <c r="G1067">
        <v>66.3</v>
      </c>
      <c r="H1067">
        <v>20</v>
      </c>
      <c r="I1067">
        <v>31.9</v>
      </c>
      <c r="J1067">
        <v>54</v>
      </c>
    </row>
    <row r="1068" spans="1:10" x14ac:dyDescent="0.3">
      <c r="A1068" t="s">
        <v>276</v>
      </c>
      <c r="B1068">
        <v>75</v>
      </c>
      <c r="C1068">
        <v>66.3</v>
      </c>
      <c r="D1068">
        <v>9.1</v>
      </c>
      <c r="E1068">
        <v>31.9</v>
      </c>
      <c r="F1068">
        <v>42.9</v>
      </c>
      <c r="G1068">
        <v>66.3</v>
      </c>
      <c r="H1068">
        <v>9</v>
      </c>
      <c r="I1068">
        <v>31.9</v>
      </c>
      <c r="J1068">
        <v>43</v>
      </c>
    </row>
    <row r="1069" spans="1:10" x14ac:dyDescent="0.3">
      <c r="A1069" t="s">
        <v>567</v>
      </c>
      <c r="B1069">
        <v>75</v>
      </c>
      <c r="C1069">
        <v>6.5</v>
      </c>
      <c r="D1069">
        <v>20.100000000000001</v>
      </c>
      <c r="E1069">
        <v>6.5</v>
      </c>
      <c r="F1069">
        <v>18</v>
      </c>
      <c r="G1069">
        <v>6.5</v>
      </c>
      <c r="H1069">
        <v>20</v>
      </c>
      <c r="I1069">
        <v>6.5</v>
      </c>
      <c r="J1069">
        <v>18.100000000000001</v>
      </c>
    </row>
    <row r="1070" spans="1:10" x14ac:dyDescent="0.3">
      <c r="A1070" t="s">
        <v>254</v>
      </c>
      <c r="B1070">
        <v>78</v>
      </c>
      <c r="C1070">
        <v>111</v>
      </c>
      <c r="D1070">
        <v>112</v>
      </c>
      <c r="E1070">
        <v>211</v>
      </c>
      <c r="F1070">
        <v>212</v>
      </c>
      <c r="G1070">
        <v>121</v>
      </c>
      <c r="H1070">
        <v>122</v>
      </c>
      <c r="I1070">
        <v>221</v>
      </c>
      <c r="J1070">
        <v>222</v>
      </c>
    </row>
    <row r="1071" spans="1:10" x14ac:dyDescent="0.3">
      <c r="A1071" t="s">
        <v>255</v>
      </c>
      <c r="B1071">
        <v>78</v>
      </c>
      <c r="C1071">
        <v>6</v>
      </c>
      <c r="D1071">
        <v>15</v>
      </c>
      <c r="F1071">
        <v>6</v>
      </c>
      <c r="H1071">
        <v>15</v>
      </c>
      <c r="J1071">
        <v>5</v>
      </c>
    </row>
    <row r="1072" spans="1:10" x14ac:dyDescent="0.3">
      <c r="A1072" t="s">
        <v>256</v>
      </c>
      <c r="B1072">
        <v>78</v>
      </c>
      <c r="C1072">
        <v>6.5</v>
      </c>
      <c r="D1072">
        <v>18</v>
      </c>
      <c r="F1072">
        <v>18</v>
      </c>
      <c r="H1072">
        <v>18</v>
      </c>
      <c r="J1072">
        <v>18</v>
      </c>
    </row>
    <row r="1073" spans="1:10" x14ac:dyDescent="0.3">
      <c r="A1073" t="s">
        <v>257</v>
      </c>
      <c r="B1073">
        <v>78</v>
      </c>
      <c r="C1073">
        <v>3</v>
      </c>
      <c r="D1073">
        <v>3</v>
      </c>
      <c r="F1073">
        <v>3</v>
      </c>
      <c r="H1073">
        <v>3</v>
      </c>
      <c r="J1073">
        <v>3</v>
      </c>
    </row>
    <row r="1074" spans="1:10" x14ac:dyDescent="0.3">
      <c r="A1074" t="s">
        <v>258</v>
      </c>
      <c r="B1074">
        <v>78</v>
      </c>
      <c r="C1074">
        <v>0</v>
      </c>
      <c r="D1074">
        <v>0</v>
      </c>
      <c r="F1074">
        <v>0</v>
      </c>
      <c r="H1074">
        <v>0</v>
      </c>
      <c r="J1074">
        <v>0</v>
      </c>
    </row>
    <row r="1075" spans="1:10" x14ac:dyDescent="0.3">
      <c r="A1075" t="s">
        <v>259</v>
      </c>
      <c r="B1075">
        <v>78</v>
      </c>
      <c r="C1075">
        <v>0</v>
      </c>
      <c r="D1075">
        <v>0</v>
      </c>
      <c r="F1075">
        <v>0</v>
      </c>
      <c r="H1075">
        <v>0</v>
      </c>
      <c r="J1075">
        <v>0</v>
      </c>
    </row>
    <row r="1076" spans="1:10" x14ac:dyDescent="0.3">
      <c r="A1076" t="s">
        <v>260</v>
      </c>
      <c r="B1076">
        <v>78</v>
      </c>
      <c r="C1076">
        <v>3</v>
      </c>
      <c r="D1076">
        <v>3</v>
      </c>
      <c r="F1076">
        <v>3</v>
      </c>
      <c r="H1076">
        <v>3</v>
      </c>
      <c r="J1076">
        <v>3</v>
      </c>
    </row>
    <row r="1077" spans="1:10" x14ac:dyDescent="0.3">
      <c r="A1077" t="s">
        <v>261</v>
      </c>
      <c r="B1077">
        <v>78</v>
      </c>
      <c r="C1077">
        <v>3</v>
      </c>
      <c r="D1077">
        <v>4.3</v>
      </c>
      <c r="F1077">
        <v>3.6</v>
      </c>
      <c r="H1077">
        <v>4.3</v>
      </c>
      <c r="J1077">
        <v>3.5</v>
      </c>
    </row>
    <row r="1078" spans="1:10" x14ac:dyDescent="0.3">
      <c r="A1078" t="s">
        <v>262</v>
      </c>
      <c r="B1078">
        <v>78</v>
      </c>
      <c r="C1078">
        <v>1</v>
      </c>
      <c r="D1078">
        <v>1</v>
      </c>
      <c r="F1078">
        <v>1.7</v>
      </c>
      <c r="H1078">
        <v>1</v>
      </c>
      <c r="J1078">
        <v>1</v>
      </c>
    </row>
    <row r="1079" spans="1:10" x14ac:dyDescent="0.3">
      <c r="A1079" t="s">
        <v>263</v>
      </c>
      <c r="B1079">
        <v>78</v>
      </c>
      <c r="C1079">
        <v>3</v>
      </c>
      <c r="D1079">
        <v>3</v>
      </c>
      <c r="F1079">
        <v>3</v>
      </c>
      <c r="H1079">
        <v>3</v>
      </c>
      <c r="J1079">
        <v>3</v>
      </c>
    </row>
    <row r="1080" spans="1:10" x14ac:dyDescent="0.3">
      <c r="A1080" t="s">
        <v>264</v>
      </c>
      <c r="B1080">
        <v>78</v>
      </c>
      <c r="D1080">
        <v>7</v>
      </c>
      <c r="F1080">
        <v>7</v>
      </c>
      <c r="H1080">
        <v>7</v>
      </c>
      <c r="J1080">
        <v>7</v>
      </c>
    </row>
    <row r="1081" spans="1:10" x14ac:dyDescent="0.3">
      <c r="A1081" t="s">
        <v>265</v>
      </c>
      <c r="B1081">
        <v>78</v>
      </c>
      <c r="D1081">
        <v>11</v>
      </c>
      <c r="F1081">
        <v>11</v>
      </c>
      <c r="H1081">
        <v>11</v>
      </c>
      <c r="J1081">
        <v>11</v>
      </c>
    </row>
    <row r="1082" spans="1:10" x14ac:dyDescent="0.3">
      <c r="A1082" t="s">
        <v>266</v>
      </c>
      <c r="B1082">
        <v>78</v>
      </c>
      <c r="D1082">
        <v>0</v>
      </c>
      <c r="F1082">
        <v>0</v>
      </c>
      <c r="H1082">
        <v>0</v>
      </c>
      <c r="J1082">
        <v>0</v>
      </c>
    </row>
    <row r="1083" spans="1:10" x14ac:dyDescent="0.3">
      <c r="A1083" t="s">
        <v>267</v>
      </c>
      <c r="B1083">
        <v>78</v>
      </c>
      <c r="C1083">
        <v>10.5</v>
      </c>
      <c r="D1083">
        <v>23.3</v>
      </c>
      <c r="F1083">
        <v>23.3</v>
      </c>
      <c r="H1083">
        <v>23.3</v>
      </c>
      <c r="J1083">
        <v>22.5</v>
      </c>
    </row>
    <row r="1084" spans="1:10" x14ac:dyDescent="0.3">
      <c r="A1084" t="s">
        <v>268</v>
      </c>
      <c r="B1084">
        <v>78</v>
      </c>
      <c r="C1084">
        <v>0</v>
      </c>
      <c r="D1084">
        <v>1</v>
      </c>
      <c r="F1084">
        <v>1</v>
      </c>
      <c r="H1084">
        <v>1</v>
      </c>
      <c r="J1084">
        <v>1</v>
      </c>
    </row>
    <row r="1085" spans="1:10" x14ac:dyDescent="0.3">
      <c r="A1085" t="s">
        <v>269</v>
      </c>
      <c r="B1085">
        <v>78</v>
      </c>
      <c r="C1085">
        <v>1</v>
      </c>
      <c r="D1085">
        <v>1</v>
      </c>
      <c r="F1085">
        <v>1</v>
      </c>
      <c r="H1085">
        <v>1</v>
      </c>
      <c r="J1085">
        <v>1</v>
      </c>
    </row>
    <row r="1086" spans="1:10" x14ac:dyDescent="0.3">
      <c r="A1086" t="s">
        <v>270</v>
      </c>
      <c r="B1086">
        <v>78</v>
      </c>
      <c r="C1086">
        <v>46.6</v>
      </c>
      <c r="D1086">
        <v>0</v>
      </c>
      <c r="F1086">
        <v>23.3</v>
      </c>
      <c r="H1086">
        <v>46.6</v>
      </c>
      <c r="J1086">
        <v>23.3</v>
      </c>
    </row>
    <row r="1087" spans="1:10" x14ac:dyDescent="0.3">
      <c r="A1087" t="s">
        <v>271</v>
      </c>
      <c r="B1087">
        <v>78</v>
      </c>
      <c r="C1087">
        <v>0</v>
      </c>
      <c r="D1087">
        <v>23.3</v>
      </c>
      <c r="F1087">
        <v>46.6</v>
      </c>
      <c r="H1087">
        <v>23.3</v>
      </c>
      <c r="J1087">
        <v>46.6</v>
      </c>
    </row>
    <row r="1088" spans="1:10" x14ac:dyDescent="0.3">
      <c r="A1088" t="s">
        <v>272</v>
      </c>
      <c r="B1088">
        <v>78</v>
      </c>
      <c r="C1088">
        <v>53.1</v>
      </c>
      <c r="D1088">
        <v>18</v>
      </c>
      <c r="F1088">
        <v>41.3</v>
      </c>
      <c r="H1088">
        <v>18</v>
      </c>
      <c r="J1088">
        <v>42.1</v>
      </c>
    </row>
    <row r="1089" spans="1:10" x14ac:dyDescent="0.3">
      <c r="A1089" t="s">
        <v>273</v>
      </c>
      <c r="B1089">
        <v>78</v>
      </c>
      <c r="C1089">
        <v>53.1</v>
      </c>
      <c r="D1089">
        <v>7</v>
      </c>
      <c r="F1089">
        <v>30.3</v>
      </c>
      <c r="H1089">
        <v>7</v>
      </c>
      <c r="J1089">
        <v>31.1</v>
      </c>
    </row>
    <row r="1090" spans="1:10" x14ac:dyDescent="0.3">
      <c r="A1090" t="s">
        <v>274</v>
      </c>
      <c r="B1090">
        <v>78</v>
      </c>
      <c r="C1090">
        <v>46.6</v>
      </c>
      <c r="D1090">
        <v>0</v>
      </c>
      <c r="F1090">
        <v>23.3</v>
      </c>
      <c r="H1090">
        <v>46.6</v>
      </c>
      <c r="J1090">
        <v>23.3</v>
      </c>
    </row>
    <row r="1091" spans="1:10" x14ac:dyDescent="0.3">
      <c r="A1091" t="s">
        <v>275</v>
      </c>
      <c r="B1091">
        <v>78</v>
      </c>
      <c r="C1091">
        <v>53.1</v>
      </c>
      <c r="D1091">
        <v>18</v>
      </c>
      <c r="F1091">
        <v>41.3</v>
      </c>
      <c r="H1091">
        <v>18</v>
      </c>
      <c r="J1091">
        <v>42.1</v>
      </c>
    </row>
    <row r="1092" spans="1:10" x14ac:dyDescent="0.3">
      <c r="A1092" t="s">
        <v>276</v>
      </c>
      <c r="B1092">
        <v>78</v>
      </c>
      <c r="C1092">
        <v>53.1</v>
      </c>
      <c r="D1092">
        <v>7</v>
      </c>
      <c r="F1092">
        <v>30.3</v>
      </c>
      <c r="H1092">
        <v>7</v>
      </c>
      <c r="J1092">
        <v>31.1</v>
      </c>
    </row>
    <row r="1093" spans="1:10" x14ac:dyDescent="0.3">
      <c r="A1093" t="s">
        <v>567</v>
      </c>
      <c r="B1093">
        <v>78</v>
      </c>
      <c r="C1093">
        <v>6.5</v>
      </c>
      <c r="D1093">
        <v>18</v>
      </c>
      <c r="F1093">
        <v>18</v>
      </c>
      <c r="H1093">
        <v>28.5</v>
      </c>
      <c r="J1093">
        <v>18.8</v>
      </c>
    </row>
    <row r="1094" spans="1:10" x14ac:dyDescent="0.3">
      <c r="A1094" t="s">
        <v>254</v>
      </c>
      <c r="B1094">
        <v>80</v>
      </c>
      <c r="C1094">
        <v>111</v>
      </c>
      <c r="D1094">
        <v>112</v>
      </c>
      <c r="E1094">
        <v>211</v>
      </c>
      <c r="F1094">
        <v>212</v>
      </c>
      <c r="G1094">
        <v>121</v>
      </c>
      <c r="H1094">
        <v>122</v>
      </c>
      <c r="I1094">
        <v>221</v>
      </c>
      <c r="J1094">
        <v>222</v>
      </c>
    </row>
    <row r="1095" spans="1:10" x14ac:dyDescent="0.3">
      <c r="A1095" t="s">
        <v>255</v>
      </c>
      <c r="B1095">
        <v>80</v>
      </c>
      <c r="D1095">
        <v>5</v>
      </c>
      <c r="H1095">
        <v>5</v>
      </c>
      <c r="J1095">
        <v>5</v>
      </c>
    </row>
    <row r="1096" spans="1:10" x14ac:dyDescent="0.3">
      <c r="A1096" t="s">
        <v>256</v>
      </c>
      <c r="B1096">
        <v>80</v>
      </c>
      <c r="D1096">
        <v>18</v>
      </c>
      <c r="H1096">
        <v>18</v>
      </c>
      <c r="J1096">
        <v>18</v>
      </c>
    </row>
    <row r="1097" spans="1:10" x14ac:dyDescent="0.3">
      <c r="A1097" t="s">
        <v>257</v>
      </c>
      <c r="B1097">
        <v>80</v>
      </c>
      <c r="D1097">
        <v>3</v>
      </c>
      <c r="H1097">
        <v>3</v>
      </c>
      <c r="J1097">
        <v>3</v>
      </c>
    </row>
    <row r="1098" spans="1:10" x14ac:dyDescent="0.3">
      <c r="A1098" t="s">
        <v>258</v>
      </c>
      <c r="B1098">
        <v>80</v>
      </c>
      <c r="D1098">
        <v>0</v>
      </c>
      <c r="H1098">
        <v>0</v>
      </c>
      <c r="J1098">
        <v>0</v>
      </c>
    </row>
    <row r="1099" spans="1:10" x14ac:dyDescent="0.3">
      <c r="A1099" t="s">
        <v>259</v>
      </c>
      <c r="B1099">
        <v>80</v>
      </c>
      <c r="D1099">
        <v>0</v>
      </c>
      <c r="H1099">
        <v>0</v>
      </c>
      <c r="J1099">
        <v>0</v>
      </c>
    </row>
    <row r="1100" spans="1:10" x14ac:dyDescent="0.3">
      <c r="A1100" t="s">
        <v>260</v>
      </c>
      <c r="B1100">
        <v>80</v>
      </c>
      <c r="D1100">
        <v>3</v>
      </c>
      <c r="H1100">
        <v>3</v>
      </c>
      <c r="J1100">
        <v>3</v>
      </c>
    </row>
    <row r="1101" spans="1:10" x14ac:dyDescent="0.3">
      <c r="A1101" t="s">
        <v>261</v>
      </c>
      <c r="B1101">
        <v>80</v>
      </c>
      <c r="D1101">
        <v>3.5</v>
      </c>
      <c r="H1101">
        <v>3.5</v>
      </c>
      <c r="J1101">
        <v>3.5</v>
      </c>
    </row>
    <row r="1102" spans="1:10" x14ac:dyDescent="0.3">
      <c r="A1102" t="s">
        <v>262</v>
      </c>
      <c r="B1102">
        <v>80</v>
      </c>
      <c r="D1102">
        <v>1</v>
      </c>
      <c r="H1102">
        <v>1</v>
      </c>
      <c r="J1102">
        <v>1</v>
      </c>
    </row>
    <row r="1103" spans="1:10" x14ac:dyDescent="0.3">
      <c r="A1103" t="s">
        <v>263</v>
      </c>
      <c r="B1103">
        <v>80</v>
      </c>
      <c r="D1103">
        <v>3</v>
      </c>
      <c r="H1103">
        <v>3</v>
      </c>
      <c r="J1103">
        <v>3</v>
      </c>
    </row>
    <row r="1104" spans="1:10" x14ac:dyDescent="0.3">
      <c r="A1104" t="s">
        <v>264</v>
      </c>
      <c r="B1104">
        <v>80</v>
      </c>
      <c r="D1104">
        <v>7</v>
      </c>
      <c r="H1104">
        <v>7</v>
      </c>
      <c r="J1104">
        <v>7</v>
      </c>
    </row>
    <row r="1105" spans="1:10" x14ac:dyDescent="0.3">
      <c r="A1105" t="s">
        <v>265</v>
      </c>
      <c r="B1105">
        <v>80</v>
      </c>
      <c r="D1105">
        <v>11</v>
      </c>
      <c r="H1105">
        <v>11</v>
      </c>
      <c r="J1105">
        <v>11</v>
      </c>
    </row>
    <row r="1106" spans="1:10" x14ac:dyDescent="0.3">
      <c r="A1106" t="s">
        <v>266</v>
      </c>
      <c r="B1106">
        <v>80</v>
      </c>
      <c r="D1106">
        <v>0</v>
      </c>
      <c r="H1106">
        <v>0</v>
      </c>
      <c r="J1106">
        <v>0</v>
      </c>
    </row>
    <row r="1107" spans="1:10" x14ac:dyDescent="0.3">
      <c r="A1107" t="s">
        <v>267</v>
      </c>
      <c r="B1107">
        <v>80</v>
      </c>
      <c r="D1107">
        <v>22.5</v>
      </c>
      <c r="H1107">
        <v>22.5</v>
      </c>
      <c r="J1107">
        <v>22.5</v>
      </c>
    </row>
    <row r="1108" spans="1:10" x14ac:dyDescent="0.3">
      <c r="A1108" t="s">
        <v>268</v>
      </c>
      <c r="B1108">
        <v>80</v>
      </c>
      <c r="D1108">
        <v>1</v>
      </c>
      <c r="H1108">
        <v>1</v>
      </c>
      <c r="J1108">
        <v>1</v>
      </c>
    </row>
    <row r="1109" spans="1:10" x14ac:dyDescent="0.3">
      <c r="A1109" t="s">
        <v>269</v>
      </c>
      <c r="B1109">
        <v>80</v>
      </c>
      <c r="D1109">
        <v>1</v>
      </c>
      <c r="H1109">
        <v>1</v>
      </c>
      <c r="J1109">
        <v>1</v>
      </c>
    </row>
    <row r="1110" spans="1:10" x14ac:dyDescent="0.3">
      <c r="A1110" t="s">
        <v>270</v>
      </c>
      <c r="B1110">
        <v>80</v>
      </c>
      <c r="D1110">
        <v>0</v>
      </c>
      <c r="H1110">
        <v>0</v>
      </c>
      <c r="J1110">
        <v>22.5</v>
      </c>
    </row>
    <row r="1111" spans="1:10" x14ac:dyDescent="0.3">
      <c r="A1111" t="s">
        <v>271</v>
      </c>
      <c r="B1111">
        <v>80</v>
      </c>
      <c r="D1111">
        <v>22.5</v>
      </c>
      <c r="H1111">
        <v>22.5</v>
      </c>
      <c r="J1111">
        <v>0</v>
      </c>
    </row>
    <row r="1112" spans="1:10" x14ac:dyDescent="0.3">
      <c r="A1112" t="s">
        <v>272</v>
      </c>
      <c r="B1112">
        <v>80</v>
      </c>
      <c r="D1112">
        <v>18</v>
      </c>
      <c r="H1112">
        <v>18</v>
      </c>
      <c r="J1112">
        <v>40.5</v>
      </c>
    </row>
    <row r="1113" spans="1:10" x14ac:dyDescent="0.3">
      <c r="A1113" t="s">
        <v>273</v>
      </c>
      <c r="B1113">
        <v>80</v>
      </c>
      <c r="D1113">
        <v>7</v>
      </c>
      <c r="H1113">
        <v>7</v>
      </c>
      <c r="J1113">
        <v>29.5</v>
      </c>
    </row>
    <row r="1114" spans="1:10" x14ac:dyDescent="0.3">
      <c r="A1114" t="s">
        <v>274</v>
      </c>
      <c r="B1114">
        <v>80</v>
      </c>
      <c r="D1114">
        <v>0</v>
      </c>
      <c r="H1114">
        <v>0</v>
      </c>
      <c r="J1114">
        <v>22.5</v>
      </c>
    </row>
    <row r="1115" spans="1:10" x14ac:dyDescent="0.3">
      <c r="A1115" t="s">
        <v>275</v>
      </c>
      <c r="B1115">
        <v>80</v>
      </c>
      <c r="D1115">
        <v>18</v>
      </c>
      <c r="H1115">
        <v>18</v>
      </c>
      <c r="J1115">
        <v>40.5</v>
      </c>
    </row>
    <row r="1116" spans="1:10" x14ac:dyDescent="0.3">
      <c r="A1116" t="s">
        <v>276</v>
      </c>
      <c r="B1116">
        <v>80</v>
      </c>
      <c r="D1116">
        <v>7</v>
      </c>
      <c r="H1116">
        <v>7</v>
      </c>
      <c r="J1116">
        <v>29.5</v>
      </c>
    </row>
    <row r="1117" spans="1:10" x14ac:dyDescent="0.3">
      <c r="A1117" t="s">
        <v>567</v>
      </c>
      <c r="B1117">
        <v>80</v>
      </c>
      <c r="D1117">
        <v>18</v>
      </c>
      <c r="H1117">
        <v>18</v>
      </c>
      <c r="J1117">
        <v>18</v>
      </c>
    </row>
    <row r="1118" spans="1:10" x14ac:dyDescent="0.3">
      <c r="A1118" t="s">
        <v>254</v>
      </c>
      <c r="B1118">
        <v>82</v>
      </c>
      <c r="C1118">
        <v>111</v>
      </c>
      <c r="D1118">
        <v>112</v>
      </c>
      <c r="E1118">
        <v>211</v>
      </c>
      <c r="F1118">
        <v>212</v>
      </c>
      <c r="G1118">
        <v>121</v>
      </c>
      <c r="H1118">
        <v>122</v>
      </c>
      <c r="I1118">
        <v>221</v>
      </c>
      <c r="J1118">
        <v>222</v>
      </c>
    </row>
    <row r="1119" spans="1:10" x14ac:dyDescent="0.3">
      <c r="A1119" t="s">
        <v>255</v>
      </c>
      <c r="B1119">
        <v>82</v>
      </c>
      <c r="C1119">
        <v>6</v>
      </c>
      <c r="D1119">
        <v>20</v>
      </c>
      <c r="F1119">
        <v>6</v>
      </c>
      <c r="H1119">
        <v>20</v>
      </c>
    </row>
    <row r="1120" spans="1:10" x14ac:dyDescent="0.3">
      <c r="A1120" t="s">
        <v>256</v>
      </c>
      <c r="B1120">
        <v>82</v>
      </c>
      <c r="C1120">
        <v>36</v>
      </c>
      <c r="D1120">
        <v>20</v>
      </c>
      <c r="F1120">
        <v>6</v>
      </c>
      <c r="H1120">
        <v>20</v>
      </c>
    </row>
    <row r="1121" spans="1:8" x14ac:dyDescent="0.3">
      <c r="A1121" t="s">
        <v>257</v>
      </c>
      <c r="B1121">
        <v>82</v>
      </c>
      <c r="C1121">
        <v>3</v>
      </c>
      <c r="D1121">
        <v>3</v>
      </c>
      <c r="F1121">
        <v>3</v>
      </c>
      <c r="H1121">
        <v>3</v>
      </c>
    </row>
    <row r="1122" spans="1:8" x14ac:dyDescent="0.3">
      <c r="A1122" t="s">
        <v>258</v>
      </c>
      <c r="B1122">
        <v>82</v>
      </c>
      <c r="C1122">
        <v>0</v>
      </c>
      <c r="D1122">
        <v>0</v>
      </c>
      <c r="F1122">
        <v>0</v>
      </c>
      <c r="H1122">
        <v>0</v>
      </c>
    </row>
    <row r="1123" spans="1:8" x14ac:dyDescent="0.3">
      <c r="A1123" t="s">
        <v>259</v>
      </c>
      <c r="B1123">
        <v>82</v>
      </c>
      <c r="C1123">
        <v>0</v>
      </c>
      <c r="D1123">
        <v>0</v>
      </c>
      <c r="F1123">
        <v>0</v>
      </c>
      <c r="H1123">
        <v>0</v>
      </c>
    </row>
    <row r="1124" spans="1:8" x14ac:dyDescent="0.3">
      <c r="A1124" t="s">
        <v>260</v>
      </c>
      <c r="B1124">
        <v>82</v>
      </c>
      <c r="C1124">
        <v>3</v>
      </c>
      <c r="D1124">
        <v>3</v>
      </c>
      <c r="F1124">
        <v>3</v>
      </c>
      <c r="H1124">
        <v>3</v>
      </c>
    </row>
    <row r="1125" spans="1:8" x14ac:dyDescent="0.3">
      <c r="A1125" t="s">
        <v>261</v>
      </c>
      <c r="B1125">
        <v>82</v>
      </c>
      <c r="C1125">
        <v>3</v>
      </c>
      <c r="D1125">
        <v>4.3</v>
      </c>
      <c r="F1125">
        <v>3.6</v>
      </c>
      <c r="H1125">
        <v>4.3</v>
      </c>
    </row>
    <row r="1126" spans="1:8" x14ac:dyDescent="0.3">
      <c r="A1126" t="s">
        <v>262</v>
      </c>
      <c r="B1126">
        <v>82</v>
      </c>
      <c r="C1126">
        <v>1</v>
      </c>
      <c r="D1126">
        <v>1</v>
      </c>
      <c r="F1126">
        <v>1.6</v>
      </c>
      <c r="H1126">
        <v>1</v>
      </c>
    </row>
    <row r="1127" spans="1:8" x14ac:dyDescent="0.3">
      <c r="A1127" t="s">
        <v>263</v>
      </c>
      <c r="B1127">
        <v>82</v>
      </c>
      <c r="C1127">
        <v>3</v>
      </c>
      <c r="D1127">
        <v>3</v>
      </c>
      <c r="F1127">
        <v>3</v>
      </c>
      <c r="H1127">
        <v>3</v>
      </c>
    </row>
    <row r="1128" spans="1:8" x14ac:dyDescent="0.3">
      <c r="A1128" t="s">
        <v>264</v>
      </c>
      <c r="B1128">
        <v>82</v>
      </c>
      <c r="D1128">
        <v>7</v>
      </c>
      <c r="H1128">
        <v>7</v>
      </c>
    </row>
    <row r="1129" spans="1:8" x14ac:dyDescent="0.3">
      <c r="A1129" t="s">
        <v>265</v>
      </c>
      <c r="B1129">
        <v>82</v>
      </c>
      <c r="D1129">
        <v>11</v>
      </c>
      <c r="H1129">
        <v>11</v>
      </c>
    </row>
    <row r="1130" spans="1:8" x14ac:dyDescent="0.3">
      <c r="A1130" t="s">
        <v>266</v>
      </c>
      <c r="B1130">
        <v>82</v>
      </c>
      <c r="D1130">
        <v>0</v>
      </c>
      <c r="H1130">
        <v>0</v>
      </c>
    </row>
    <row r="1131" spans="1:8" x14ac:dyDescent="0.3">
      <c r="A1131" t="s">
        <v>267</v>
      </c>
      <c r="B1131">
        <v>82</v>
      </c>
      <c r="C1131">
        <v>40</v>
      </c>
      <c r="D1131">
        <v>25.3</v>
      </c>
      <c r="F1131">
        <v>11.2</v>
      </c>
      <c r="H1131">
        <v>25.3</v>
      </c>
    </row>
    <row r="1132" spans="1:8" x14ac:dyDescent="0.3">
      <c r="A1132" t="s">
        <v>268</v>
      </c>
      <c r="B1132">
        <v>82</v>
      </c>
      <c r="C1132">
        <v>0</v>
      </c>
      <c r="D1132">
        <v>1</v>
      </c>
      <c r="F1132">
        <v>0</v>
      </c>
      <c r="H1132">
        <v>1</v>
      </c>
    </row>
    <row r="1133" spans="1:8" x14ac:dyDescent="0.3">
      <c r="A1133" t="s">
        <v>269</v>
      </c>
      <c r="B1133">
        <v>82</v>
      </c>
      <c r="C1133">
        <v>1</v>
      </c>
      <c r="D1133">
        <v>1</v>
      </c>
      <c r="F1133">
        <v>1</v>
      </c>
      <c r="H1133">
        <v>1</v>
      </c>
    </row>
    <row r="1134" spans="1:8" x14ac:dyDescent="0.3">
      <c r="A1134" t="s">
        <v>270</v>
      </c>
      <c r="B1134">
        <v>82</v>
      </c>
      <c r="C1134">
        <v>36.5</v>
      </c>
      <c r="D1134">
        <v>0</v>
      </c>
      <c r="F1134">
        <v>25.3</v>
      </c>
      <c r="H1134">
        <v>36.5</v>
      </c>
    </row>
    <row r="1135" spans="1:8" x14ac:dyDescent="0.3">
      <c r="A1135" t="s">
        <v>271</v>
      </c>
      <c r="B1135">
        <v>82</v>
      </c>
      <c r="C1135">
        <v>0</v>
      </c>
      <c r="D1135">
        <v>25.3</v>
      </c>
      <c r="F1135">
        <v>36.5</v>
      </c>
      <c r="H1135">
        <v>25.3</v>
      </c>
    </row>
    <row r="1136" spans="1:8" x14ac:dyDescent="0.3">
      <c r="A1136" t="s">
        <v>272</v>
      </c>
      <c r="B1136">
        <v>82</v>
      </c>
      <c r="C1136">
        <v>72.5</v>
      </c>
      <c r="D1136">
        <v>20</v>
      </c>
      <c r="F1136">
        <v>31.3</v>
      </c>
      <c r="H1136">
        <v>20</v>
      </c>
    </row>
    <row r="1137" spans="1:10" x14ac:dyDescent="0.3">
      <c r="A1137" t="s">
        <v>273</v>
      </c>
      <c r="B1137">
        <v>82</v>
      </c>
      <c r="C1137">
        <v>72.5</v>
      </c>
      <c r="D1137">
        <v>9</v>
      </c>
      <c r="F1137">
        <v>31.3</v>
      </c>
      <c r="H1137">
        <v>9</v>
      </c>
    </row>
    <row r="1138" spans="1:10" x14ac:dyDescent="0.3">
      <c r="A1138" t="s">
        <v>274</v>
      </c>
      <c r="B1138">
        <v>82</v>
      </c>
      <c r="C1138">
        <v>36.5</v>
      </c>
      <c r="D1138">
        <v>0</v>
      </c>
      <c r="F1138">
        <v>25.3</v>
      </c>
      <c r="H1138">
        <v>36.5</v>
      </c>
    </row>
    <row r="1139" spans="1:10" x14ac:dyDescent="0.3">
      <c r="A1139" t="s">
        <v>275</v>
      </c>
      <c r="B1139">
        <v>82</v>
      </c>
      <c r="C1139">
        <v>72.5</v>
      </c>
      <c r="D1139">
        <v>20</v>
      </c>
      <c r="F1139">
        <v>31.3</v>
      </c>
      <c r="H1139">
        <v>20</v>
      </c>
    </row>
    <row r="1140" spans="1:10" x14ac:dyDescent="0.3">
      <c r="A1140" t="s">
        <v>276</v>
      </c>
      <c r="B1140">
        <v>82</v>
      </c>
      <c r="C1140">
        <v>72.5</v>
      </c>
      <c r="D1140">
        <v>9</v>
      </c>
      <c r="F1140">
        <v>31.3</v>
      </c>
      <c r="H1140">
        <v>9</v>
      </c>
    </row>
    <row r="1141" spans="1:10" x14ac:dyDescent="0.3">
      <c r="A1141" t="s">
        <v>567</v>
      </c>
      <c r="B1141">
        <v>82</v>
      </c>
      <c r="C1141">
        <v>36</v>
      </c>
      <c r="D1141">
        <v>20</v>
      </c>
      <c r="F1141">
        <v>6</v>
      </c>
      <c r="H1141">
        <v>60</v>
      </c>
    </row>
    <row r="1142" spans="1:10" x14ac:dyDescent="0.3">
      <c r="A1142" t="s">
        <v>254</v>
      </c>
      <c r="B1142">
        <v>84</v>
      </c>
      <c r="C1142">
        <v>111</v>
      </c>
      <c r="D1142">
        <v>112</v>
      </c>
      <c r="E1142">
        <v>211</v>
      </c>
      <c r="F1142">
        <v>212</v>
      </c>
      <c r="G1142">
        <v>121</v>
      </c>
      <c r="H1142">
        <v>122</v>
      </c>
      <c r="I1142">
        <v>221</v>
      </c>
      <c r="J1142">
        <v>222</v>
      </c>
    </row>
    <row r="1143" spans="1:10" x14ac:dyDescent="0.3">
      <c r="A1143" t="s">
        <v>255</v>
      </c>
      <c r="B1143">
        <v>84</v>
      </c>
      <c r="C1143">
        <v>6</v>
      </c>
      <c r="D1143">
        <v>25</v>
      </c>
      <c r="F1143">
        <v>6</v>
      </c>
      <c r="G1143">
        <v>6</v>
      </c>
      <c r="H1143">
        <v>25</v>
      </c>
      <c r="J1143">
        <v>6</v>
      </c>
    </row>
    <row r="1144" spans="1:10" x14ac:dyDescent="0.3">
      <c r="A1144" t="s">
        <v>256</v>
      </c>
      <c r="B1144">
        <v>84</v>
      </c>
      <c r="C1144">
        <v>6.5</v>
      </c>
      <c r="D1144">
        <v>25</v>
      </c>
      <c r="F1144">
        <v>18</v>
      </c>
      <c r="G1144">
        <v>6.5</v>
      </c>
      <c r="H1144">
        <v>25</v>
      </c>
      <c r="J1144">
        <v>18</v>
      </c>
    </row>
    <row r="1145" spans="1:10" x14ac:dyDescent="0.3">
      <c r="A1145" t="s">
        <v>257</v>
      </c>
      <c r="B1145">
        <v>84</v>
      </c>
      <c r="C1145">
        <v>3</v>
      </c>
      <c r="D1145">
        <v>3</v>
      </c>
      <c r="F1145">
        <v>3</v>
      </c>
      <c r="G1145">
        <v>3</v>
      </c>
      <c r="H1145">
        <v>3</v>
      </c>
      <c r="J1145">
        <v>3</v>
      </c>
    </row>
    <row r="1146" spans="1:10" x14ac:dyDescent="0.3">
      <c r="A1146" t="s">
        <v>258</v>
      </c>
      <c r="B1146">
        <v>84</v>
      </c>
      <c r="C1146">
        <v>0</v>
      </c>
      <c r="D1146">
        <v>0</v>
      </c>
      <c r="F1146">
        <v>0</v>
      </c>
      <c r="G1146">
        <v>0</v>
      </c>
      <c r="H1146">
        <v>0</v>
      </c>
      <c r="J1146">
        <v>0</v>
      </c>
    </row>
    <row r="1147" spans="1:10" x14ac:dyDescent="0.3">
      <c r="A1147" t="s">
        <v>259</v>
      </c>
      <c r="B1147">
        <v>84</v>
      </c>
      <c r="C1147">
        <v>0</v>
      </c>
      <c r="D1147">
        <v>0</v>
      </c>
      <c r="F1147">
        <v>0</v>
      </c>
      <c r="G1147">
        <v>0</v>
      </c>
      <c r="H1147">
        <v>0</v>
      </c>
      <c r="J1147">
        <v>0</v>
      </c>
    </row>
    <row r="1148" spans="1:10" x14ac:dyDescent="0.3">
      <c r="A1148" t="s">
        <v>260</v>
      </c>
      <c r="B1148">
        <v>84</v>
      </c>
      <c r="C1148">
        <v>3</v>
      </c>
      <c r="D1148">
        <v>3</v>
      </c>
      <c r="F1148">
        <v>3</v>
      </c>
      <c r="G1148">
        <v>3</v>
      </c>
      <c r="H1148">
        <v>3</v>
      </c>
      <c r="J1148">
        <v>3</v>
      </c>
    </row>
    <row r="1149" spans="1:10" x14ac:dyDescent="0.3">
      <c r="A1149" t="s">
        <v>261</v>
      </c>
      <c r="B1149">
        <v>84</v>
      </c>
      <c r="C1149">
        <v>3</v>
      </c>
      <c r="D1149">
        <v>5</v>
      </c>
      <c r="F1149">
        <v>3.6</v>
      </c>
      <c r="G1149">
        <v>3</v>
      </c>
      <c r="H1149">
        <v>5</v>
      </c>
      <c r="J1149">
        <v>3.6</v>
      </c>
    </row>
    <row r="1150" spans="1:10" x14ac:dyDescent="0.3">
      <c r="A1150" t="s">
        <v>262</v>
      </c>
      <c r="B1150">
        <v>84</v>
      </c>
      <c r="C1150">
        <v>1</v>
      </c>
      <c r="D1150">
        <v>1</v>
      </c>
      <c r="F1150">
        <v>2.2999999999999998</v>
      </c>
      <c r="G1150">
        <v>1</v>
      </c>
      <c r="H1150">
        <v>1</v>
      </c>
      <c r="J1150">
        <v>2.2999999999999998</v>
      </c>
    </row>
    <row r="1151" spans="1:10" x14ac:dyDescent="0.3">
      <c r="A1151" t="s">
        <v>263</v>
      </c>
      <c r="B1151">
        <v>84</v>
      </c>
      <c r="C1151">
        <v>3</v>
      </c>
      <c r="D1151">
        <v>3</v>
      </c>
      <c r="F1151">
        <v>3</v>
      </c>
      <c r="G1151">
        <v>3</v>
      </c>
      <c r="H1151">
        <v>3</v>
      </c>
      <c r="J1151">
        <v>3</v>
      </c>
    </row>
    <row r="1152" spans="1:10" x14ac:dyDescent="0.3">
      <c r="A1152" t="s">
        <v>264</v>
      </c>
      <c r="B1152">
        <v>84</v>
      </c>
      <c r="D1152">
        <v>7</v>
      </c>
      <c r="F1152">
        <v>7</v>
      </c>
      <c r="H1152">
        <v>7</v>
      </c>
      <c r="J1152">
        <v>7</v>
      </c>
    </row>
    <row r="1153" spans="1:10" x14ac:dyDescent="0.3">
      <c r="A1153" t="s">
        <v>265</v>
      </c>
      <c r="B1153">
        <v>84</v>
      </c>
      <c r="D1153">
        <v>11</v>
      </c>
      <c r="F1153">
        <v>11</v>
      </c>
      <c r="H1153">
        <v>11</v>
      </c>
      <c r="J1153">
        <v>11</v>
      </c>
    </row>
    <row r="1154" spans="1:10" x14ac:dyDescent="0.3">
      <c r="A1154" t="s">
        <v>266</v>
      </c>
      <c r="B1154">
        <v>84</v>
      </c>
      <c r="D1154">
        <v>0</v>
      </c>
      <c r="F1154">
        <v>0</v>
      </c>
      <c r="H1154">
        <v>0</v>
      </c>
      <c r="J1154">
        <v>0</v>
      </c>
    </row>
    <row r="1155" spans="1:10" x14ac:dyDescent="0.3">
      <c r="A1155" t="s">
        <v>267</v>
      </c>
      <c r="B1155">
        <v>84</v>
      </c>
      <c r="C1155">
        <v>10.5</v>
      </c>
      <c r="D1155">
        <v>31</v>
      </c>
      <c r="F1155">
        <v>23.9</v>
      </c>
      <c r="G1155">
        <v>10.5</v>
      </c>
      <c r="H1155">
        <v>31</v>
      </c>
      <c r="J1155">
        <v>23.9</v>
      </c>
    </row>
    <row r="1156" spans="1:10" x14ac:dyDescent="0.3">
      <c r="A1156" t="s">
        <v>268</v>
      </c>
      <c r="B1156">
        <v>84</v>
      </c>
      <c r="C1156">
        <v>0</v>
      </c>
      <c r="D1156">
        <v>1</v>
      </c>
      <c r="F1156">
        <v>1</v>
      </c>
      <c r="G1156">
        <v>0</v>
      </c>
      <c r="H1156">
        <v>1</v>
      </c>
      <c r="J1156">
        <v>1</v>
      </c>
    </row>
    <row r="1157" spans="1:10" x14ac:dyDescent="0.3">
      <c r="A1157" t="s">
        <v>269</v>
      </c>
      <c r="B1157">
        <v>84</v>
      </c>
      <c r="C1157">
        <v>1</v>
      </c>
      <c r="D1157">
        <v>1</v>
      </c>
      <c r="F1157">
        <v>1</v>
      </c>
      <c r="G1157">
        <v>1</v>
      </c>
      <c r="H1157">
        <v>1</v>
      </c>
      <c r="J1157">
        <v>1</v>
      </c>
    </row>
    <row r="1158" spans="1:10" x14ac:dyDescent="0.3">
      <c r="A1158" t="s">
        <v>270</v>
      </c>
      <c r="B1158">
        <v>84</v>
      </c>
      <c r="C1158">
        <v>54.9</v>
      </c>
      <c r="D1158">
        <v>0</v>
      </c>
      <c r="F1158">
        <v>31</v>
      </c>
      <c r="G1158">
        <v>54.9</v>
      </c>
      <c r="H1158">
        <v>0</v>
      </c>
      <c r="J1158">
        <v>31</v>
      </c>
    </row>
    <row r="1159" spans="1:10" x14ac:dyDescent="0.3">
      <c r="A1159" t="s">
        <v>271</v>
      </c>
      <c r="B1159">
        <v>84</v>
      </c>
      <c r="C1159">
        <v>0</v>
      </c>
      <c r="D1159">
        <v>31</v>
      </c>
      <c r="F1159">
        <v>54.9</v>
      </c>
      <c r="G1159">
        <v>0</v>
      </c>
      <c r="H1159">
        <v>31</v>
      </c>
      <c r="J1159">
        <v>54.9</v>
      </c>
    </row>
    <row r="1160" spans="1:10" x14ac:dyDescent="0.3">
      <c r="A1160" t="s">
        <v>272</v>
      </c>
      <c r="B1160">
        <v>84</v>
      </c>
      <c r="C1160">
        <v>61.4</v>
      </c>
      <c r="D1160">
        <v>25</v>
      </c>
      <c r="F1160">
        <v>49</v>
      </c>
      <c r="G1160">
        <v>61.4</v>
      </c>
      <c r="H1160">
        <v>25</v>
      </c>
      <c r="J1160">
        <v>49</v>
      </c>
    </row>
    <row r="1161" spans="1:10" x14ac:dyDescent="0.3">
      <c r="A1161" t="s">
        <v>273</v>
      </c>
      <c r="B1161">
        <v>84</v>
      </c>
      <c r="C1161">
        <v>61.4</v>
      </c>
      <c r="D1161">
        <v>14</v>
      </c>
      <c r="F1161">
        <v>38</v>
      </c>
      <c r="G1161">
        <v>61.4</v>
      </c>
      <c r="H1161">
        <v>14</v>
      </c>
      <c r="J1161">
        <v>38</v>
      </c>
    </row>
    <row r="1162" spans="1:10" x14ac:dyDescent="0.3">
      <c r="A1162" t="s">
        <v>274</v>
      </c>
      <c r="B1162">
        <v>84</v>
      </c>
      <c r="C1162">
        <v>54.9</v>
      </c>
      <c r="D1162">
        <v>0</v>
      </c>
      <c r="F1162">
        <v>31</v>
      </c>
      <c r="G1162">
        <v>54.9</v>
      </c>
      <c r="H1162">
        <v>0</v>
      </c>
      <c r="J1162">
        <v>31</v>
      </c>
    </row>
    <row r="1163" spans="1:10" x14ac:dyDescent="0.3">
      <c r="A1163" t="s">
        <v>275</v>
      </c>
      <c r="B1163">
        <v>84</v>
      </c>
      <c r="C1163">
        <v>61.4</v>
      </c>
      <c r="D1163">
        <v>25</v>
      </c>
      <c r="F1163">
        <v>49</v>
      </c>
      <c r="G1163">
        <v>61.4</v>
      </c>
      <c r="H1163">
        <v>25</v>
      </c>
      <c r="J1163">
        <v>49</v>
      </c>
    </row>
    <row r="1164" spans="1:10" x14ac:dyDescent="0.3">
      <c r="A1164" t="s">
        <v>276</v>
      </c>
      <c r="B1164">
        <v>84</v>
      </c>
      <c r="C1164">
        <v>61.4</v>
      </c>
      <c r="D1164">
        <v>14</v>
      </c>
      <c r="F1164">
        <v>38</v>
      </c>
      <c r="G1164">
        <v>61.4</v>
      </c>
      <c r="H1164">
        <v>14</v>
      </c>
      <c r="J1164">
        <v>38</v>
      </c>
    </row>
    <row r="1165" spans="1:10" x14ac:dyDescent="0.3">
      <c r="A1165" t="s">
        <v>567</v>
      </c>
      <c r="B1165">
        <v>84</v>
      </c>
      <c r="C1165">
        <v>6.5</v>
      </c>
      <c r="D1165">
        <v>25</v>
      </c>
      <c r="F1165">
        <v>18</v>
      </c>
      <c r="G1165">
        <v>6.5</v>
      </c>
      <c r="H1165">
        <v>25</v>
      </c>
      <c r="J1165">
        <v>18</v>
      </c>
    </row>
    <row r="1166" spans="1:10" x14ac:dyDescent="0.3">
      <c r="A1166" t="s">
        <v>254</v>
      </c>
      <c r="B1166">
        <v>87</v>
      </c>
      <c r="C1166">
        <v>111</v>
      </c>
      <c r="D1166">
        <v>112</v>
      </c>
      <c r="E1166">
        <v>211</v>
      </c>
      <c r="F1166">
        <v>212</v>
      </c>
      <c r="G1166">
        <v>121</v>
      </c>
      <c r="H1166">
        <v>122</v>
      </c>
      <c r="I1166">
        <v>221</v>
      </c>
      <c r="J1166">
        <v>222</v>
      </c>
    </row>
    <row r="1167" spans="1:10" x14ac:dyDescent="0.3">
      <c r="A1167" t="s">
        <v>255</v>
      </c>
      <c r="B1167">
        <v>87</v>
      </c>
      <c r="C1167">
        <v>6</v>
      </c>
      <c r="D1167">
        <v>15</v>
      </c>
      <c r="E1167">
        <v>6</v>
      </c>
      <c r="F1167">
        <v>6</v>
      </c>
      <c r="G1167">
        <v>6</v>
      </c>
      <c r="H1167">
        <v>15</v>
      </c>
      <c r="I1167">
        <v>6</v>
      </c>
      <c r="J1167">
        <v>6</v>
      </c>
    </row>
    <row r="1168" spans="1:10" x14ac:dyDescent="0.3">
      <c r="A1168" t="s">
        <v>256</v>
      </c>
      <c r="B1168">
        <v>87</v>
      </c>
      <c r="C1168">
        <v>6.5</v>
      </c>
      <c r="D1168">
        <v>18</v>
      </c>
      <c r="E1168">
        <v>6.5</v>
      </c>
      <c r="F1168">
        <v>18.3</v>
      </c>
      <c r="G1168">
        <v>6.5</v>
      </c>
      <c r="H1168">
        <v>18</v>
      </c>
      <c r="I1168">
        <v>6.5</v>
      </c>
      <c r="J1168">
        <v>18</v>
      </c>
    </row>
    <row r="1169" spans="1:10" x14ac:dyDescent="0.3">
      <c r="A1169" t="s">
        <v>257</v>
      </c>
      <c r="B1169">
        <v>87</v>
      </c>
      <c r="C1169">
        <v>3</v>
      </c>
      <c r="D1169">
        <v>3</v>
      </c>
      <c r="E1169">
        <v>3</v>
      </c>
      <c r="F1169">
        <v>3</v>
      </c>
      <c r="G1169">
        <v>3</v>
      </c>
      <c r="H1169">
        <v>3</v>
      </c>
      <c r="I1169">
        <v>3</v>
      </c>
      <c r="J1169">
        <v>3</v>
      </c>
    </row>
    <row r="1170" spans="1:10" x14ac:dyDescent="0.3">
      <c r="A1170" t="s">
        <v>258</v>
      </c>
      <c r="B1170">
        <v>87</v>
      </c>
      <c r="C1170">
        <v>0</v>
      </c>
      <c r="D1170">
        <v>0</v>
      </c>
      <c r="E1170">
        <v>0</v>
      </c>
      <c r="F1170">
        <v>0</v>
      </c>
      <c r="G1170">
        <v>0</v>
      </c>
      <c r="H1170">
        <v>0</v>
      </c>
      <c r="I1170">
        <v>0</v>
      </c>
      <c r="J1170">
        <v>0</v>
      </c>
    </row>
    <row r="1171" spans="1:10" x14ac:dyDescent="0.3">
      <c r="A1171" t="s">
        <v>259</v>
      </c>
      <c r="B1171">
        <v>87</v>
      </c>
      <c r="C1171">
        <v>0</v>
      </c>
      <c r="D1171">
        <v>0</v>
      </c>
      <c r="E1171">
        <v>0</v>
      </c>
      <c r="F1171">
        <v>0</v>
      </c>
      <c r="G1171">
        <v>0</v>
      </c>
      <c r="H1171">
        <v>0</v>
      </c>
      <c r="I1171">
        <v>0</v>
      </c>
      <c r="J1171">
        <v>0</v>
      </c>
    </row>
    <row r="1172" spans="1:10" x14ac:dyDescent="0.3">
      <c r="A1172" t="s">
        <v>260</v>
      </c>
      <c r="B1172">
        <v>87</v>
      </c>
      <c r="C1172">
        <v>3</v>
      </c>
      <c r="D1172">
        <v>3</v>
      </c>
      <c r="E1172">
        <v>3</v>
      </c>
      <c r="F1172">
        <v>3</v>
      </c>
      <c r="G1172">
        <v>3</v>
      </c>
      <c r="H1172">
        <v>3</v>
      </c>
      <c r="I1172">
        <v>3</v>
      </c>
      <c r="J1172">
        <v>3</v>
      </c>
    </row>
    <row r="1173" spans="1:10" x14ac:dyDescent="0.3">
      <c r="A1173" t="s">
        <v>261</v>
      </c>
      <c r="B1173">
        <v>87</v>
      </c>
      <c r="C1173">
        <v>3</v>
      </c>
      <c r="D1173">
        <v>4.7</v>
      </c>
      <c r="E1173">
        <v>3</v>
      </c>
      <c r="F1173">
        <v>3</v>
      </c>
      <c r="G1173">
        <v>3</v>
      </c>
      <c r="H1173">
        <v>4.7</v>
      </c>
      <c r="I1173">
        <v>3</v>
      </c>
      <c r="J1173">
        <v>4.3</v>
      </c>
    </row>
    <row r="1174" spans="1:10" x14ac:dyDescent="0.3">
      <c r="A1174" t="s">
        <v>262</v>
      </c>
      <c r="B1174">
        <v>87</v>
      </c>
      <c r="C1174">
        <v>1</v>
      </c>
      <c r="D1174">
        <v>1</v>
      </c>
      <c r="E1174">
        <v>1</v>
      </c>
      <c r="F1174">
        <v>1.2</v>
      </c>
      <c r="G1174">
        <v>1</v>
      </c>
      <c r="H1174">
        <v>1</v>
      </c>
      <c r="I1174">
        <v>1</v>
      </c>
      <c r="J1174">
        <v>1.2</v>
      </c>
    </row>
    <row r="1175" spans="1:10" x14ac:dyDescent="0.3">
      <c r="A1175" t="s">
        <v>263</v>
      </c>
      <c r="B1175">
        <v>87</v>
      </c>
      <c r="C1175">
        <v>3</v>
      </c>
      <c r="D1175">
        <v>3</v>
      </c>
      <c r="E1175">
        <v>3</v>
      </c>
      <c r="F1175">
        <v>3</v>
      </c>
      <c r="G1175">
        <v>3</v>
      </c>
      <c r="H1175">
        <v>3</v>
      </c>
      <c r="I1175">
        <v>3</v>
      </c>
      <c r="J1175">
        <v>3</v>
      </c>
    </row>
    <row r="1176" spans="1:10" x14ac:dyDescent="0.3">
      <c r="A1176" t="s">
        <v>264</v>
      </c>
      <c r="B1176">
        <v>87</v>
      </c>
      <c r="D1176">
        <v>7</v>
      </c>
      <c r="F1176">
        <v>7</v>
      </c>
      <c r="H1176">
        <v>7</v>
      </c>
      <c r="J1176">
        <v>7</v>
      </c>
    </row>
    <row r="1177" spans="1:10" x14ac:dyDescent="0.3">
      <c r="A1177" t="s">
        <v>265</v>
      </c>
      <c r="B1177">
        <v>87</v>
      </c>
      <c r="D1177">
        <v>11</v>
      </c>
      <c r="F1177">
        <v>11</v>
      </c>
      <c r="H1177">
        <v>11</v>
      </c>
      <c r="J1177">
        <v>11</v>
      </c>
    </row>
    <row r="1178" spans="1:10" x14ac:dyDescent="0.3">
      <c r="A1178" t="s">
        <v>266</v>
      </c>
      <c r="B1178">
        <v>87</v>
      </c>
      <c r="D1178">
        <v>0</v>
      </c>
      <c r="F1178">
        <v>0</v>
      </c>
      <c r="H1178">
        <v>0</v>
      </c>
      <c r="J1178">
        <v>0</v>
      </c>
    </row>
    <row r="1179" spans="1:10" x14ac:dyDescent="0.3">
      <c r="A1179" t="s">
        <v>267</v>
      </c>
      <c r="B1179">
        <v>87</v>
      </c>
      <c r="C1179">
        <v>10.5</v>
      </c>
      <c r="D1179">
        <v>23.7</v>
      </c>
      <c r="E1179">
        <v>10.5</v>
      </c>
      <c r="F1179">
        <v>22.5</v>
      </c>
      <c r="G1179">
        <v>10.5</v>
      </c>
      <c r="H1179">
        <v>23.7</v>
      </c>
      <c r="I1179">
        <v>10.5</v>
      </c>
      <c r="J1179">
        <v>23.5</v>
      </c>
    </row>
    <row r="1180" spans="1:10" x14ac:dyDescent="0.3">
      <c r="A1180" t="s">
        <v>268</v>
      </c>
      <c r="B1180">
        <v>87</v>
      </c>
      <c r="C1180">
        <v>0</v>
      </c>
      <c r="D1180">
        <v>1</v>
      </c>
      <c r="E1180">
        <v>0</v>
      </c>
      <c r="F1180">
        <v>1</v>
      </c>
      <c r="G1180">
        <v>0</v>
      </c>
      <c r="H1180">
        <v>1</v>
      </c>
      <c r="I1180">
        <v>0</v>
      </c>
      <c r="J1180">
        <v>1</v>
      </c>
    </row>
    <row r="1181" spans="1:10" x14ac:dyDescent="0.3">
      <c r="A1181" t="s">
        <v>269</v>
      </c>
      <c r="B1181">
        <v>87</v>
      </c>
      <c r="C1181">
        <v>1</v>
      </c>
      <c r="D1181">
        <v>1</v>
      </c>
      <c r="E1181">
        <v>1</v>
      </c>
      <c r="F1181">
        <v>1</v>
      </c>
      <c r="G1181">
        <v>1</v>
      </c>
      <c r="H1181">
        <v>1</v>
      </c>
      <c r="I1181">
        <v>1</v>
      </c>
      <c r="J1181">
        <v>1</v>
      </c>
    </row>
    <row r="1182" spans="1:10" x14ac:dyDescent="0.3">
      <c r="A1182" t="s">
        <v>270</v>
      </c>
      <c r="B1182">
        <v>87</v>
      </c>
      <c r="C1182">
        <v>57.7</v>
      </c>
      <c r="D1182">
        <v>0</v>
      </c>
      <c r="E1182">
        <v>23.7</v>
      </c>
      <c r="F1182">
        <v>34.200000000000003</v>
      </c>
      <c r="G1182">
        <v>57.7</v>
      </c>
      <c r="H1182">
        <v>0</v>
      </c>
      <c r="I1182">
        <v>23.7</v>
      </c>
      <c r="J1182">
        <v>34.200000000000003</v>
      </c>
    </row>
    <row r="1183" spans="1:10" x14ac:dyDescent="0.3">
      <c r="A1183" t="s">
        <v>271</v>
      </c>
      <c r="B1183">
        <v>87</v>
      </c>
      <c r="C1183">
        <v>0</v>
      </c>
      <c r="D1183">
        <v>23.7</v>
      </c>
      <c r="E1183">
        <v>34.200000000000003</v>
      </c>
      <c r="F1183">
        <v>57.7</v>
      </c>
      <c r="G1183">
        <v>0</v>
      </c>
      <c r="H1183">
        <v>23.7</v>
      </c>
      <c r="I1183">
        <v>34.200000000000003</v>
      </c>
      <c r="J1183">
        <v>57.7</v>
      </c>
    </row>
    <row r="1184" spans="1:10" x14ac:dyDescent="0.3">
      <c r="A1184" t="s">
        <v>272</v>
      </c>
      <c r="B1184">
        <v>87</v>
      </c>
      <c r="C1184">
        <v>64.2</v>
      </c>
      <c r="D1184">
        <v>18</v>
      </c>
      <c r="E1184">
        <v>30.2</v>
      </c>
      <c r="F1184">
        <v>53.5</v>
      </c>
      <c r="G1184">
        <v>64.2</v>
      </c>
      <c r="H1184">
        <v>18</v>
      </c>
      <c r="I1184">
        <v>30.2</v>
      </c>
      <c r="J1184">
        <v>52.2</v>
      </c>
    </row>
    <row r="1185" spans="1:10" x14ac:dyDescent="0.3">
      <c r="A1185" t="s">
        <v>273</v>
      </c>
      <c r="B1185">
        <v>87</v>
      </c>
      <c r="C1185">
        <v>64.2</v>
      </c>
      <c r="D1185">
        <v>7</v>
      </c>
      <c r="E1185">
        <v>30.2</v>
      </c>
      <c r="F1185">
        <v>42.5</v>
      </c>
      <c r="G1185">
        <v>64.2</v>
      </c>
      <c r="H1185">
        <v>7</v>
      </c>
      <c r="I1185">
        <v>30.2</v>
      </c>
      <c r="J1185">
        <v>41.2</v>
      </c>
    </row>
    <row r="1186" spans="1:10" x14ac:dyDescent="0.3">
      <c r="A1186" t="s">
        <v>274</v>
      </c>
      <c r="B1186">
        <v>87</v>
      </c>
      <c r="C1186">
        <v>57.7</v>
      </c>
      <c r="D1186">
        <v>0</v>
      </c>
      <c r="E1186">
        <v>23.7</v>
      </c>
      <c r="F1186">
        <v>34.200000000000003</v>
      </c>
      <c r="G1186">
        <v>57.7</v>
      </c>
      <c r="H1186">
        <v>0</v>
      </c>
      <c r="I1186">
        <v>23.7</v>
      </c>
      <c r="J1186">
        <v>34.200000000000003</v>
      </c>
    </row>
    <row r="1187" spans="1:10" x14ac:dyDescent="0.3">
      <c r="A1187" t="s">
        <v>275</v>
      </c>
      <c r="B1187">
        <v>87</v>
      </c>
      <c r="C1187">
        <v>64.2</v>
      </c>
      <c r="D1187">
        <v>18</v>
      </c>
      <c r="E1187">
        <v>30.2</v>
      </c>
      <c r="F1187">
        <v>53.5</v>
      </c>
      <c r="G1187">
        <v>64.2</v>
      </c>
      <c r="H1187">
        <v>18</v>
      </c>
      <c r="I1187">
        <v>30.2</v>
      </c>
      <c r="J1187">
        <v>52.2</v>
      </c>
    </row>
    <row r="1188" spans="1:10" x14ac:dyDescent="0.3">
      <c r="A1188" t="s">
        <v>276</v>
      </c>
      <c r="B1188">
        <v>87</v>
      </c>
      <c r="C1188">
        <v>64.2</v>
      </c>
      <c r="D1188">
        <v>7</v>
      </c>
      <c r="E1188">
        <v>30.2</v>
      </c>
      <c r="F1188">
        <v>42.5</v>
      </c>
      <c r="G1188">
        <v>64.2</v>
      </c>
      <c r="H1188">
        <v>7</v>
      </c>
      <c r="I1188">
        <v>30.2</v>
      </c>
      <c r="J1188">
        <v>41.2</v>
      </c>
    </row>
    <row r="1189" spans="1:10" x14ac:dyDescent="0.3">
      <c r="A1189" t="s">
        <v>567</v>
      </c>
      <c r="B1189">
        <v>87</v>
      </c>
      <c r="C1189">
        <v>6.5</v>
      </c>
      <c r="D1189">
        <v>18</v>
      </c>
      <c r="E1189">
        <v>6.5</v>
      </c>
      <c r="F1189">
        <v>19.3</v>
      </c>
      <c r="G1189">
        <v>6.5</v>
      </c>
      <c r="H1189">
        <v>18</v>
      </c>
      <c r="I1189">
        <v>6.5</v>
      </c>
      <c r="J1189">
        <v>18</v>
      </c>
    </row>
    <row r="1190" spans="1:10" x14ac:dyDescent="0.3">
      <c r="A1190" t="s">
        <v>254</v>
      </c>
      <c r="B1190">
        <v>98</v>
      </c>
      <c r="C1190">
        <v>111</v>
      </c>
      <c r="D1190">
        <v>112</v>
      </c>
      <c r="E1190">
        <v>211</v>
      </c>
      <c r="F1190">
        <v>212</v>
      </c>
      <c r="G1190">
        <v>121</v>
      </c>
      <c r="H1190">
        <v>122</v>
      </c>
      <c r="I1190">
        <v>221</v>
      </c>
      <c r="J1190">
        <v>222</v>
      </c>
    </row>
    <row r="1191" spans="1:10" x14ac:dyDescent="0.3">
      <c r="A1191" t="s">
        <v>255</v>
      </c>
      <c r="B1191">
        <v>98</v>
      </c>
      <c r="D1191">
        <v>20</v>
      </c>
      <c r="F1191">
        <v>6</v>
      </c>
      <c r="G1191">
        <v>6</v>
      </c>
      <c r="H1191">
        <v>20</v>
      </c>
    </row>
    <row r="1192" spans="1:10" x14ac:dyDescent="0.3">
      <c r="A1192" t="s">
        <v>256</v>
      </c>
      <c r="B1192">
        <v>98</v>
      </c>
      <c r="D1192">
        <v>20</v>
      </c>
      <c r="F1192">
        <v>18</v>
      </c>
      <c r="G1192">
        <v>6.5</v>
      </c>
      <c r="H1192">
        <v>20</v>
      </c>
    </row>
    <row r="1193" spans="1:10" x14ac:dyDescent="0.3">
      <c r="A1193" t="s">
        <v>257</v>
      </c>
      <c r="B1193">
        <v>98</v>
      </c>
      <c r="D1193">
        <v>3</v>
      </c>
      <c r="F1193">
        <v>3</v>
      </c>
      <c r="G1193">
        <v>3</v>
      </c>
      <c r="H1193">
        <v>3</v>
      </c>
    </row>
    <row r="1194" spans="1:10" x14ac:dyDescent="0.3">
      <c r="A1194" t="s">
        <v>258</v>
      </c>
      <c r="B1194">
        <v>98</v>
      </c>
      <c r="D1194">
        <v>0</v>
      </c>
      <c r="F1194">
        <v>0</v>
      </c>
      <c r="G1194">
        <v>0</v>
      </c>
      <c r="H1194">
        <v>0</v>
      </c>
    </row>
    <row r="1195" spans="1:10" x14ac:dyDescent="0.3">
      <c r="A1195" t="s">
        <v>259</v>
      </c>
      <c r="B1195">
        <v>98</v>
      </c>
      <c r="D1195">
        <v>0</v>
      </c>
      <c r="F1195">
        <v>0</v>
      </c>
      <c r="G1195">
        <v>0</v>
      </c>
      <c r="H1195">
        <v>0</v>
      </c>
    </row>
    <row r="1196" spans="1:10" x14ac:dyDescent="0.3">
      <c r="A1196" t="s">
        <v>260</v>
      </c>
      <c r="B1196">
        <v>98</v>
      </c>
      <c r="D1196">
        <v>3</v>
      </c>
      <c r="F1196">
        <v>3</v>
      </c>
      <c r="G1196">
        <v>3</v>
      </c>
      <c r="H1196">
        <v>3</v>
      </c>
    </row>
    <row r="1197" spans="1:10" x14ac:dyDescent="0.3">
      <c r="A1197" t="s">
        <v>261</v>
      </c>
      <c r="B1197">
        <v>98</v>
      </c>
      <c r="D1197">
        <v>5</v>
      </c>
      <c r="F1197">
        <v>3</v>
      </c>
      <c r="G1197">
        <v>3</v>
      </c>
      <c r="H1197">
        <v>5</v>
      </c>
    </row>
    <row r="1198" spans="1:10" x14ac:dyDescent="0.3">
      <c r="A1198" t="s">
        <v>262</v>
      </c>
      <c r="B1198">
        <v>98</v>
      </c>
      <c r="D1198">
        <v>1.2</v>
      </c>
      <c r="F1198">
        <v>2.8</v>
      </c>
      <c r="G1198">
        <v>1</v>
      </c>
      <c r="H1198">
        <v>1.2</v>
      </c>
    </row>
    <row r="1199" spans="1:10" x14ac:dyDescent="0.3">
      <c r="A1199" t="s">
        <v>263</v>
      </c>
      <c r="B1199">
        <v>98</v>
      </c>
      <c r="D1199">
        <v>3</v>
      </c>
      <c r="F1199">
        <v>3</v>
      </c>
      <c r="G1199">
        <v>3</v>
      </c>
      <c r="H1199">
        <v>3</v>
      </c>
    </row>
    <row r="1200" spans="1:10" x14ac:dyDescent="0.3">
      <c r="A1200" t="s">
        <v>264</v>
      </c>
      <c r="B1200">
        <v>98</v>
      </c>
      <c r="D1200">
        <v>7</v>
      </c>
      <c r="F1200">
        <v>7</v>
      </c>
      <c r="H1200">
        <v>7</v>
      </c>
    </row>
    <row r="1201" spans="1:8" x14ac:dyDescent="0.3">
      <c r="A1201" t="s">
        <v>265</v>
      </c>
      <c r="B1201">
        <v>98</v>
      </c>
      <c r="D1201">
        <v>11</v>
      </c>
      <c r="F1201">
        <v>11</v>
      </c>
      <c r="H1201">
        <v>11</v>
      </c>
    </row>
    <row r="1202" spans="1:8" x14ac:dyDescent="0.3">
      <c r="A1202" t="s">
        <v>266</v>
      </c>
      <c r="B1202">
        <v>98</v>
      </c>
      <c r="D1202">
        <v>0</v>
      </c>
      <c r="F1202">
        <v>0</v>
      </c>
      <c r="H1202">
        <v>0</v>
      </c>
    </row>
    <row r="1203" spans="1:8" x14ac:dyDescent="0.3">
      <c r="A1203" t="s">
        <v>267</v>
      </c>
      <c r="B1203">
        <v>98</v>
      </c>
      <c r="D1203">
        <v>26.2</v>
      </c>
      <c r="F1203">
        <v>23.8</v>
      </c>
      <c r="G1203">
        <v>10.5</v>
      </c>
      <c r="H1203">
        <v>26.2</v>
      </c>
    </row>
    <row r="1204" spans="1:8" x14ac:dyDescent="0.3">
      <c r="A1204" t="s">
        <v>268</v>
      </c>
      <c r="B1204">
        <v>98</v>
      </c>
      <c r="D1204">
        <v>1</v>
      </c>
      <c r="F1204">
        <v>1</v>
      </c>
      <c r="G1204">
        <v>0</v>
      </c>
      <c r="H1204">
        <v>1</v>
      </c>
    </row>
    <row r="1205" spans="1:8" x14ac:dyDescent="0.3">
      <c r="A1205" t="s">
        <v>269</v>
      </c>
      <c r="B1205">
        <v>98</v>
      </c>
      <c r="D1205">
        <v>1</v>
      </c>
      <c r="F1205">
        <v>1</v>
      </c>
      <c r="G1205">
        <v>1</v>
      </c>
      <c r="H1205">
        <v>1</v>
      </c>
    </row>
    <row r="1206" spans="1:8" x14ac:dyDescent="0.3">
      <c r="A1206" t="s">
        <v>270</v>
      </c>
      <c r="B1206">
        <v>98</v>
      </c>
      <c r="D1206">
        <v>50</v>
      </c>
      <c r="F1206">
        <v>26.2</v>
      </c>
      <c r="G1206">
        <v>50</v>
      </c>
      <c r="H1206">
        <v>0</v>
      </c>
    </row>
    <row r="1207" spans="1:8" x14ac:dyDescent="0.3">
      <c r="A1207" t="s">
        <v>271</v>
      </c>
      <c r="B1207">
        <v>98</v>
      </c>
      <c r="D1207">
        <v>26.2</v>
      </c>
      <c r="F1207">
        <v>50</v>
      </c>
      <c r="G1207">
        <v>0</v>
      </c>
      <c r="H1207">
        <v>26.2</v>
      </c>
    </row>
    <row r="1208" spans="1:8" x14ac:dyDescent="0.3">
      <c r="A1208" t="s">
        <v>272</v>
      </c>
      <c r="B1208">
        <v>98</v>
      </c>
      <c r="D1208">
        <v>20</v>
      </c>
      <c r="F1208">
        <v>44.2</v>
      </c>
      <c r="G1208">
        <v>56.5</v>
      </c>
      <c r="H1208">
        <v>20</v>
      </c>
    </row>
    <row r="1209" spans="1:8" x14ac:dyDescent="0.3">
      <c r="A1209" t="s">
        <v>273</v>
      </c>
      <c r="B1209">
        <v>98</v>
      </c>
      <c r="D1209">
        <v>9</v>
      </c>
      <c r="F1209">
        <v>33.200000000000003</v>
      </c>
      <c r="G1209">
        <v>56.5</v>
      </c>
      <c r="H1209">
        <v>9</v>
      </c>
    </row>
    <row r="1210" spans="1:8" x14ac:dyDescent="0.3">
      <c r="A1210" t="s">
        <v>274</v>
      </c>
      <c r="B1210">
        <v>98</v>
      </c>
      <c r="D1210">
        <v>50</v>
      </c>
      <c r="F1210">
        <v>26.2</v>
      </c>
      <c r="G1210">
        <v>50</v>
      </c>
      <c r="H1210">
        <v>0</v>
      </c>
    </row>
    <row r="1211" spans="1:8" x14ac:dyDescent="0.3">
      <c r="A1211" t="s">
        <v>275</v>
      </c>
      <c r="B1211">
        <v>98</v>
      </c>
      <c r="D1211">
        <v>20</v>
      </c>
      <c r="F1211">
        <v>44.2</v>
      </c>
      <c r="G1211">
        <v>56.5</v>
      </c>
      <c r="H1211">
        <v>20</v>
      </c>
    </row>
    <row r="1212" spans="1:8" x14ac:dyDescent="0.3">
      <c r="A1212" t="s">
        <v>276</v>
      </c>
      <c r="B1212">
        <v>98</v>
      </c>
      <c r="D1212">
        <v>9</v>
      </c>
      <c r="F1212">
        <v>33.200000000000003</v>
      </c>
      <c r="G1212">
        <v>56.5</v>
      </c>
      <c r="H1212">
        <v>9</v>
      </c>
    </row>
    <row r="1213" spans="1:8" x14ac:dyDescent="0.3">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4.4" x14ac:dyDescent="0.3"/>
  <cols>
    <col min="1" max="1" width="11.5546875" bestFit="1" customWidth="1"/>
  </cols>
  <sheetData>
    <row r="1" spans="1:12" x14ac:dyDescent="0.3">
      <c r="A1" t="s">
        <v>562</v>
      </c>
      <c r="B1">
        <f>IFERROR(MATCH(A1,UTDF8!A:A,0),0)</f>
        <v>52</v>
      </c>
      <c r="E1" t="s">
        <v>609</v>
      </c>
      <c r="F1" t="s">
        <v>610</v>
      </c>
      <c r="G1" t="s">
        <v>611</v>
      </c>
      <c r="H1" t="s">
        <v>338</v>
      </c>
      <c r="I1" t="s">
        <v>612</v>
      </c>
      <c r="J1" t="s">
        <v>613</v>
      </c>
      <c r="K1" t="s">
        <v>614</v>
      </c>
      <c r="L1" t="s">
        <v>615</v>
      </c>
    </row>
    <row r="2" spans="1:12" x14ac:dyDescent="0.3">
      <c r="A2" t="s">
        <v>564</v>
      </c>
      <c r="B2">
        <f>IFERROR(MATCH(A2,UTDF8!A:A,0),0)</f>
        <v>496</v>
      </c>
      <c r="E2" t="s">
        <v>571</v>
      </c>
      <c r="F2" t="s">
        <v>572</v>
      </c>
      <c r="G2" t="s">
        <v>571</v>
      </c>
      <c r="H2" t="s">
        <v>572</v>
      </c>
      <c r="I2" t="s">
        <v>571</v>
      </c>
      <c r="J2" t="s">
        <v>572</v>
      </c>
      <c r="K2" t="s">
        <v>571</v>
      </c>
      <c r="L2" t="s">
        <v>572</v>
      </c>
    </row>
    <row r="3" spans="1:12" x14ac:dyDescent="0.3">
      <c r="A3" t="s">
        <v>565</v>
      </c>
      <c r="B3">
        <f>IFERROR(MATCH(A3,UTDF8!A:A,0),0)</f>
        <v>935</v>
      </c>
      <c r="D3" t="s">
        <v>1</v>
      </c>
      <c r="E3" t="s">
        <v>570</v>
      </c>
      <c r="G3" t="s">
        <v>36</v>
      </c>
      <c r="I3" t="s">
        <v>573</v>
      </c>
      <c r="K3" t="s">
        <v>574</v>
      </c>
    </row>
    <row r="4" spans="1:12" x14ac:dyDescent="0.3">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3">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3">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3">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3">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3">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3">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3">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119" workbookViewId="0">
      <selection activeCell="A144" sqref="A144:J163"/>
    </sheetView>
  </sheetViews>
  <sheetFormatPr defaultRowHeight="14.4" x14ac:dyDescent="0.3"/>
  <sheetData>
    <row r="1" spans="1:6" x14ac:dyDescent="0.3">
      <c r="A1" t="s">
        <v>562</v>
      </c>
    </row>
    <row r="2" spans="1:6" x14ac:dyDescent="0.3">
      <c r="A2" t="s">
        <v>672</v>
      </c>
    </row>
    <row r="3" spans="1:6" x14ac:dyDescent="0.3">
      <c r="A3" t="s">
        <v>0</v>
      </c>
      <c r="B3" t="s">
        <v>1</v>
      </c>
      <c r="C3" t="s">
        <v>399</v>
      </c>
      <c r="D3" t="s">
        <v>400</v>
      </c>
      <c r="E3" t="s">
        <v>397</v>
      </c>
      <c r="F3" t="s">
        <v>398</v>
      </c>
    </row>
    <row r="4" spans="1:6" x14ac:dyDescent="0.3">
      <c r="A4" t="s">
        <v>673</v>
      </c>
      <c r="B4">
        <v>31</v>
      </c>
      <c r="D4">
        <v>87</v>
      </c>
    </row>
    <row r="5" spans="1:6" x14ac:dyDescent="0.3">
      <c r="A5" t="s">
        <v>36</v>
      </c>
      <c r="B5">
        <v>31</v>
      </c>
      <c r="D5">
        <v>2</v>
      </c>
    </row>
    <row r="6" spans="1:6" x14ac:dyDescent="0.3">
      <c r="A6" t="s">
        <v>503</v>
      </c>
      <c r="B6">
        <v>31</v>
      </c>
      <c r="D6" t="s">
        <v>735</v>
      </c>
    </row>
    <row r="7" spans="1:6" x14ac:dyDescent="0.3">
      <c r="A7" t="s">
        <v>674</v>
      </c>
      <c r="B7">
        <v>31</v>
      </c>
      <c r="D7">
        <v>570</v>
      </c>
    </row>
    <row r="8" spans="1:6" x14ac:dyDescent="0.3">
      <c r="A8" t="s">
        <v>42</v>
      </c>
      <c r="B8">
        <v>31</v>
      </c>
      <c r="D8">
        <v>45</v>
      </c>
    </row>
    <row r="9" spans="1:6" x14ac:dyDescent="0.3">
      <c r="A9" t="s">
        <v>675</v>
      </c>
      <c r="B9">
        <v>31</v>
      </c>
      <c r="D9">
        <v>8.6</v>
      </c>
    </row>
    <row r="10" spans="1:6" x14ac:dyDescent="0.3">
      <c r="A10" t="s">
        <v>41</v>
      </c>
      <c r="B10">
        <v>31</v>
      </c>
      <c r="D10">
        <v>0</v>
      </c>
    </row>
    <row r="11" spans="1:6" x14ac:dyDescent="0.3">
      <c r="A11" t="s">
        <v>676</v>
      </c>
      <c r="B11">
        <v>31</v>
      </c>
      <c r="D11">
        <v>0</v>
      </c>
    </row>
    <row r="12" spans="1:6" x14ac:dyDescent="0.3">
      <c r="A12" t="s">
        <v>563</v>
      </c>
      <c r="B12">
        <v>31</v>
      </c>
      <c r="D12">
        <v>0</v>
      </c>
    </row>
    <row r="13" spans="1:6" x14ac:dyDescent="0.3">
      <c r="A13" t="s">
        <v>677</v>
      </c>
      <c r="B13">
        <v>31</v>
      </c>
      <c r="D13">
        <v>0</v>
      </c>
    </row>
    <row r="14" spans="1:6" x14ac:dyDescent="0.3">
      <c r="A14" t="s">
        <v>678</v>
      </c>
      <c r="B14">
        <v>31</v>
      </c>
      <c r="D14">
        <v>16</v>
      </c>
    </row>
    <row r="15" spans="1:6" x14ac:dyDescent="0.3">
      <c r="A15" t="s">
        <v>679</v>
      </c>
      <c r="B15">
        <v>31</v>
      </c>
      <c r="D15">
        <v>200</v>
      </c>
    </row>
    <row r="16" spans="1:6" x14ac:dyDescent="0.3">
      <c r="A16" t="s">
        <v>680</v>
      </c>
      <c r="B16">
        <v>31</v>
      </c>
      <c r="D16">
        <v>1980</v>
      </c>
    </row>
    <row r="17" spans="1:6" x14ac:dyDescent="0.3">
      <c r="A17" t="s">
        <v>681</v>
      </c>
      <c r="B17">
        <v>31</v>
      </c>
      <c r="D17">
        <v>1320</v>
      </c>
    </row>
    <row r="18" spans="1:6" x14ac:dyDescent="0.3">
      <c r="A18" t="s">
        <v>682</v>
      </c>
      <c r="B18">
        <v>31</v>
      </c>
      <c r="D18">
        <v>2640</v>
      </c>
    </row>
    <row r="19" spans="1:6" x14ac:dyDescent="0.3">
      <c r="A19" t="s">
        <v>683</v>
      </c>
      <c r="B19">
        <v>31</v>
      </c>
    </row>
    <row r="20" spans="1:6" x14ac:dyDescent="0.3">
      <c r="A20" t="s">
        <v>684</v>
      </c>
      <c r="B20">
        <v>31</v>
      </c>
    </row>
    <row r="21" spans="1:6" x14ac:dyDescent="0.3">
      <c r="A21" t="s">
        <v>685</v>
      </c>
      <c r="B21">
        <v>31</v>
      </c>
    </row>
    <row r="22" spans="1:6" x14ac:dyDescent="0.3">
      <c r="A22" t="s">
        <v>686</v>
      </c>
      <c r="B22">
        <v>31</v>
      </c>
      <c r="D22" t="b">
        <v>0</v>
      </c>
    </row>
    <row r="23" spans="1:6" x14ac:dyDescent="0.3">
      <c r="A23" t="s">
        <v>687</v>
      </c>
      <c r="B23">
        <v>31</v>
      </c>
      <c r="D23" t="b">
        <v>0</v>
      </c>
    </row>
    <row r="24" spans="1:6" x14ac:dyDescent="0.3">
      <c r="A24" t="s">
        <v>673</v>
      </c>
      <c r="B24">
        <v>39</v>
      </c>
      <c r="C24">
        <v>75</v>
      </c>
      <c r="D24">
        <v>106</v>
      </c>
      <c r="E24">
        <v>73</v>
      </c>
      <c r="F24">
        <v>74</v>
      </c>
    </row>
    <row r="25" spans="1:6" x14ac:dyDescent="0.3">
      <c r="A25" t="s">
        <v>36</v>
      </c>
      <c r="B25">
        <v>39</v>
      </c>
      <c r="C25">
        <v>3</v>
      </c>
      <c r="D25">
        <v>3</v>
      </c>
      <c r="E25">
        <v>2</v>
      </c>
      <c r="F25">
        <v>2</v>
      </c>
    </row>
    <row r="26" spans="1:6" x14ac:dyDescent="0.3">
      <c r="A26" t="s">
        <v>503</v>
      </c>
      <c r="B26">
        <v>39</v>
      </c>
      <c r="C26" t="s">
        <v>735</v>
      </c>
      <c r="D26" t="s">
        <v>735</v>
      </c>
      <c r="E26" t="s">
        <v>736</v>
      </c>
      <c r="F26" t="s">
        <v>736</v>
      </c>
    </row>
    <row r="27" spans="1:6" x14ac:dyDescent="0.3">
      <c r="A27" t="s">
        <v>674</v>
      </c>
      <c r="B27">
        <v>39</v>
      </c>
      <c r="C27">
        <v>2985</v>
      </c>
      <c r="D27">
        <v>99</v>
      </c>
      <c r="E27">
        <v>218</v>
      </c>
      <c r="F27">
        <v>282</v>
      </c>
    </row>
    <row r="28" spans="1:6" x14ac:dyDescent="0.3">
      <c r="A28" t="s">
        <v>42</v>
      </c>
      <c r="B28">
        <v>39</v>
      </c>
      <c r="C28">
        <v>45</v>
      </c>
      <c r="D28">
        <v>45</v>
      </c>
      <c r="E28">
        <v>45</v>
      </c>
      <c r="F28">
        <v>45</v>
      </c>
    </row>
    <row r="29" spans="1:6" x14ac:dyDescent="0.3">
      <c r="A29" t="s">
        <v>675</v>
      </c>
      <c r="B29">
        <v>39</v>
      </c>
      <c r="C29">
        <v>45.2</v>
      </c>
      <c r="D29">
        <v>1.5</v>
      </c>
      <c r="E29">
        <v>3.3</v>
      </c>
      <c r="F29">
        <v>4.3</v>
      </c>
    </row>
    <row r="30" spans="1:6" x14ac:dyDescent="0.3">
      <c r="A30" t="s">
        <v>41</v>
      </c>
      <c r="B30">
        <v>39</v>
      </c>
      <c r="C30">
        <v>0</v>
      </c>
      <c r="D30">
        <v>0</v>
      </c>
      <c r="E30">
        <v>0</v>
      </c>
      <c r="F30">
        <v>0</v>
      </c>
    </row>
    <row r="31" spans="1:6" x14ac:dyDescent="0.3">
      <c r="A31" t="s">
        <v>676</v>
      </c>
      <c r="B31">
        <v>39</v>
      </c>
      <c r="C31">
        <v>12</v>
      </c>
      <c r="D31">
        <v>12</v>
      </c>
      <c r="E31">
        <v>12</v>
      </c>
      <c r="F31">
        <v>12</v>
      </c>
    </row>
    <row r="32" spans="1:6" x14ac:dyDescent="0.3">
      <c r="A32" t="s">
        <v>563</v>
      </c>
      <c r="B32">
        <v>39</v>
      </c>
      <c r="C32">
        <v>0</v>
      </c>
      <c r="D32">
        <v>0</v>
      </c>
      <c r="E32">
        <v>0</v>
      </c>
      <c r="F32">
        <v>0</v>
      </c>
    </row>
    <row r="33" spans="1:6" x14ac:dyDescent="0.3">
      <c r="A33" t="s">
        <v>677</v>
      </c>
      <c r="B33">
        <v>39</v>
      </c>
      <c r="C33">
        <v>0</v>
      </c>
      <c r="D33">
        <v>0</v>
      </c>
      <c r="E33">
        <v>0</v>
      </c>
      <c r="F33">
        <v>0</v>
      </c>
    </row>
    <row r="34" spans="1:6" x14ac:dyDescent="0.3">
      <c r="A34" t="s">
        <v>678</v>
      </c>
      <c r="B34">
        <v>39</v>
      </c>
      <c r="C34">
        <v>16</v>
      </c>
      <c r="D34">
        <v>16</v>
      </c>
      <c r="E34">
        <v>16</v>
      </c>
      <c r="F34">
        <v>16</v>
      </c>
    </row>
    <row r="35" spans="1:6" x14ac:dyDescent="0.3">
      <c r="A35" t="s">
        <v>679</v>
      </c>
      <c r="B35">
        <v>39</v>
      </c>
      <c r="C35">
        <v>305</v>
      </c>
      <c r="D35">
        <v>305</v>
      </c>
      <c r="E35">
        <v>305</v>
      </c>
      <c r="F35">
        <v>305</v>
      </c>
    </row>
    <row r="36" spans="1:6" x14ac:dyDescent="0.3">
      <c r="A36" t="s">
        <v>680</v>
      </c>
      <c r="B36">
        <v>39</v>
      </c>
      <c r="C36">
        <v>1980</v>
      </c>
      <c r="D36">
        <v>1980</v>
      </c>
      <c r="E36">
        <v>1980</v>
      </c>
      <c r="F36">
        <v>1980</v>
      </c>
    </row>
    <row r="37" spans="1:6" x14ac:dyDescent="0.3">
      <c r="A37" t="s">
        <v>681</v>
      </c>
      <c r="B37">
        <v>39</v>
      </c>
      <c r="C37">
        <v>1320</v>
      </c>
      <c r="D37">
        <v>1320</v>
      </c>
      <c r="E37">
        <v>1320</v>
      </c>
      <c r="F37">
        <v>1320</v>
      </c>
    </row>
    <row r="38" spans="1:6" x14ac:dyDescent="0.3">
      <c r="A38" t="s">
        <v>682</v>
      </c>
      <c r="B38">
        <v>39</v>
      </c>
      <c r="C38">
        <v>2640</v>
      </c>
      <c r="D38">
        <v>2640</v>
      </c>
      <c r="E38">
        <v>2640</v>
      </c>
      <c r="F38">
        <v>2640</v>
      </c>
    </row>
    <row r="39" spans="1:6" x14ac:dyDescent="0.3">
      <c r="A39" t="s">
        <v>683</v>
      </c>
      <c r="B39">
        <v>39</v>
      </c>
    </row>
    <row r="40" spans="1:6" x14ac:dyDescent="0.3">
      <c r="A40" t="s">
        <v>684</v>
      </c>
      <c r="B40">
        <v>39</v>
      </c>
    </row>
    <row r="41" spans="1:6" x14ac:dyDescent="0.3">
      <c r="A41" t="s">
        <v>685</v>
      </c>
      <c r="B41">
        <v>39</v>
      </c>
    </row>
    <row r="42" spans="1:6" x14ac:dyDescent="0.3">
      <c r="A42" t="s">
        <v>686</v>
      </c>
      <c r="B42">
        <v>39</v>
      </c>
      <c r="C42" t="b">
        <v>0</v>
      </c>
      <c r="D42" t="b">
        <v>0</v>
      </c>
      <c r="E42" t="b">
        <v>0</v>
      </c>
      <c r="F42" t="b">
        <v>0</v>
      </c>
    </row>
    <row r="43" spans="1:6" x14ac:dyDescent="0.3">
      <c r="A43" t="s">
        <v>687</v>
      </c>
      <c r="B43">
        <v>39</v>
      </c>
      <c r="C43" t="b">
        <v>0</v>
      </c>
      <c r="D43" t="b">
        <v>0</v>
      </c>
      <c r="E43" t="b">
        <v>0</v>
      </c>
      <c r="F43" t="b">
        <v>0</v>
      </c>
    </row>
    <row r="44" spans="1:6" x14ac:dyDescent="0.3">
      <c r="A44" t="s">
        <v>673</v>
      </c>
      <c r="B44">
        <v>73</v>
      </c>
      <c r="F44">
        <v>39</v>
      </c>
    </row>
    <row r="45" spans="1:6" x14ac:dyDescent="0.3">
      <c r="A45" t="s">
        <v>36</v>
      </c>
      <c r="B45">
        <v>73</v>
      </c>
      <c r="F45">
        <v>1</v>
      </c>
    </row>
    <row r="46" spans="1:6" x14ac:dyDescent="0.3">
      <c r="A46" t="s">
        <v>503</v>
      </c>
      <c r="B46">
        <v>73</v>
      </c>
      <c r="F46" t="s">
        <v>736</v>
      </c>
    </row>
    <row r="47" spans="1:6" x14ac:dyDescent="0.3">
      <c r="A47" t="s">
        <v>674</v>
      </c>
      <c r="B47">
        <v>73</v>
      </c>
      <c r="F47">
        <v>218</v>
      </c>
    </row>
    <row r="48" spans="1:6" x14ac:dyDescent="0.3">
      <c r="A48" t="s">
        <v>42</v>
      </c>
      <c r="B48">
        <v>73</v>
      </c>
      <c r="F48">
        <v>45</v>
      </c>
    </row>
    <row r="49" spans="1:6" x14ac:dyDescent="0.3">
      <c r="A49" t="s">
        <v>675</v>
      </c>
      <c r="B49">
        <v>73</v>
      </c>
      <c r="F49">
        <v>3.3</v>
      </c>
    </row>
    <row r="50" spans="1:6" x14ac:dyDescent="0.3">
      <c r="A50" t="s">
        <v>41</v>
      </c>
      <c r="B50">
        <v>73</v>
      </c>
      <c r="F50">
        <v>0</v>
      </c>
    </row>
    <row r="51" spans="1:6" x14ac:dyDescent="0.3">
      <c r="A51" t="s">
        <v>676</v>
      </c>
      <c r="B51">
        <v>73</v>
      </c>
      <c r="F51">
        <v>0</v>
      </c>
    </row>
    <row r="52" spans="1:6" x14ac:dyDescent="0.3">
      <c r="A52" t="s">
        <v>563</v>
      </c>
      <c r="B52">
        <v>73</v>
      </c>
      <c r="F52">
        <v>0</v>
      </c>
    </row>
    <row r="53" spans="1:6" x14ac:dyDescent="0.3">
      <c r="A53" t="s">
        <v>677</v>
      </c>
      <c r="B53">
        <v>73</v>
      </c>
      <c r="F53">
        <v>0</v>
      </c>
    </row>
    <row r="54" spans="1:6" x14ac:dyDescent="0.3">
      <c r="A54" t="s">
        <v>678</v>
      </c>
      <c r="B54">
        <v>73</v>
      </c>
      <c r="F54">
        <v>16</v>
      </c>
    </row>
    <row r="55" spans="1:6" x14ac:dyDescent="0.3">
      <c r="A55" t="s">
        <v>679</v>
      </c>
      <c r="B55">
        <v>73</v>
      </c>
      <c r="F55">
        <v>200</v>
      </c>
    </row>
    <row r="56" spans="1:6" x14ac:dyDescent="0.3">
      <c r="A56" t="s">
        <v>680</v>
      </c>
      <c r="B56">
        <v>73</v>
      </c>
      <c r="F56">
        <v>1980</v>
      </c>
    </row>
    <row r="57" spans="1:6" x14ac:dyDescent="0.3">
      <c r="A57" t="s">
        <v>681</v>
      </c>
      <c r="B57">
        <v>73</v>
      </c>
      <c r="F57">
        <v>1320</v>
      </c>
    </row>
    <row r="58" spans="1:6" x14ac:dyDescent="0.3">
      <c r="A58" t="s">
        <v>682</v>
      </c>
      <c r="B58">
        <v>73</v>
      </c>
      <c r="F58">
        <v>2640</v>
      </c>
    </row>
    <row r="59" spans="1:6" x14ac:dyDescent="0.3">
      <c r="A59" t="s">
        <v>683</v>
      </c>
      <c r="B59">
        <v>73</v>
      </c>
    </row>
    <row r="60" spans="1:6" x14ac:dyDescent="0.3">
      <c r="A60" t="s">
        <v>684</v>
      </c>
      <c r="B60">
        <v>73</v>
      </c>
    </row>
    <row r="61" spans="1:6" x14ac:dyDescent="0.3">
      <c r="A61" t="s">
        <v>685</v>
      </c>
      <c r="B61">
        <v>73</v>
      </c>
    </row>
    <row r="62" spans="1:6" x14ac:dyDescent="0.3">
      <c r="A62" t="s">
        <v>686</v>
      </c>
      <c r="B62">
        <v>73</v>
      </c>
      <c r="F62" t="b">
        <v>0</v>
      </c>
    </row>
    <row r="63" spans="1:6" x14ac:dyDescent="0.3">
      <c r="A63" t="s">
        <v>687</v>
      </c>
      <c r="B63">
        <v>73</v>
      </c>
      <c r="F63" t="b">
        <v>0</v>
      </c>
    </row>
    <row r="64" spans="1:6" x14ac:dyDescent="0.3">
      <c r="A64" t="s">
        <v>673</v>
      </c>
      <c r="B64">
        <v>74</v>
      </c>
      <c r="E64">
        <v>39</v>
      </c>
    </row>
    <row r="65" spans="1:5" x14ac:dyDescent="0.3">
      <c r="A65" t="s">
        <v>36</v>
      </c>
      <c r="B65">
        <v>74</v>
      </c>
      <c r="E65">
        <v>1</v>
      </c>
    </row>
    <row r="66" spans="1:5" x14ac:dyDescent="0.3">
      <c r="A66" t="s">
        <v>503</v>
      </c>
      <c r="B66">
        <v>74</v>
      </c>
      <c r="E66" t="s">
        <v>736</v>
      </c>
    </row>
    <row r="67" spans="1:5" x14ac:dyDescent="0.3">
      <c r="A67" t="s">
        <v>674</v>
      </c>
      <c r="B67">
        <v>74</v>
      </c>
      <c r="E67">
        <v>282</v>
      </c>
    </row>
    <row r="68" spans="1:5" x14ac:dyDescent="0.3">
      <c r="A68" t="s">
        <v>42</v>
      </c>
      <c r="B68">
        <v>74</v>
      </c>
      <c r="E68">
        <v>45</v>
      </c>
    </row>
    <row r="69" spans="1:5" x14ac:dyDescent="0.3">
      <c r="A69" t="s">
        <v>675</v>
      </c>
      <c r="B69">
        <v>74</v>
      </c>
      <c r="E69">
        <v>4.3</v>
      </c>
    </row>
    <row r="70" spans="1:5" x14ac:dyDescent="0.3">
      <c r="A70" t="s">
        <v>41</v>
      </c>
      <c r="B70">
        <v>74</v>
      </c>
      <c r="E70">
        <v>0</v>
      </c>
    </row>
    <row r="71" spans="1:5" x14ac:dyDescent="0.3">
      <c r="A71" t="s">
        <v>676</v>
      </c>
      <c r="B71">
        <v>74</v>
      </c>
      <c r="E71">
        <v>0</v>
      </c>
    </row>
    <row r="72" spans="1:5" x14ac:dyDescent="0.3">
      <c r="A72" t="s">
        <v>563</v>
      </c>
      <c r="B72">
        <v>74</v>
      </c>
      <c r="E72">
        <v>0</v>
      </c>
    </row>
    <row r="73" spans="1:5" x14ac:dyDescent="0.3">
      <c r="A73" t="s">
        <v>677</v>
      </c>
      <c r="B73">
        <v>74</v>
      </c>
      <c r="E73">
        <v>0</v>
      </c>
    </row>
    <row r="74" spans="1:5" x14ac:dyDescent="0.3">
      <c r="A74" t="s">
        <v>678</v>
      </c>
      <c r="B74">
        <v>74</v>
      </c>
      <c r="E74">
        <v>16</v>
      </c>
    </row>
    <row r="75" spans="1:5" x14ac:dyDescent="0.3">
      <c r="A75" t="s">
        <v>679</v>
      </c>
      <c r="B75">
        <v>74</v>
      </c>
      <c r="E75">
        <v>200</v>
      </c>
    </row>
    <row r="76" spans="1:5" x14ac:dyDescent="0.3">
      <c r="A76" t="s">
        <v>680</v>
      </c>
      <c r="B76">
        <v>74</v>
      </c>
      <c r="E76">
        <v>1980</v>
      </c>
    </row>
    <row r="77" spans="1:5" x14ac:dyDescent="0.3">
      <c r="A77" t="s">
        <v>681</v>
      </c>
      <c r="B77">
        <v>74</v>
      </c>
      <c r="E77">
        <v>1320</v>
      </c>
    </row>
    <row r="78" spans="1:5" x14ac:dyDescent="0.3">
      <c r="A78" t="s">
        <v>682</v>
      </c>
      <c r="B78">
        <v>74</v>
      </c>
      <c r="E78">
        <v>2640</v>
      </c>
    </row>
    <row r="79" spans="1:5" x14ac:dyDescent="0.3">
      <c r="A79" t="s">
        <v>683</v>
      </c>
      <c r="B79">
        <v>74</v>
      </c>
    </row>
    <row r="80" spans="1:5" x14ac:dyDescent="0.3">
      <c r="A80" t="s">
        <v>684</v>
      </c>
      <c r="B80">
        <v>74</v>
      </c>
    </row>
    <row r="81" spans="1:6" x14ac:dyDescent="0.3">
      <c r="A81" t="s">
        <v>685</v>
      </c>
      <c r="B81">
        <v>74</v>
      </c>
    </row>
    <row r="82" spans="1:6" x14ac:dyDescent="0.3">
      <c r="A82" t="s">
        <v>686</v>
      </c>
      <c r="B82">
        <v>74</v>
      </c>
      <c r="E82" t="b">
        <v>0</v>
      </c>
    </row>
    <row r="83" spans="1:6" x14ac:dyDescent="0.3">
      <c r="A83" t="s">
        <v>687</v>
      </c>
      <c r="B83">
        <v>74</v>
      </c>
      <c r="E83" t="b">
        <v>0</v>
      </c>
    </row>
    <row r="84" spans="1:6" x14ac:dyDescent="0.3">
      <c r="A84" t="s">
        <v>673</v>
      </c>
      <c r="B84">
        <v>75</v>
      </c>
      <c r="C84">
        <v>78</v>
      </c>
      <c r="D84">
        <v>39</v>
      </c>
      <c r="E84">
        <v>76</v>
      </c>
      <c r="F84">
        <v>77</v>
      </c>
    </row>
    <row r="85" spans="1:6" x14ac:dyDescent="0.3">
      <c r="A85" t="s">
        <v>36</v>
      </c>
      <c r="B85">
        <v>75</v>
      </c>
      <c r="C85">
        <v>3</v>
      </c>
      <c r="D85">
        <v>3</v>
      </c>
      <c r="E85">
        <v>2</v>
      </c>
      <c r="F85">
        <v>2</v>
      </c>
    </row>
    <row r="86" spans="1:6" x14ac:dyDescent="0.3">
      <c r="A86" t="s">
        <v>503</v>
      </c>
      <c r="B86">
        <v>75</v>
      </c>
      <c r="C86" t="s">
        <v>735</v>
      </c>
      <c r="D86" t="s">
        <v>735</v>
      </c>
      <c r="E86" t="s">
        <v>737</v>
      </c>
      <c r="F86" t="s">
        <v>737</v>
      </c>
    </row>
    <row r="87" spans="1:6" x14ac:dyDescent="0.3">
      <c r="A87" t="s">
        <v>674</v>
      </c>
      <c r="B87">
        <v>75</v>
      </c>
      <c r="C87">
        <v>2307</v>
      </c>
      <c r="D87">
        <v>2985</v>
      </c>
      <c r="E87">
        <v>182</v>
      </c>
      <c r="F87">
        <v>210</v>
      </c>
    </row>
    <row r="88" spans="1:6" x14ac:dyDescent="0.3">
      <c r="A88" t="s">
        <v>42</v>
      </c>
      <c r="B88">
        <v>75</v>
      </c>
      <c r="C88">
        <v>45</v>
      </c>
      <c r="D88">
        <v>45</v>
      </c>
      <c r="E88">
        <v>45</v>
      </c>
      <c r="F88">
        <v>45</v>
      </c>
    </row>
    <row r="89" spans="1:6" x14ac:dyDescent="0.3">
      <c r="A89" t="s">
        <v>675</v>
      </c>
      <c r="B89">
        <v>75</v>
      </c>
      <c r="C89">
        <v>35</v>
      </c>
      <c r="D89">
        <v>45.2</v>
      </c>
      <c r="E89">
        <v>2.8</v>
      </c>
      <c r="F89">
        <v>3.2</v>
      </c>
    </row>
    <row r="90" spans="1:6" x14ac:dyDescent="0.3">
      <c r="A90" t="s">
        <v>41</v>
      </c>
      <c r="B90">
        <v>75</v>
      </c>
      <c r="C90">
        <v>0</v>
      </c>
      <c r="D90">
        <v>0</v>
      </c>
      <c r="E90">
        <v>0</v>
      </c>
      <c r="F90">
        <v>0</v>
      </c>
    </row>
    <row r="91" spans="1:6" x14ac:dyDescent="0.3">
      <c r="A91" t="s">
        <v>676</v>
      </c>
      <c r="B91">
        <v>75</v>
      </c>
      <c r="C91">
        <v>12</v>
      </c>
      <c r="D91">
        <v>12</v>
      </c>
      <c r="E91">
        <v>12</v>
      </c>
      <c r="F91">
        <v>12</v>
      </c>
    </row>
    <row r="92" spans="1:6" x14ac:dyDescent="0.3">
      <c r="A92" t="s">
        <v>563</v>
      </c>
      <c r="B92">
        <v>75</v>
      </c>
      <c r="C92">
        <v>0</v>
      </c>
      <c r="D92">
        <v>0</v>
      </c>
      <c r="E92">
        <v>0</v>
      </c>
      <c r="F92">
        <v>0</v>
      </c>
    </row>
    <row r="93" spans="1:6" x14ac:dyDescent="0.3">
      <c r="A93" t="s">
        <v>677</v>
      </c>
      <c r="B93">
        <v>75</v>
      </c>
      <c r="C93">
        <v>0</v>
      </c>
      <c r="D93">
        <v>0</v>
      </c>
      <c r="E93">
        <v>0</v>
      </c>
      <c r="F93">
        <v>0</v>
      </c>
    </row>
    <row r="94" spans="1:6" x14ac:dyDescent="0.3">
      <c r="A94" t="s">
        <v>678</v>
      </c>
      <c r="B94">
        <v>75</v>
      </c>
      <c r="C94">
        <v>16</v>
      </c>
      <c r="D94">
        <v>16</v>
      </c>
      <c r="E94">
        <v>16</v>
      </c>
      <c r="F94">
        <v>16</v>
      </c>
    </row>
    <row r="95" spans="1:6" x14ac:dyDescent="0.3">
      <c r="A95" t="s">
        <v>679</v>
      </c>
      <c r="B95">
        <v>75</v>
      </c>
      <c r="C95">
        <v>292</v>
      </c>
      <c r="D95">
        <v>292</v>
      </c>
      <c r="E95">
        <v>292</v>
      </c>
      <c r="F95">
        <v>292</v>
      </c>
    </row>
    <row r="96" spans="1:6" x14ac:dyDescent="0.3">
      <c r="A96" t="s">
        <v>680</v>
      </c>
      <c r="B96">
        <v>75</v>
      </c>
      <c r="C96">
        <v>1980</v>
      </c>
      <c r="D96">
        <v>1980</v>
      </c>
      <c r="E96">
        <v>1980</v>
      </c>
      <c r="F96">
        <v>1980</v>
      </c>
    </row>
    <row r="97" spans="1:6" x14ac:dyDescent="0.3">
      <c r="A97" t="s">
        <v>681</v>
      </c>
      <c r="B97">
        <v>75</v>
      </c>
      <c r="C97">
        <v>1320</v>
      </c>
      <c r="D97">
        <v>1320</v>
      </c>
      <c r="E97">
        <v>1320</v>
      </c>
      <c r="F97">
        <v>1320</v>
      </c>
    </row>
    <row r="98" spans="1:6" x14ac:dyDescent="0.3">
      <c r="A98" t="s">
        <v>682</v>
      </c>
      <c r="B98">
        <v>75</v>
      </c>
      <c r="C98">
        <v>2640</v>
      </c>
      <c r="D98">
        <v>2640</v>
      </c>
      <c r="E98">
        <v>2640</v>
      </c>
      <c r="F98">
        <v>2640</v>
      </c>
    </row>
    <row r="99" spans="1:6" x14ac:dyDescent="0.3">
      <c r="A99" t="s">
        <v>683</v>
      </c>
      <c r="B99">
        <v>75</v>
      </c>
    </row>
    <row r="100" spans="1:6" x14ac:dyDescent="0.3">
      <c r="A100" t="s">
        <v>684</v>
      </c>
      <c r="B100">
        <v>75</v>
      </c>
    </row>
    <row r="101" spans="1:6" x14ac:dyDescent="0.3">
      <c r="A101" t="s">
        <v>685</v>
      </c>
      <c r="B101">
        <v>75</v>
      </c>
    </row>
    <row r="102" spans="1:6" x14ac:dyDescent="0.3">
      <c r="A102" t="s">
        <v>686</v>
      </c>
      <c r="B102">
        <v>75</v>
      </c>
      <c r="C102" t="b">
        <v>0</v>
      </c>
      <c r="D102" t="b">
        <v>0</v>
      </c>
      <c r="E102" t="b">
        <v>0</v>
      </c>
      <c r="F102" t="b">
        <v>0</v>
      </c>
    </row>
    <row r="103" spans="1:6" x14ac:dyDescent="0.3">
      <c r="A103" t="s">
        <v>687</v>
      </c>
      <c r="B103">
        <v>75</v>
      </c>
      <c r="C103" t="b">
        <v>0</v>
      </c>
      <c r="D103" t="b">
        <v>0</v>
      </c>
      <c r="E103" t="b">
        <v>0</v>
      </c>
      <c r="F103" t="b">
        <v>0</v>
      </c>
    </row>
    <row r="104" spans="1:6" x14ac:dyDescent="0.3">
      <c r="A104" t="s">
        <v>673</v>
      </c>
      <c r="B104">
        <v>76</v>
      </c>
      <c r="F104">
        <v>75</v>
      </c>
    </row>
    <row r="105" spans="1:6" x14ac:dyDescent="0.3">
      <c r="A105" t="s">
        <v>36</v>
      </c>
      <c r="B105">
        <v>76</v>
      </c>
      <c r="F105">
        <v>1</v>
      </c>
    </row>
    <row r="106" spans="1:6" x14ac:dyDescent="0.3">
      <c r="A106" t="s">
        <v>503</v>
      </c>
      <c r="B106">
        <v>76</v>
      </c>
      <c r="F106" t="s">
        <v>737</v>
      </c>
    </row>
    <row r="107" spans="1:6" x14ac:dyDescent="0.3">
      <c r="A107" t="s">
        <v>674</v>
      </c>
      <c r="B107">
        <v>76</v>
      </c>
      <c r="F107">
        <v>182</v>
      </c>
    </row>
    <row r="108" spans="1:6" x14ac:dyDescent="0.3">
      <c r="A108" t="s">
        <v>42</v>
      </c>
      <c r="B108">
        <v>76</v>
      </c>
      <c r="F108">
        <v>45</v>
      </c>
    </row>
    <row r="109" spans="1:6" x14ac:dyDescent="0.3">
      <c r="A109" t="s">
        <v>675</v>
      </c>
      <c r="B109">
        <v>76</v>
      </c>
      <c r="F109">
        <v>2.8</v>
      </c>
    </row>
    <row r="110" spans="1:6" x14ac:dyDescent="0.3">
      <c r="A110" t="s">
        <v>41</v>
      </c>
      <c r="B110">
        <v>76</v>
      </c>
      <c r="F110">
        <v>0</v>
      </c>
    </row>
    <row r="111" spans="1:6" x14ac:dyDescent="0.3">
      <c r="A111" t="s">
        <v>676</v>
      </c>
      <c r="B111">
        <v>76</v>
      </c>
      <c r="F111">
        <v>0</v>
      </c>
    </row>
    <row r="112" spans="1:6" x14ac:dyDescent="0.3">
      <c r="A112" t="s">
        <v>563</v>
      </c>
      <c r="B112">
        <v>76</v>
      </c>
      <c r="F112">
        <v>0</v>
      </c>
    </row>
    <row r="113" spans="1:6" x14ac:dyDescent="0.3">
      <c r="A113" t="s">
        <v>677</v>
      </c>
      <c r="B113">
        <v>76</v>
      </c>
      <c r="F113">
        <v>0</v>
      </c>
    </row>
    <row r="114" spans="1:6" x14ac:dyDescent="0.3">
      <c r="A114" t="s">
        <v>678</v>
      </c>
      <c r="B114">
        <v>76</v>
      </c>
      <c r="F114">
        <v>16</v>
      </c>
    </row>
    <row r="115" spans="1:6" x14ac:dyDescent="0.3">
      <c r="A115" t="s">
        <v>679</v>
      </c>
      <c r="B115">
        <v>76</v>
      </c>
      <c r="F115">
        <v>200</v>
      </c>
    </row>
    <row r="116" spans="1:6" x14ac:dyDescent="0.3">
      <c r="A116" t="s">
        <v>680</v>
      </c>
      <c r="B116">
        <v>76</v>
      </c>
      <c r="F116">
        <v>1980</v>
      </c>
    </row>
    <row r="117" spans="1:6" x14ac:dyDescent="0.3">
      <c r="A117" t="s">
        <v>681</v>
      </c>
      <c r="B117">
        <v>76</v>
      </c>
      <c r="F117">
        <v>1320</v>
      </c>
    </row>
    <row r="118" spans="1:6" x14ac:dyDescent="0.3">
      <c r="A118" t="s">
        <v>682</v>
      </c>
      <c r="B118">
        <v>76</v>
      </c>
      <c r="F118">
        <v>2640</v>
      </c>
    </row>
    <row r="119" spans="1:6" x14ac:dyDescent="0.3">
      <c r="A119" t="s">
        <v>683</v>
      </c>
      <c r="B119">
        <v>76</v>
      </c>
    </row>
    <row r="120" spans="1:6" x14ac:dyDescent="0.3">
      <c r="A120" t="s">
        <v>684</v>
      </c>
      <c r="B120">
        <v>76</v>
      </c>
    </row>
    <row r="121" spans="1:6" x14ac:dyDescent="0.3">
      <c r="A121" t="s">
        <v>685</v>
      </c>
      <c r="B121">
        <v>76</v>
      </c>
    </row>
    <row r="122" spans="1:6" x14ac:dyDescent="0.3">
      <c r="A122" t="s">
        <v>686</v>
      </c>
      <c r="B122">
        <v>76</v>
      </c>
      <c r="F122" t="b">
        <v>0</v>
      </c>
    </row>
    <row r="123" spans="1:6" x14ac:dyDescent="0.3">
      <c r="A123" t="s">
        <v>687</v>
      </c>
      <c r="B123">
        <v>76</v>
      </c>
      <c r="F123" t="b">
        <v>0</v>
      </c>
    </row>
    <row r="124" spans="1:6" x14ac:dyDescent="0.3">
      <c r="A124" t="s">
        <v>673</v>
      </c>
      <c r="B124">
        <v>77</v>
      </c>
      <c r="E124">
        <v>75</v>
      </c>
    </row>
    <row r="125" spans="1:6" x14ac:dyDescent="0.3">
      <c r="A125" t="s">
        <v>36</v>
      </c>
      <c r="B125">
        <v>77</v>
      </c>
      <c r="E125">
        <v>1</v>
      </c>
    </row>
    <row r="126" spans="1:6" x14ac:dyDescent="0.3">
      <c r="A126" t="s">
        <v>503</v>
      </c>
      <c r="B126">
        <v>77</v>
      </c>
      <c r="E126" t="s">
        <v>737</v>
      </c>
    </row>
    <row r="127" spans="1:6" x14ac:dyDescent="0.3">
      <c r="A127" t="s">
        <v>674</v>
      </c>
      <c r="B127">
        <v>77</v>
      </c>
      <c r="E127">
        <v>210</v>
      </c>
    </row>
    <row r="128" spans="1:6" x14ac:dyDescent="0.3">
      <c r="A128" t="s">
        <v>42</v>
      </c>
      <c r="B128">
        <v>77</v>
      </c>
      <c r="E128">
        <v>45</v>
      </c>
    </row>
    <row r="129" spans="1:6" x14ac:dyDescent="0.3">
      <c r="A129" t="s">
        <v>675</v>
      </c>
      <c r="B129">
        <v>77</v>
      </c>
      <c r="E129">
        <v>3.2</v>
      </c>
    </row>
    <row r="130" spans="1:6" x14ac:dyDescent="0.3">
      <c r="A130" t="s">
        <v>41</v>
      </c>
      <c r="B130">
        <v>77</v>
      </c>
      <c r="E130">
        <v>0</v>
      </c>
    </row>
    <row r="131" spans="1:6" x14ac:dyDescent="0.3">
      <c r="A131" t="s">
        <v>676</v>
      </c>
      <c r="B131">
        <v>77</v>
      </c>
      <c r="E131">
        <v>0</v>
      </c>
    </row>
    <row r="132" spans="1:6" x14ac:dyDescent="0.3">
      <c r="A132" t="s">
        <v>563</v>
      </c>
      <c r="B132">
        <v>77</v>
      </c>
      <c r="E132">
        <v>0</v>
      </c>
    </row>
    <row r="133" spans="1:6" x14ac:dyDescent="0.3">
      <c r="A133" t="s">
        <v>677</v>
      </c>
      <c r="B133">
        <v>77</v>
      </c>
      <c r="E133">
        <v>0</v>
      </c>
    </row>
    <row r="134" spans="1:6" x14ac:dyDescent="0.3">
      <c r="A134" t="s">
        <v>678</v>
      </c>
      <c r="B134">
        <v>77</v>
      </c>
      <c r="E134">
        <v>16</v>
      </c>
    </row>
    <row r="135" spans="1:6" x14ac:dyDescent="0.3">
      <c r="A135" t="s">
        <v>679</v>
      </c>
      <c r="B135">
        <v>77</v>
      </c>
      <c r="E135">
        <v>200</v>
      </c>
    </row>
    <row r="136" spans="1:6" x14ac:dyDescent="0.3">
      <c r="A136" t="s">
        <v>680</v>
      </c>
      <c r="B136">
        <v>77</v>
      </c>
      <c r="E136">
        <v>1980</v>
      </c>
    </row>
    <row r="137" spans="1:6" x14ac:dyDescent="0.3">
      <c r="A137" t="s">
        <v>681</v>
      </c>
      <c r="B137">
        <v>77</v>
      </c>
      <c r="E137">
        <v>1320</v>
      </c>
    </row>
    <row r="138" spans="1:6" x14ac:dyDescent="0.3">
      <c r="A138" t="s">
        <v>682</v>
      </c>
      <c r="B138">
        <v>77</v>
      </c>
      <c r="E138">
        <v>2640</v>
      </c>
    </row>
    <row r="139" spans="1:6" x14ac:dyDescent="0.3">
      <c r="A139" t="s">
        <v>683</v>
      </c>
      <c r="B139">
        <v>77</v>
      </c>
    </row>
    <row r="140" spans="1:6" x14ac:dyDescent="0.3">
      <c r="A140" t="s">
        <v>684</v>
      </c>
      <c r="B140">
        <v>77</v>
      </c>
    </row>
    <row r="141" spans="1:6" x14ac:dyDescent="0.3">
      <c r="A141" t="s">
        <v>685</v>
      </c>
      <c r="B141">
        <v>77</v>
      </c>
    </row>
    <row r="142" spans="1:6" x14ac:dyDescent="0.3">
      <c r="A142" t="s">
        <v>686</v>
      </c>
      <c r="B142">
        <v>77</v>
      </c>
      <c r="E142" t="b">
        <v>0</v>
      </c>
    </row>
    <row r="143" spans="1:6" x14ac:dyDescent="0.3">
      <c r="A143" t="s">
        <v>687</v>
      </c>
      <c r="B143">
        <v>77</v>
      </c>
      <c r="E143" t="b">
        <v>0</v>
      </c>
    </row>
    <row r="144" spans="1:6" x14ac:dyDescent="0.3">
      <c r="A144" t="s">
        <v>673</v>
      </c>
      <c r="B144">
        <v>78</v>
      </c>
      <c r="C144">
        <v>80</v>
      </c>
      <c r="D144">
        <v>75</v>
      </c>
      <c r="F144">
        <v>79</v>
      </c>
    </row>
    <row r="145" spans="1:6" x14ac:dyDescent="0.3">
      <c r="A145" t="s">
        <v>36</v>
      </c>
      <c r="B145">
        <v>78</v>
      </c>
      <c r="C145">
        <v>3</v>
      </c>
      <c r="D145">
        <v>3</v>
      </c>
      <c r="F145">
        <v>2</v>
      </c>
    </row>
    <row r="146" spans="1:6" x14ac:dyDescent="0.3">
      <c r="A146" t="s">
        <v>503</v>
      </c>
      <c r="B146">
        <v>78</v>
      </c>
      <c r="C146" t="s">
        <v>735</v>
      </c>
      <c r="D146" t="s">
        <v>735</v>
      </c>
      <c r="F146" t="s">
        <v>738</v>
      </c>
    </row>
    <row r="147" spans="1:6" x14ac:dyDescent="0.3">
      <c r="A147" t="s">
        <v>674</v>
      </c>
      <c r="B147">
        <v>78</v>
      </c>
      <c r="C147">
        <v>2660</v>
      </c>
      <c r="D147">
        <v>2307</v>
      </c>
      <c r="F147">
        <v>248</v>
      </c>
    </row>
    <row r="148" spans="1:6" x14ac:dyDescent="0.3">
      <c r="A148" t="s">
        <v>42</v>
      </c>
      <c r="B148">
        <v>78</v>
      </c>
      <c r="C148">
        <v>45</v>
      </c>
      <c r="D148">
        <v>45</v>
      </c>
      <c r="F148">
        <v>45</v>
      </c>
    </row>
    <row r="149" spans="1:6" x14ac:dyDescent="0.3">
      <c r="A149" t="s">
        <v>675</v>
      </c>
      <c r="B149">
        <v>78</v>
      </c>
      <c r="C149">
        <v>40.299999999999997</v>
      </c>
      <c r="D149">
        <v>35</v>
      </c>
      <c r="F149">
        <v>3.8</v>
      </c>
    </row>
    <row r="150" spans="1:6" x14ac:dyDescent="0.3">
      <c r="A150" t="s">
        <v>41</v>
      </c>
      <c r="B150">
        <v>78</v>
      </c>
      <c r="C150">
        <v>0</v>
      </c>
      <c r="D150">
        <v>0</v>
      </c>
      <c r="F150">
        <v>0</v>
      </c>
    </row>
    <row r="151" spans="1:6" x14ac:dyDescent="0.3">
      <c r="A151" t="s">
        <v>676</v>
      </c>
      <c r="B151">
        <v>78</v>
      </c>
      <c r="C151">
        <v>12</v>
      </c>
      <c r="D151">
        <v>12</v>
      </c>
      <c r="F151">
        <v>24</v>
      </c>
    </row>
    <row r="152" spans="1:6" x14ac:dyDescent="0.3">
      <c r="A152" t="s">
        <v>563</v>
      </c>
      <c r="B152">
        <v>78</v>
      </c>
      <c r="C152">
        <v>0</v>
      </c>
      <c r="D152">
        <v>0</v>
      </c>
      <c r="F152">
        <v>0</v>
      </c>
    </row>
    <row r="153" spans="1:6" x14ac:dyDescent="0.3">
      <c r="A153" t="s">
        <v>677</v>
      </c>
      <c r="B153">
        <v>78</v>
      </c>
      <c r="C153">
        <v>0</v>
      </c>
      <c r="D153">
        <v>0</v>
      </c>
      <c r="F153">
        <v>0</v>
      </c>
    </row>
    <row r="154" spans="1:6" x14ac:dyDescent="0.3">
      <c r="A154" t="s">
        <v>678</v>
      </c>
      <c r="B154">
        <v>78</v>
      </c>
      <c r="C154">
        <v>16</v>
      </c>
      <c r="D154">
        <v>16</v>
      </c>
      <c r="F154">
        <v>16</v>
      </c>
    </row>
    <row r="155" spans="1:6" x14ac:dyDescent="0.3">
      <c r="A155" t="s">
        <v>679</v>
      </c>
      <c r="B155">
        <v>78</v>
      </c>
      <c r="C155">
        <v>237</v>
      </c>
      <c r="D155">
        <v>237</v>
      </c>
      <c r="F155">
        <v>237</v>
      </c>
    </row>
    <row r="156" spans="1:6" x14ac:dyDescent="0.3">
      <c r="A156" t="s">
        <v>680</v>
      </c>
      <c r="B156">
        <v>78</v>
      </c>
      <c r="C156">
        <v>1980</v>
      </c>
      <c r="D156">
        <v>1980</v>
      </c>
      <c r="F156">
        <v>1980</v>
      </c>
    </row>
    <row r="157" spans="1:6" x14ac:dyDescent="0.3">
      <c r="A157" t="s">
        <v>681</v>
      </c>
      <c r="B157">
        <v>78</v>
      </c>
      <c r="C157">
        <v>1320</v>
      </c>
      <c r="D157">
        <v>1320</v>
      </c>
      <c r="F157">
        <v>1320</v>
      </c>
    </row>
    <row r="158" spans="1:6" x14ac:dyDescent="0.3">
      <c r="A158" t="s">
        <v>682</v>
      </c>
      <c r="B158">
        <v>78</v>
      </c>
      <c r="C158">
        <v>2640</v>
      </c>
      <c r="D158">
        <v>2640</v>
      </c>
      <c r="F158">
        <v>2640</v>
      </c>
    </row>
    <row r="159" spans="1:6" x14ac:dyDescent="0.3">
      <c r="A159" t="s">
        <v>683</v>
      </c>
      <c r="B159">
        <v>78</v>
      </c>
    </row>
    <row r="160" spans="1:6" x14ac:dyDescent="0.3">
      <c r="A160" t="s">
        <v>684</v>
      </c>
      <c r="B160">
        <v>78</v>
      </c>
    </row>
    <row r="161" spans="1:6" x14ac:dyDescent="0.3">
      <c r="A161" t="s">
        <v>685</v>
      </c>
      <c r="B161">
        <v>78</v>
      </c>
    </row>
    <row r="162" spans="1:6" x14ac:dyDescent="0.3">
      <c r="A162" t="s">
        <v>686</v>
      </c>
      <c r="B162">
        <v>78</v>
      </c>
      <c r="C162" t="b">
        <v>0</v>
      </c>
      <c r="D162" t="b">
        <v>0</v>
      </c>
      <c r="F162" t="b">
        <v>0</v>
      </c>
    </row>
    <row r="163" spans="1:6" x14ac:dyDescent="0.3">
      <c r="A163" t="s">
        <v>687</v>
      </c>
      <c r="B163">
        <v>78</v>
      </c>
      <c r="C163" t="b">
        <v>0</v>
      </c>
      <c r="D163" t="b">
        <v>0</v>
      </c>
      <c r="F163" t="b">
        <v>0</v>
      </c>
    </row>
    <row r="164" spans="1:6" x14ac:dyDescent="0.3">
      <c r="A164" t="s">
        <v>673</v>
      </c>
      <c r="B164">
        <v>79</v>
      </c>
      <c r="E164">
        <v>78</v>
      </c>
    </row>
    <row r="165" spans="1:6" x14ac:dyDescent="0.3">
      <c r="A165" t="s">
        <v>36</v>
      </c>
      <c r="B165">
        <v>79</v>
      </c>
      <c r="E165">
        <v>1</v>
      </c>
    </row>
    <row r="166" spans="1:6" x14ac:dyDescent="0.3">
      <c r="A166" t="s">
        <v>503</v>
      </c>
      <c r="B166">
        <v>79</v>
      </c>
      <c r="E166" t="s">
        <v>738</v>
      </c>
    </row>
    <row r="167" spans="1:6" x14ac:dyDescent="0.3">
      <c r="A167" t="s">
        <v>674</v>
      </c>
      <c r="B167">
        <v>79</v>
      </c>
      <c r="E167">
        <v>248</v>
      </c>
    </row>
    <row r="168" spans="1:6" x14ac:dyDescent="0.3">
      <c r="A168" t="s">
        <v>42</v>
      </c>
      <c r="B168">
        <v>79</v>
      </c>
      <c r="E168">
        <v>45</v>
      </c>
    </row>
    <row r="169" spans="1:6" x14ac:dyDescent="0.3">
      <c r="A169" t="s">
        <v>675</v>
      </c>
      <c r="B169">
        <v>79</v>
      </c>
      <c r="E169">
        <v>3.8</v>
      </c>
    </row>
    <row r="170" spans="1:6" x14ac:dyDescent="0.3">
      <c r="A170" t="s">
        <v>41</v>
      </c>
      <c r="B170">
        <v>79</v>
      </c>
      <c r="E170">
        <v>0</v>
      </c>
    </row>
    <row r="171" spans="1:6" x14ac:dyDescent="0.3">
      <c r="A171" t="s">
        <v>676</v>
      </c>
      <c r="B171">
        <v>79</v>
      </c>
      <c r="E171">
        <v>0</v>
      </c>
    </row>
    <row r="172" spans="1:6" x14ac:dyDescent="0.3">
      <c r="A172" t="s">
        <v>563</v>
      </c>
      <c r="B172">
        <v>79</v>
      </c>
      <c r="E172">
        <v>0</v>
      </c>
    </row>
    <row r="173" spans="1:6" x14ac:dyDescent="0.3">
      <c r="A173" t="s">
        <v>677</v>
      </c>
      <c r="B173">
        <v>79</v>
      </c>
      <c r="E173">
        <v>0</v>
      </c>
    </row>
    <row r="174" spans="1:6" x14ac:dyDescent="0.3">
      <c r="A174" t="s">
        <v>678</v>
      </c>
      <c r="B174">
        <v>79</v>
      </c>
      <c r="E174">
        <v>16</v>
      </c>
    </row>
    <row r="175" spans="1:6" x14ac:dyDescent="0.3">
      <c r="A175" t="s">
        <v>679</v>
      </c>
      <c r="B175">
        <v>79</v>
      </c>
      <c r="E175">
        <v>200</v>
      </c>
    </row>
    <row r="176" spans="1:6" x14ac:dyDescent="0.3">
      <c r="A176" t="s">
        <v>680</v>
      </c>
      <c r="B176">
        <v>79</v>
      </c>
      <c r="E176">
        <v>1980</v>
      </c>
    </row>
    <row r="177" spans="1:6" x14ac:dyDescent="0.3">
      <c r="A177" t="s">
        <v>681</v>
      </c>
      <c r="B177">
        <v>79</v>
      </c>
      <c r="E177">
        <v>1320</v>
      </c>
    </row>
    <row r="178" spans="1:6" x14ac:dyDescent="0.3">
      <c r="A178" t="s">
        <v>682</v>
      </c>
      <c r="B178">
        <v>79</v>
      </c>
      <c r="E178">
        <v>2640</v>
      </c>
    </row>
    <row r="179" spans="1:6" x14ac:dyDescent="0.3">
      <c r="A179" t="s">
        <v>683</v>
      </c>
      <c r="B179">
        <v>79</v>
      </c>
    </row>
    <row r="180" spans="1:6" x14ac:dyDescent="0.3">
      <c r="A180" t="s">
        <v>684</v>
      </c>
      <c r="B180">
        <v>79</v>
      </c>
    </row>
    <row r="181" spans="1:6" x14ac:dyDescent="0.3">
      <c r="A181" t="s">
        <v>685</v>
      </c>
      <c r="B181">
        <v>79</v>
      </c>
    </row>
    <row r="182" spans="1:6" x14ac:dyDescent="0.3">
      <c r="A182" t="s">
        <v>686</v>
      </c>
      <c r="B182">
        <v>79</v>
      </c>
      <c r="E182" t="b">
        <v>0</v>
      </c>
    </row>
    <row r="183" spans="1:6" x14ac:dyDescent="0.3">
      <c r="A183" t="s">
        <v>687</v>
      </c>
      <c r="B183">
        <v>79</v>
      </c>
      <c r="E183" t="b">
        <v>0</v>
      </c>
    </row>
    <row r="184" spans="1:6" x14ac:dyDescent="0.3">
      <c r="A184" t="s">
        <v>673</v>
      </c>
      <c r="B184">
        <v>80</v>
      </c>
      <c r="C184">
        <v>82</v>
      </c>
      <c r="D184">
        <v>78</v>
      </c>
      <c r="F184">
        <v>81</v>
      </c>
    </row>
    <row r="185" spans="1:6" x14ac:dyDescent="0.3">
      <c r="A185" t="s">
        <v>36</v>
      </c>
      <c r="B185">
        <v>80</v>
      </c>
      <c r="C185">
        <v>2</v>
      </c>
      <c r="D185">
        <v>3</v>
      </c>
      <c r="F185">
        <v>1</v>
      </c>
    </row>
    <row r="186" spans="1:6" x14ac:dyDescent="0.3">
      <c r="A186" t="s">
        <v>503</v>
      </c>
      <c r="B186">
        <v>80</v>
      </c>
      <c r="C186" t="s">
        <v>735</v>
      </c>
      <c r="D186" t="s">
        <v>735</v>
      </c>
      <c r="F186" t="s">
        <v>739</v>
      </c>
    </row>
    <row r="187" spans="1:6" x14ac:dyDescent="0.3">
      <c r="A187" t="s">
        <v>674</v>
      </c>
      <c r="B187">
        <v>80</v>
      </c>
      <c r="C187">
        <v>2660</v>
      </c>
      <c r="D187">
        <v>2660</v>
      </c>
      <c r="F187">
        <v>284</v>
      </c>
    </row>
    <row r="188" spans="1:6" x14ac:dyDescent="0.3">
      <c r="A188" t="s">
        <v>42</v>
      </c>
      <c r="B188">
        <v>80</v>
      </c>
      <c r="C188">
        <v>45</v>
      </c>
      <c r="D188">
        <v>45</v>
      </c>
      <c r="F188">
        <v>45</v>
      </c>
    </row>
    <row r="189" spans="1:6" x14ac:dyDescent="0.3">
      <c r="A189" t="s">
        <v>675</v>
      </c>
      <c r="B189">
        <v>80</v>
      </c>
      <c r="C189">
        <v>40.299999999999997</v>
      </c>
      <c r="D189">
        <v>40.299999999999997</v>
      </c>
      <c r="F189">
        <v>4.3</v>
      </c>
    </row>
    <row r="190" spans="1:6" x14ac:dyDescent="0.3">
      <c r="A190" t="s">
        <v>41</v>
      </c>
      <c r="B190">
        <v>80</v>
      </c>
      <c r="C190">
        <v>0</v>
      </c>
      <c r="D190">
        <v>0</v>
      </c>
      <c r="F190">
        <v>0</v>
      </c>
    </row>
    <row r="191" spans="1:6" x14ac:dyDescent="0.3">
      <c r="A191" t="s">
        <v>676</v>
      </c>
      <c r="B191">
        <v>80</v>
      </c>
      <c r="C191">
        <v>12</v>
      </c>
      <c r="D191">
        <v>12</v>
      </c>
      <c r="F191">
        <v>12</v>
      </c>
    </row>
    <row r="192" spans="1:6" x14ac:dyDescent="0.3">
      <c r="A192" t="s">
        <v>563</v>
      </c>
      <c r="B192">
        <v>80</v>
      </c>
      <c r="C192">
        <v>0</v>
      </c>
      <c r="D192">
        <v>0</v>
      </c>
      <c r="F192">
        <v>0</v>
      </c>
    </row>
    <row r="193" spans="1:6" x14ac:dyDescent="0.3">
      <c r="A193" t="s">
        <v>677</v>
      </c>
      <c r="B193">
        <v>80</v>
      </c>
      <c r="C193">
        <v>0</v>
      </c>
      <c r="D193">
        <v>0</v>
      </c>
      <c r="F193">
        <v>0</v>
      </c>
    </row>
    <row r="194" spans="1:6" x14ac:dyDescent="0.3">
      <c r="A194" t="s">
        <v>678</v>
      </c>
      <c r="B194">
        <v>80</v>
      </c>
      <c r="C194">
        <v>16</v>
      </c>
      <c r="D194">
        <v>16</v>
      </c>
      <c r="F194">
        <v>16</v>
      </c>
    </row>
    <row r="195" spans="1:6" x14ac:dyDescent="0.3">
      <c r="A195" t="s">
        <v>679</v>
      </c>
      <c r="B195">
        <v>80</v>
      </c>
      <c r="C195">
        <v>200</v>
      </c>
      <c r="D195">
        <v>200</v>
      </c>
      <c r="F195">
        <v>200</v>
      </c>
    </row>
    <row r="196" spans="1:6" x14ac:dyDescent="0.3">
      <c r="A196" t="s">
        <v>680</v>
      </c>
      <c r="B196">
        <v>80</v>
      </c>
      <c r="C196">
        <v>1980</v>
      </c>
      <c r="D196">
        <v>1980</v>
      </c>
      <c r="F196">
        <v>1980</v>
      </c>
    </row>
    <row r="197" spans="1:6" x14ac:dyDescent="0.3">
      <c r="A197" t="s">
        <v>681</v>
      </c>
      <c r="B197">
        <v>80</v>
      </c>
      <c r="C197">
        <v>1320</v>
      </c>
      <c r="D197">
        <v>1320</v>
      </c>
      <c r="F197">
        <v>1320</v>
      </c>
    </row>
    <row r="198" spans="1:6" x14ac:dyDescent="0.3">
      <c r="A198" t="s">
        <v>682</v>
      </c>
      <c r="B198">
        <v>80</v>
      </c>
      <c r="C198">
        <v>2640</v>
      </c>
      <c r="D198">
        <v>2640</v>
      </c>
      <c r="F198">
        <v>2640</v>
      </c>
    </row>
    <row r="199" spans="1:6" x14ac:dyDescent="0.3">
      <c r="A199" t="s">
        <v>683</v>
      </c>
      <c r="B199">
        <v>80</v>
      </c>
    </row>
    <row r="200" spans="1:6" x14ac:dyDescent="0.3">
      <c r="A200" t="s">
        <v>684</v>
      </c>
      <c r="B200">
        <v>80</v>
      </c>
    </row>
    <row r="201" spans="1:6" x14ac:dyDescent="0.3">
      <c r="A201" t="s">
        <v>685</v>
      </c>
      <c r="B201">
        <v>80</v>
      </c>
    </row>
    <row r="202" spans="1:6" x14ac:dyDescent="0.3">
      <c r="A202" t="s">
        <v>686</v>
      </c>
      <c r="B202">
        <v>80</v>
      </c>
      <c r="C202" t="b">
        <v>0</v>
      </c>
      <c r="D202" t="b">
        <v>0</v>
      </c>
      <c r="F202" t="b">
        <v>0</v>
      </c>
    </row>
    <row r="203" spans="1:6" x14ac:dyDescent="0.3">
      <c r="A203" t="s">
        <v>687</v>
      </c>
      <c r="B203">
        <v>80</v>
      </c>
      <c r="C203" t="b">
        <v>0</v>
      </c>
      <c r="D203" t="b">
        <v>0</v>
      </c>
      <c r="F203" t="b">
        <v>0</v>
      </c>
    </row>
    <row r="204" spans="1:6" x14ac:dyDescent="0.3">
      <c r="A204" t="s">
        <v>673</v>
      </c>
      <c r="B204">
        <v>81</v>
      </c>
      <c r="E204">
        <v>80</v>
      </c>
    </row>
    <row r="205" spans="1:6" x14ac:dyDescent="0.3">
      <c r="A205" t="s">
        <v>36</v>
      </c>
      <c r="B205">
        <v>81</v>
      </c>
      <c r="E205">
        <v>1</v>
      </c>
    </row>
    <row r="206" spans="1:6" x14ac:dyDescent="0.3">
      <c r="A206" t="s">
        <v>503</v>
      </c>
      <c r="B206">
        <v>81</v>
      </c>
      <c r="E206" t="s">
        <v>739</v>
      </c>
    </row>
    <row r="207" spans="1:6" x14ac:dyDescent="0.3">
      <c r="A207" t="s">
        <v>674</v>
      </c>
      <c r="B207">
        <v>81</v>
      </c>
      <c r="E207">
        <v>284</v>
      </c>
    </row>
    <row r="208" spans="1:6" x14ac:dyDescent="0.3">
      <c r="A208" t="s">
        <v>42</v>
      </c>
      <c r="B208">
        <v>81</v>
      </c>
      <c r="E208">
        <v>45</v>
      </c>
    </row>
    <row r="209" spans="1:6" x14ac:dyDescent="0.3">
      <c r="A209" t="s">
        <v>675</v>
      </c>
      <c r="B209">
        <v>81</v>
      </c>
      <c r="E209">
        <v>4.3</v>
      </c>
    </row>
    <row r="210" spans="1:6" x14ac:dyDescent="0.3">
      <c r="A210" t="s">
        <v>41</v>
      </c>
      <c r="B210">
        <v>81</v>
      </c>
      <c r="E210">
        <v>0</v>
      </c>
    </row>
    <row r="211" spans="1:6" x14ac:dyDescent="0.3">
      <c r="A211" t="s">
        <v>676</v>
      </c>
      <c r="B211">
        <v>81</v>
      </c>
      <c r="E211">
        <v>0</v>
      </c>
    </row>
    <row r="212" spans="1:6" x14ac:dyDescent="0.3">
      <c r="A212" t="s">
        <v>563</v>
      </c>
      <c r="B212">
        <v>81</v>
      </c>
      <c r="E212">
        <v>0</v>
      </c>
    </row>
    <row r="213" spans="1:6" x14ac:dyDescent="0.3">
      <c r="A213" t="s">
        <v>677</v>
      </c>
      <c r="B213">
        <v>81</v>
      </c>
      <c r="E213">
        <v>0</v>
      </c>
    </row>
    <row r="214" spans="1:6" x14ac:dyDescent="0.3">
      <c r="A214" t="s">
        <v>678</v>
      </c>
      <c r="B214">
        <v>81</v>
      </c>
      <c r="E214">
        <v>16</v>
      </c>
    </row>
    <row r="215" spans="1:6" x14ac:dyDescent="0.3">
      <c r="A215" t="s">
        <v>679</v>
      </c>
      <c r="B215">
        <v>81</v>
      </c>
      <c r="E215">
        <v>200</v>
      </c>
    </row>
    <row r="216" spans="1:6" x14ac:dyDescent="0.3">
      <c r="A216" t="s">
        <v>680</v>
      </c>
      <c r="B216">
        <v>81</v>
      </c>
      <c r="E216">
        <v>1980</v>
      </c>
    </row>
    <row r="217" spans="1:6" x14ac:dyDescent="0.3">
      <c r="A217" t="s">
        <v>681</v>
      </c>
      <c r="B217">
        <v>81</v>
      </c>
      <c r="E217">
        <v>1320</v>
      </c>
    </row>
    <row r="218" spans="1:6" x14ac:dyDescent="0.3">
      <c r="A218" t="s">
        <v>682</v>
      </c>
      <c r="B218">
        <v>81</v>
      </c>
      <c r="E218">
        <v>2640</v>
      </c>
    </row>
    <row r="219" spans="1:6" x14ac:dyDescent="0.3">
      <c r="A219" t="s">
        <v>683</v>
      </c>
      <c r="B219">
        <v>81</v>
      </c>
    </row>
    <row r="220" spans="1:6" x14ac:dyDescent="0.3">
      <c r="A220" t="s">
        <v>684</v>
      </c>
      <c r="B220">
        <v>81</v>
      </c>
    </row>
    <row r="221" spans="1:6" x14ac:dyDescent="0.3">
      <c r="A221" t="s">
        <v>685</v>
      </c>
      <c r="B221">
        <v>81</v>
      </c>
    </row>
    <row r="222" spans="1:6" x14ac:dyDescent="0.3">
      <c r="A222" t="s">
        <v>686</v>
      </c>
      <c r="B222">
        <v>81</v>
      </c>
      <c r="E222" t="b">
        <v>0</v>
      </c>
    </row>
    <row r="223" spans="1:6" x14ac:dyDescent="0.3">
      <c r="A223" t="s">
        <v>687</v>
      </c>
      <c r="B223">
        <v>81</v>
      </c>
      <c r="E223" t="b">
        <v>0</v>
      </c>
    </row>
    <row r="224" spans="1:6" x14ac:dyDescent="0.3">
      <c r="A224" t="s">
        <v>673</v>
      </c>
      <c r="B224">
        <v>82</v>
      </c>
      <c r="C224">
        <v>84</v>
      </c>
      <c r="D224">
        <v>80</v>
      </c>
      <c r="F224">
        <v>83</v>
      </c>
    </row>
    <row r="225" spans="1:6" x14ac:dyDescent="0.3">
      <c r="A225" t="s">
        <v>36</v>
      </c>
      <c r="B225">
        <v>82</v>
      </c>
      <c r="C225">
        <v>2</v>
      </c>
      <c r="D225">
        <v>3</v>
      </c>
      <c r="F225">
        <v>1</v>
      </c>
    </row>
    <row r="226" spans="1:6" x14ac:dyDescent="0.3">
      <c r="A226" t="s">
        <v>503</v>
      </c>
      <c r="B226">
        <v>82</v>
      </c>
      <c r="C226" t="s">
        <v>735</v>
      </c>
      <c r="D226" t="s">
        <v>735</v>
      </c>
      <c r="F226" t="s">
        <v>740</v>
      </c>
    </row>
    <row r="227" spans="1:6" x14ac:dyDescent="0.3">
      <c r="A227" t="s">
        <v>674</v>
      </c>
      <c r="B227">
        <v>82</v>
      </c>
      <c r="C227">
        <v>5296</v>
      </c>
      <c r="D227">
        <v>2660</v>
      </c>
      <c r="F227">
        <v>377</v>
      </c>
    </row>
    <row r="228" spans="1:6" x14ac:dyDescent="0.3">
      <c r="A228" t="s">
        <v>42</v>
      </c>
      <c r="B228">
        <v>82</v>
      </c>
      <c r="C228">
        <v>45</v>
      </c>
      <c r="D228">
        <v>45</v>
      </c>
      <c r="F228">
        <v>45</v>
      </c>
    </row>
    <row r="229" spans="1:6" x14ac:dyDescent="0.3">
      <c r="A229" t="s">
        <v>675</v>
      </c>
      <c r="B229">
        <v>82</v>
      </c>
      <c r="C229">
        <v>80.2</v>
      </c>
      <c r="D229">
        <v>40.299999999999997</v>
      </c>
      <c r="F229">
        <v>5.7</v>
      </c>
    </row>
    <row r="230" spans="1:6" x14ac:dyDescent="0.3">
      <c r="A230" t="s">
        <v>41</v>
      </c>
      <c r="B230">
        <v>82</v>
      </c>
      <c r="C230">
        <v>0</v>
      </c>
      <c r="D230">
        <v>0</v>
      </c>
      <c r="F230">
        <v>0</v>
      </c>
    </row>
    <row r="231" spans="1:6" x14ac:dyDescent="0.3">
      <c r="A231" t="s">
        <v>676</v>
      </c>
      <c r="B231">
        <v>82</v>
      </c>
      <c r="C231">
        <v>12</v>
      </c>
      <c r="D231">
        <v>12</v>
      </c>
      <c r="F231">
        <v>12</v>
      </c>
    </row>
    <row r="232" spans="1:6" x14ac:dyDescent="0.3">
      <c r="A232" t="s">
        <v>563</v>
      </c>
      <c r="B232">
        <v>82</v>
      </c>
      <c r="C232">
        <v>0</v>
      </c>
      <c r="D232">
        <v>0</v>
      </c>
      <c r="F232">
        <v>0</v>
      </c>
    </row>
    <row r="233" spans="1:6" x14ac:dyDescent="0.3">
      <c r="A233" t="s">
        <v>677</v>
      </c>
      <c r="B233">
        <v>82</v>
      </c>
      <c r="C233">
        <v>0</v>
      </c>
      <c r="D233">
        <v>0</v>
      </c>
      <c r="F233">
        <v>0</v>
      </c>
    </row>
    <row r="234" spans="1:6" x14ac:dyDescent="0.3">
      <c r="A234" t="s">
        <v>678</v>
      </c>
      <c r="B234">
        <v>82</v>
      </c>
      <c r="C234">
        <v>16</v>
      </c>
      <c r="D234">
        <v>16</v>
      </c>
      <c r="F234">
        <v>16</v>
      </c>
    </row>
    <row r="235" spans="1:6" x14ac:dyDescent="0.3">
      <c r="A235" t="s">
        <v>679</v>
      </c>
      <c r="B235">
        <v>82</v>
      </c>
      <c r="C235">
        <v>318</v>
      </c>
      <c r="D235">
        <v>318</v>
      </c>
      <c r="F235">
        <v>318</v>
      </c>
    </row>
    <row r="236" spans="1:6" x14ac:dyDescent="0.3">
      <c r="A236" t="s">
        <v>680</v>
      </c>
      <c r="B236">
        <v>82</v>
      </c>
      <c r="C236">
        <v>1980</v>
      </c>
      <c r="D236">
        <v>1980</v>
      </c>
      <c r="F236">
        <v>1980</v>
      </c>
    </row>
    <row r="237" spans="1:6" x14ac:dyDescent="0.3">
      <c r="A237" t="s">
        <v>681</v>
      </c>
      <c r="B237">
        <v>82</v>
      </c>
      <c r="C237">
        <v>1320</v>
      </c>
      <c r="D237">
        <v>1320</v>
      </c>
      <c r="F237">
        <v>1320</v>
      </c>
    </row>
    <row r="238" spans="1:6" x14ac:dyDescent="0.3">
      <c r="A238" t="s">
        <v>682</v>
      </c>
      <c r="B238">
        <v>82</v>
      </c>
      <c r="C238">
        <v>2640</v>
      </c>
      <c r="D238">
        <v>2640</v>
      </c>
      <c r="F238">
        <v>2640</v>
      </c>
    </row>
    <row r="239" spans="1:6" x14ac:dyDescent="0.3">
      <c r="A239" t="s">
        <v>683</v>
      </c>
      <c r="B239">
        <v>82</v>
      </c>
    </row>
    <row r="240" spans="1:6" x14ac:dyDescent="0.3">
      <c r="A240" t="s">
        <v>684</v>
      </c>
      <c r="B240">
        <v>82</v>
      </c>
    </row>
    <row r="241" spans="1:6" x14ac:dyDescent="0.3">
      <c r="A241" t="s">
        <v>685</v>
      </c>
      <c r="B241">
        <v>82</v>
      </c>
    </row>
    <row r="242" spans="1:6" x14ac:dyDescent="0.3">
      <c r="A242" t="s">
        <v>686</v>
      </c>
      <c r="B242">
        <v>82</v>
      </c>
      <c r="C242" t="b">
        <v>0</v>
      </c>
      <c r="D242" t="b">
        <v>0</v>
      </c>
      <c r="F242" t="b">
        <v>0</v>
      </c>
    </row>
    <row r="243" spans="1:6" x14ac:dyDescent="0.3">
      <c r="A243" t="s">
        <v>687</v>
      </c>
      <c r="B243">
        <v>82</v>
      </c>
      <c r="C243" t="b">
        <v>0</v>
      </c>
      <c r="D243" t="b">
        <v>0</v>
      </c>
      <c r="F243" t="b">
        <v>0</v>
      </c>
    </row>
    <row r="244" spans="1:6" x14ac:dyDescent="0.3">
      <c r="A244" t="s">
        <v>673</v>
      </c>
      <c r="B244">
        <v>83</v>
      </c>
      <c r="E244">
        <v>82</v>
      </c>
    </row>
    <row r="245" spans="1:6" x14ac:dyDescent="0.3">
      <c r="A245" t="s">
        <v>36</v>
      </c>
      <c r="B245">
        <v>83</v>
      </c>
      <c r="E245">
        <v>1</v>
      </c>
    </row>
    <row r="246" spans="1:6" x14ac:dyDescent="0.3">
      <c r="A246" t="s">
        <v>503</v>
      </c>
      <c r="B246">
        <v>83</v>
      </c>
      <c r="E246" t="s">
        <v>740</v>
      </c>
    </row>
    <row r="247" spans="1:6" x14ac:dyDescent="0.3">
      <c r="A247" t="s">
        <v>674</v>
      </c>
      <c r="B247">
        <v>83</v>
      </c>
      <c r="E247">
        <v>377</v>
      </c>
    </row>
    <row r="248" spans="1:6" x14ac:dyDescent="0.3">
      <c r="A248" t="s">
        <v>42</v>
      </c>
      <c r="B248">
        <v>83</v>
      </c>
      <c r="E248">
        <v>45</v>
      </c>
    </row>
    <row r="249" spans="1:6" x14ac:dyDescent="0.3">
      <c r="A249" t="s">
        <v>675</v>
      </c>
      <c r="B249">
        <v>83</v>
      </c>
      <c r="E249">
        <v>5.7</v>
      </c>
    </row>
    <row r="250" spans="1:6" x14ac:dyDescent="0.3">
      <c r="A250" t="s">
        <v>41</v>
      </c>
      <c r="B250">
        <v>83</v>
      </c>
      <c r="E250">
        <v>0</v>
      </c>
    </row>
    <row r="251" spans="1:6" x14ac:dyDescent="0.3">
      <c r="A251" t="s">
        <v>676</v>
      </c>
      <c r="B251">
        <v>83</v>
      </c>
      <c r="E251">
        <v>0</v>
      </c>
    </row>
    <row r="252" spans="1:6" x14ac:dyDescent="0.3">
      <c r="A252" t="s">
        <v>563</v>
      </c>
      <c r="B252">
        <v>83</v>
      </c>
      <c r="E252">
        <v>0</v>
      </c>
    </row>
    <row r="253" spans="1:6" x14ac:dyDescent="0.3">
      <c r="A253" t="s">
        <v>677</v>
      </c>
      <c r="B253">
        <v>83</v>
      </c>
      <c r="E253">
        <v>0</v>
      </c>
    </row>
    <row r="254" spans="1:6" x14ac:dyDescent="0.3">
      <c r="A254" t="s">
        <v>678</v>
      </c>
      <c r="B254">
        <v>83</v>
      </c>
      <c r="E254">
        <v>16</v>
      </c>
    </row>
    <row r="255" spans="1:6" x14ac:dyDescent="0.3">
      <c r="A255" t="s">
        <v>679</v>
      </c>
      <c r="B255">
        <v>83</v>
      </c>
      <c r="E255">
        <v>200</v>
      </c>
    </row>
    <row r="256" spans="1:6" x14ac:dyDescent="0.3">
      <c r="A256" t="s">
        <v>680</v>
      </c>
      <c r="B256">
        <v>83</v>
      </c>
      <c r="E256">
        <v>1980</v>
      </c>
    </row>
    <row r="257" spans="1:6" x14ac:dyDescent="0.3">
      <c r="A257" t="s">
        <v>681</v>
      </c>
      <c r="B257">
        <v>83</v>
      </c>
      <c r="E257">
        <v>1320</v>
      </c>
    </row>
    <row r="258" spans="1:6" x14ac:dyDescent="0.3">
      <c r="A258" t="s">
        <v>682</v>
      </c>
      <c r="B258">
        <v>83</v>
      </c>
      <c r="E258">
        <v>2640</v>
      </c>
    </row>
    <row r="259" spans="1:6" x14ac:dyDescent="0.3">
      <c r="A259" t="s">
        <v>683</v>
      </c>
      <c r="B259">
        <v>83</v>
      </c>
    </row>
    <row r="260" spans="1:6" x14ac:dyDescent="0.3">
      <c r="A260" t="s">
        <v>684</v>
      </c>
      <c r="B260">
        <v>83</v>
      </c>
    </row>
    <row r="261" spans="1:6" x14ac:dyDescent="0.3">
      <c r="A261" t="s">
        <v>685</v>
      </c>
      <c r="B261">
        <v>83</v>
      </c>
    </row>
    <row r="262" spans="1:6" x14ac:dyDescent="0.3">
      <c r="A262" t="s">
        <v>686</v>
      </c>
      <c r="B262">
        <v>83</v>
      </c>
      <c r="E262" t="b">
        <v>0</v>
      </c>
    </row>
    <row r="263" spans="1:6" x14ac:dyDescent="0.3">
      <c r="A263" t="s">
        <v>687</v>
      </c>
      <c r="B263">
        <v>83</v>
      </c>
      <c r="E263" t="b">
        <v>0</v>
      </c>
    </row>
    <row r="264" spans="1:6" x14ac:dyDescent="0.3">
      <c r="A264" t="s">
        <v>673</v>
      </c>
      <c r="B264">
        <v>84</v>
      </c>
      <c r="C264">
        <v>98</v>
      </c>
      <c r="D264">
        <v>82</v>
      </c>
      <c r="E264">
        <v>85</v>
      </c>
      <c r="F264">
        <v>86</v>
      </c>
    </row>
    <row r="265" spans="1:6" x14ac:dyDescent="0.3">
      <c r="A265" t="s">
        <v>36</v>
      </c>
      <c r="B265">
        <v>84</v>
      </c>
      <c r="C265">
        <v>4</v>
      </c>
      <c r="D265">
        <v>4</v>
      </c>
      <c r="E265">
        <v>3</v>
      </c>
      <c r="F265">
        <v>2</v>
      </c>
    </row>
    <row r="266" spans="1:6" x14ac:dyDescent="0.3">
      <c r="A266" t="s">
        <v>503</v>
      </c>
      <c r="B266">
        <v>84</v>
      </c>
      <c r="C266" t="s">
        <v>735</v>
      </c>
      <c r="D266" t="s">
        <v>735</v>
      </c>
      <c r="E266" t="s">
        <v>741</v>
      </c>
      <c r="F266" t="s">
        <v>741</v>
      </c>
    </row>
    <row r="267" spans="1:6" x14ac:dyDescent="0.3">
      <c r="A267" t="s">
        <v>674</v>
      </c>
      <c r="B267">
        <v>84</v>
      </c>
      <c r="C267">
        <v>1314</v>
      </c>
      <c r="D267">
        <v>5296</v>
      </c>
      <c r="E267">
        <v>256</v>
      </c>
      <c r="F267">
        <v>347</v>
      </c>
    </row>
    <row r="268" spans="1:6" x14ac:dyDescent="0.3">
      <c r="A268" t="s">
        <v>42</v>
      </c>
      <c r="B268">
        <v>84</v>
      </c>
      <c r="C268">
        <v>45</v>
      </c>
      <c r="D268">
        <v>45</v>
      </c>
      <c r="E268">
        <v>45</v>
      </c>
      <c r="F268">
        <v>45</v>
      </c>
    </row>
    <row r="269" spans="1:6" x14ac:dyDescent="0.3">
      <c r="A269" t="s">
        <v>675</v>
      </c>
      <c r="B269">
        <v>84</v>
      </c>
      <c r="C269">
        <v>19.899999999999999</v>
      </c>
      <c r="D269">
        <v>80.2</v>
      </c>
      <c r="E269">
        <v>3.9</v>
      </c>
      <c r="F269">
        <v>5.3</v>
      </c>
    </row>
    <row r="270" spans="1:6" x14ac:dyDescent="0.3">
      <c r="A270" t="s">
        <v>41</v>
      </c>
      <c r="B270">
        <v>84</v>
      </c>
      <c r="C270">
        <v>0</v>
      </c>
      <c r="D270">
        <v>0</v>
      </c>
      <c r="E270">
        <v>0</v>
      </c>
      <c r="F270">
        <v>0</v>
      </c>
    </row>
    <row r="271" spans="1:6" x14ac:dyDescent="0.3">
      <c r="A271" t="s">
        <v>676</v>
      </c>
      <c r="B271">
        <v>84</v>
      </c>
      <c r="C271">
        <v>12</v>
      </c>
      <c r="D271">
        <v>12</v>
      </c>
      <c r="E271">
        <v>0</v>
      </c>
      <c r="F271">
        <v>0</v>
      </c>
    </row>
    <row r="272" spans="1:6" x14ac:dyDescent="0.3">
      <c r="A272" t="s">
        <v>563</v>
      </c>
      <c r="B272">
        <v>84</v>
      </c>
      <c r="C272">
        <v>0</v>
      </c>
      <c r="D272">
        <v>0</v>
      </c>
      <c r="E272">
        <v>0</v>
      </c>
      <c r="F272">
        <v>0</v>
      </c>
    </row>
    <row r="273" spans="1:6" x14ac:dyDescent="0.3">
      <c r="A273" t="s">
        <v>677</v>
      </c>
      <c r="B273">
        <v>84</v>
      </c>
      <c r="C273">
        <v>0</v>
      </c>
      <c r="D273">
        <v>0</v>
      </c>
      <c r="E273">
        <v>0</v>
      </c>
      <c r="F273">
        <v>0</v>
      </c>
    </row>
    <row r="274" spans="1:6" x14ac:dyDescent="0.3">
      <c r="A274" t="s">
        <v>678</v>
      </c>
      <c r="B274">
        <v>84</v>
      </c>
      <c r="C274">
        <v>16</v>
      </c>
      <c r="D274">
        <v>16</v>
      </c>
      <c r="E274">
        <v>16</v>
      </c>
      <c r="F274">
        <v>16</v>
      </c>
    </row>
    <row r="275" spans="1:6" x14ac:dyDescent="0.3">
      <c r="A275" t="s">
        <v>679</v>
      </c>
      <c r="B275">
        <v>84</v>
      </c>
      <c r="C275">
        <v>272</v>
      </c>
      <c r="D275">
        <v>272</v>
      </c>
      <c r="E275">
        <v>272</v>
      </c>
      <c r="F275">
        <v>272</v>
      </c>
    </row>
    <row r="276" spans="1:6" x14ac:dyDescent="0.3">
      <c r="A276" t="s">
        <v>680</v>
      </c>
      <c r="B276">
        <v>84</v>
      </c>
      <c r="C276">
        <v>1980</v>
      </c>
      <c r="D276">
        <v>1980</v>
      </c>
      <c r="E276">
        <v>1980</v>
      </c>
      <c r="F276">
        <v>1980</v>
      </c>
    </row>
    <row r="277" spans="1:6" x14ac:dyDescent="0.3">
      <c r="A277" t="s">
        <v>681</v>
      </c>
      <c r="B277">
        <v>84</v>
      </c>
      <c r="C277">
        <v>1320</v>
      </c>
      <c r="D277">
        <v>1320</v>
      </c>
      <c r="E277">
        <v>1320</v>
      </c>
      <c r="F277">
        <v>1320</v>
      </c>
    </row>
    <row r="278" spans="1:6" x14ac:dyDescent="0.3">
      <c r="A278" t="s">
        <v>682</v>
      </c>
      <c r="B278">
        <v>84</v>
      </c>
      <c r="C278">
        <v>2640</v>
      </c>
      <c r="D278">
        <v>2640</v>
      </c>
      <c r="E278">
        <v>2640</v>
      </c>
      <c r="F278">
        <v>2640</v>
      </c>
    </row>
    <row r="279" spans="1:6" x14ac:dyDescent="0.3">
      <c r="A279" t="s">
        <v>683</v>
      </c>
      <c r="B279">
        <v>84</v>
      </c>
    </row>
    <row r="280" spans="1:6" x14ac:dyDescent="0.3">
      <c r="A280" t="s">
        <v>684</v>
      </c>
      <c r="B280">
        <v>84</v>
      </c>
    </row>
    <row r="281" spans="1:6" x14ac:dyDescent="0.3">
      <c r="A281" t="s">
        <v>685</v>
      </c>
      <c r="B281">
        <v>84</v>
      </c>
    </row>
    <row r="282" spans="1:6" x14ac:dyDescent="0.3">
      <c r="A282" t="s">
        <v>686</v>
      </c>
      <c r="B282">
        <v>84</v>
      </c>
      <c r="C282" t="b">
        <v>0</v>
      </c>
      <c r="D282" t="b">
        <v>0</v>
      </c>
      <c r="E282" t="b">
        <v>0</v>
      </c>
      <c r="F282" t="b">
        <v>0</v>
      </c>
    </row>
    <row r="283" spans="1:6" x14ac:dyDescent="0.3">
      <c r="A283" t="s">
        <v>687</v>
      </c>
      <c r="B283">
        <v>84</v>
      </c>
      <c r="C283" t="b">
        <v>0</v>
      </c>
      <c r="D283" t="b">
        <v>0</v>
      </c>
      <c r="E283" t="b">
        <v>0</v>
      </c>
      <c r="F283" t="b">
        <v>0</v>
      </c>
    </row>
    <row r="284" spans="1:6" x14ac:dyDescent="0.3">
      <c r="A284" t="s">
        <v>673</v>
      </c>
      <c r="B284">
        <v>85</v>
      </c>
      <c r="F284">
        <v>84</v>
      </c>
    </row>
    <row r="285" spans="1:6" x14ac:dyDescent="0.3">
      <c r="A285" t="s">
        <v>36</v>
      </c>
      <c r="B285">
        <v>85</v>
      </c>
      <c r="F285">
        <v>2</v>
      </c>
    </row>
    <row r="286" spans="1:6" x14ac:dyDescent="0.3">
      <c r="A286" t="s">
        <v>503</v>
      </c>
      <c r="B286">
        <v>85</v>
      </c>
      <c r="F286" t="s">
        <v>741</v>
      </c>
    </row>
    <row r="287" spans="1:6" x14ac:dyDescent="0.3">
      <c r="A287" t="s">
        <v>674</v>
      </c>
      <c r="B287">
        <v>85</v>
      </c>
      <c r="F287">
        <v>256</v>
      </c>
    </row>
    <row r="288" spans="1:6" x14ac:dyDescent="0.3">
      <c r="A288" t="s">
        <v>42</v>
      </c>
      <c r="B288">
        <v>85</v>
      </c>
      <c r="F288">
        <v>45</v>
      </c>
    </row>
    <row r="289" spans="1:6" x14ac:dyDescent="0.3">
      <c r="A289" t="s">
        <v>675</v>
      </c>
      <c r="B289">
        <v>85</v>
      </c>
      <c r="F289">
        <v>3.9</v>
      </c>
    </row>
    <row r="290" spans="1:6" x14ac:dyDescent="0.3">
      <c r="A290" t="s">
        <v>41</v>
      </c>
      <c r="B290">
        <v>85</v>
      </c>
      <c r="F290">
        <v>0</v>
      </c>
    </row>
    <row r="291" spans="1:6" x14ac:dyDescent="0.3">
      <c r="A291" t="s">
        <v>676</v>
      </c>
      <c r="B291">
        <v>85</v>
      </c>
      <c r="F291">
        <v>0</v>
      </c>
    </row>
    <row r="292" spans="1:6" x14ac:dyDescent="0.3">
      <c r="A292" t="s">
        <v>563</v>
      </c>
      <c r="B292">
        <v>85</v>
      </c>
      <c r="F292">
        <v>0</v>
      </c>
    </row>
    <row r="293" spans="1:6" x14ac:dyDescent="0.3">
      <c r="A293" t="s">
        <v>677</v>
      </c>
      <c r="B293">
        <v>85</v>
      </c>
      <c r="F293">
        <v>0</v>
      </c>
    </row>
    <row r="294" spans="1:6" x14ac:dyDescent="0.3">
      <c r="A294" t="s">
        <v>678</v>
      </c>
      <c r="B294">
        <v>85</v>
      </c>
      <c r="F294">
        <v>16</v>
      </c>
    </row>
    <row r="295" spans="1:6" x14ac:dyDescent="0.3">
      <c r="A295" t="s">
        <v>679</v>
      </c>
      <c r="B295">
        <v>85</v>
      </c>
      <c r="F295">
        <v>200</v>
      </c>
    </row>
    <row r="296" spans="1:6" x14ac:dyDescent="0.3">
      <c r="A296" t="s">
        <v>680</v>
      </c>
      <c r="B296">
        <v>85</v>
      </c>
      <c r="F296">
        <v>1980</v>
      </c>
    </row>
    <row r="297" spans="1:6" x14ac:dyDescent="0.3">
      <c r="A297" t="s">
        <v>681</v>
      </c>
      <c r="B297">
        <v>85</v>
      </c>
      <c r="F297">
        <v>1320</v>
      </c>
    </row>
    <row r="298" spans="1:6" x14ac:dyDescent="0.3">
      <c r="A298" t="s">
        <v>682</v>
      </c>
      <c r="B298">
        <v>85</v>
      </c>
      <c r="F298">
        <v>2640</v>
      </c>
    </row>
    <row r="299" spans="1:6" x14ac:dyDescent="0.3">
      <c r="A299" t="s">
        <v>683</v>
      </c>
      <c r="B299">
        <v>85</v>
      </c>
    </row>
    <row r="300" spans="1:6" x14ac:dyDescent="0.3">
      <c r="A300" t="s">
        <v>684</v>
      </c>
      <c r="B300">
        <v>85</v>
      </c>
    </row>
    <row r="301" spans="1:6" x14ac:dyDescent="0.3">
      <c r="A301" t="s">
        <v>685</v>
      </c>
      <c r="B301">
        <v>85</v>
      </c>
    </row>
    <row r="302" spans="1:6" x14ac:dyDescent="0.3">
      <c r="A302" t="s">
        <v>686</v>
      </c>
      <c r="B302">
        <v>85</v>
      </c>
      <c r="F302" t="b">
        <v>0</v>
      </c>
    </row>
    <row r="303" spans="1:6" x14ac:dyDescent="0.3">
      <c r="A303" t="s">
        <v>687</v>
      </c>
      <c r="B303">
        <v>85</v>
      </c>
      <c r="F303" t="b">
        <v>0</v>
      </c>
    </row>
    <row r="304" spans="1:6" x14ac:dyDescent="0.3">
      <c r="A304" t="s">
        <v>673</v>
      </c>
      <c r="B304">
        <v>86</v>
      </c>
      <c r="E304">
        <v>84</v>
      </c>
    </row>
    <row r="305" spans="1:5" x14ac:dyDescent="0.3">
      <c r="A305" t="s">
        <v>36</v>
      </c>
      <c r="B305">
        <v>86</v>
      </c>
      <c r="E305">
        <v>3</v>
      </c>
    </row>
    <row r="306" spans="1:5" x14ac:dyDescent="0.3">
      <c r="A306" t="s">
        <v>503</v>
      </c>
      <c r="B306">
        <v>86</v>
      </c>
      <c r="E306" t="s">
        <v>741</v>
      </c>
    </row>
    <row r="307" spans="1:5" x14ac:dyDescent="0.3">
      <c r="A307" t="s">
        <v>674</v>
      </c>
      <c r="B307">
        <v>86</v>
      </c>
      <c r="E307">
        <v>347</v>
      </c>
    </row>
    <row r="308" spans="1:5" x14ac:dyDescent="0.3">
      <c r="A308" t="s">
        <v>42</v>
      </c>
      <c r="B308">
        <v>86</v>
      </c>
      <c r="E308">
        <v>45</v>
      </c>
    </row>
    <row r="309" spans="1:5" x14ac:dyDescent="0.3">
      <c r="A309" t="s">
        <v>675</v>
      </c>
      <c r="B309">
        <v>86</v>
      </c>
      <c r="E309">
        <v>5.3</v>
      </c>
    </row>
    <row r="310" spans="1:5" x14ac:dyDescent="0.3">
      <c r="A310" t="s">
        <v>41</v>
      </c>
      <c r="B310">
        <v>86</v>
      </c>
      <c r="E310">
        <v>0</v>
      </c>
    </row>
    <row r="311" spans="1:5" x14ac:dyDescent="0.3">
      <c r="A311" t="s">
        <v>676</v>
      </c>
      <c r="B311">
        <v>86</v>
      </c>
      <c r="E311">
        <v>0</v>
      </c>
    </row>
    <row r="312" spans="1:5" x14ac:dyDescent="0.3">
      <c r="A312" t="s">
        <v>563</v>
      </c>
      <c r="B312">
        <v>86</v>
      </c>
      <c r="E312">
        <v>0</v>
      </c>
    </row>
    <row r="313" spans="1:5" x14ac:dyDescent="0.3">
      <c r="A313" t="s">
        <v>677</v>
      </c>
      <c r="B313">
        <v>86</v>
      </c>
      <c r="E313">
        <v>0</v>
      </c>
    </row>
    <row r="314" spans="1:5" x14ac:dyDescent="0.3">
      <c r="A314" t="s">
        <v>678</v>
      </c>
      <c r="B314">
        <v>86</v>
      </c>
      <c r="E314">
        <v>16</v>
      </c>
    </row>
    <row r="315" spans="1:5" x14ac:dyDescent="0.3">
      <c r="A315" t="s">
        <v>679</v>
      </c>
      <c r="B315">
        <v>86</v>
      </c>
      <c r="E315">
        <v>200</v>
      </c>
    </row>
    <row r="316" spans="1:5" x14ac:dyDescent="0.3">
      <c r="A316" t="s">
        <v>680</v>
      </c>
      <c r="B316">
        <v>86</v>
      </c>
      <c r="E316">
        <v>1980</v>
      </c>
    </row>
    <row r="317" spans="1:5" x14ac:dyDescent="0.3">
      <c r="A317" t="s">
        <v>681</v>
      </c>
      <c r="B317">
        <v>86</v>
      </c>
      <c r="E317">
        <v>1320</v>
      </c>
    </row>
    <row r="318" spans="1:5" x14ac:dyDescent="0.3">
      <c r="A318" t="s">
        <v>682</v>
      </c>
      <c r="B318">
        <v>86</v>
      </c>
      <c r="E318">
        <v>2640</v>
      </c>
    </row>
    <row r="319" spans="1:5" x14ac:dyDescent="0.3">
      <c r="A319" t="s">
        <v>683</v>
      </c>
      <c r="B319">
        <v>86</v>
      </c>
    </row>
    <row r="320" spans="1:5" x14ac:dyDescent="0.3">
      <c r="A320" t="s">
        <v>684</v>
      </c>
      <c r="B320">
        <v>86</v>
      </c>
    </row>
    <row r="321" spans="1:6" x14ac:dyDescent="0.3">
      <c r="A321" t="s">
        <v>685</v>
      </c>
      <c r="B321">
        <v>86</v>
      </c>
    </row>
    <row r="322" spans="1:6" x14ac:dyDescent="0.3">
      <c r="A322" t="s">
        <v>686</v>
      </c>
      <c r="B322">
        <v>86</v>
      </c>
      <c r="E322" t="b">
        <v>0</v>
      </c>
    </row>
    <row r="323" spans="1:6" x14ac:dyDescent="0.3">
      <c r="A323" t="s">
        <v>687</v>
      </c>
      <c r="B323">
        <v>86</v>
      </c>
      <c r="E323" t="b">
        <v>0</v>
      </c>
    </row>
    <row r="324" spans="1:6" x14ac:dyDescent="0.3">
      <c r="A324" t="s">
        <v>673</v>
      </c>
      <c r="B324">
        <v>87</v>
      </c>
      <c r="C324">
        <v>31</v>
      </c>
      <c r="D324">
        <v>98</v>
      </c>
      <c r="E324">
        <v>88</v>
      </c>
      <c r="F324">
        <v>89</v>
      </c>
    </row>
    <row r="325" spans="1:6" x14ac:dyDescent="0.3">
      <c r="A325" t="s">
        <v>36</v>
      </c>
      <c r="B325">
        <v>87</v>
      </c>
      <c r="C325">
        <v>3</v>
      </c>
      <c r="D325">
        <v>3</v>
      </c>
      <c r="E325">
        <v>3</v>
      </c>
      <c r="F325">
        <v>3</v>
      </c>
    </row>
    <row r="326" spans="1:6" x14ac:dyDescent="0.3">
      <c r="A326" t="s">
        <v>503</v>
      </c>
      <c r="B326">
        <v>87</v>
      </c>
      <c r="C326" t="s">
        <v>735</v>
      </c>
      <c r="D326" t="s">
        <v>735</v>
      </c>
      <c r="E326" t="s">
        <v>742</v>
      </c>
      <c r="F326" t="s">
        <v>742</v>
      </c>
    </row>
    <row r="327" spans="1:6" x14ac:dyDescent="0.3">
      <c r="A327" t="s">
        <v>674</v>
      </c>
      <c r="B327">
        <v>87</v>
      </c>
      <c r="C327">
        <v>570</v>
      </c>
      <c r="D327">
        <v>3996</v>
      </c>
      <c r="E327">
        <v>200</v>
      </c>
      <c r="F327">
        <v>358</v>
      </c>
    </row>
    <row r="328" spans="1:6" x14ac:dyDescent="0.3">
      <c r="A328" t="s">
        <v>42</v>
      </c>
      <c r="B328">
        <v>87</v>
      </c>
      <c r="C328">
        <v>45</v>
      </c>
      <c r="D328">
        <v>45</v>
      </c>
      <c r="E328">
        <v>45</v>
      </c>
      <c r="F328">
        <v>45</v>
      </c>
    </row>
    <row r="329" spans="1:6" x14ac:dyDescent="0.3">
      <c r="A329" t="s">
        <v>675</v>
      </c>
      <c r="B329">
        <v>87</v>
      </c>
      <c r="C329">
        <v>8.6</v>
      </c>
      <c r="D329">
        <v>60.5</v>
      </c>
      <c r="E329">
        <v>3</v>
      </c>
      <c r="F329">
        <v>5.4</v>
      </c>
    </row>
    <row r="330" spans="1:6" x14ac:dyDescent="0.3">
      <c r="A330" t="s">
        <v>41</v>
      </c>
      <c r="B330">
        <v>87</v>
      </c>
      <c r="C330">
        <v>0</v>
      </c>
      <c r="D330">
        <v>0</v>
      </c>
      <c r="E330">
        <v>0</v>
      </c>
      <c r="F330">
        <v>0</v>
      </c>
    </row>
    <row r="331" spans="1:6" x14ac:dyDescent="0.3">
      <c r="A331" t="s">
        <v>676</v>
      </c>
      <c r="B331">
        <v>87</v>
      </c>
      <c r="C331">
        <v>12</v>
      </c>
      <c r="D331">
        <v>12</v>
      </c>
      <c r="E331">
        <v>12</v>
      </c>
      <c r="F331">
        <v>12</v>
      </c>
    </row>
    <row r="332" spans="1:6" x14ac:dyDescent="0.3">
      <c r="A332" t="s">
        <v>563</v>
      </c>
      <c r="B332">
        <v>87</v>
      </c>
      <c r="C332">
        <v>0</v>
      </c>
      <c r="D332">
        <v>0</v>
      </c>
      <c r="E332">
        <v>0</v>
      </c>
      <c r="F332">
        <v>0</v>
      </c>
    </row>
    <row r="333" spans="1:6" x14ac:dyDescent="0.3">
      <c r="A333" t="s">
        <v>677</v>
      </c>
      <c r="B333">
        <v>87</v>
      </c>
      <c r="C333">
        <v>0</v>
      </c>
      <c r="D333">
        <v>0</v>
      </c>
      <c r="E333">
        <v>0</v>
      </c>
      <c r="F333">
        <v>0</v>
      </c>
    </row>
    <row r="334" spans="1:6" x14ac:dyDescent="0.3">
      <c r="A334" t="s">
        <v>678</v>
      </c>
      <c r="B334">
        <v>87</v>
      </c>
      <c r="C334">
        <v>16</v>
      </c>
      <c r="D334">
        <v>16</v>
      </c>
      <c r="E334">
        <v>16</v>
      </c>
      <c r="F334">
        <v>16</v>
      </c>
    </row>
    <row r="335" spans="1:6" x14ac:dyDescent="0.3">
      <c r="A335" t="s">
        <v>679</v>
      </c>
      <c r="B335">
        <v>87</v>
      </c>
      <c r="C335">
        <v>284</v>
      </c>
      <c r="D335">
        <v>284</v>
      </c>
      <c r="E335">
        <v>284</v>
      </c>
      <c r="F335">
        <v>284</v>
      </c>
    </row>
    <row r="336" spans="1:6" x14ac:dyDescent="0.3">
      <c r="A336" t="s">
        <v>680</v>
      </c>
      <c r="B336">
        <v>87</v>
      </c>
      <c r="C336">
        <v>1980</v>
      </c>
      <c r="D336">
        <v>1980</v>
      </c>
      <c r="E336">
        <v>1980</v>
      </c>
      <c r="F336">
        <v>1980</v>
      </c>
    </row>
    <row r="337" spans="1:6" x14ac:dyDescent="0.3">
      <c r="A337" t="s">
        <v>681</v>
      </c>
      <c r="B337">
        <v>87</v>
      </c>
      <c r="C337">
        <v>1320</v>
      </c>
      <c r="D337">
        <v>1320</v>
      </c>
      <c r="E337">
        <v>1320</v>
      </c>
      <c r="F337">
        <v>1320</v>
      </c>
    </row>
    <row r="338" spans="1:6" x14ac:dyDescent="0.3">
      <c r="A338" t="s">
        <v>682</v>
      </c>
      <c r="B338">
        <v>87</v>
      </c>
      <c r="C338">
        <v>2640</v>
      </c>
      <c r="D338">
        <v>2640</v>
      </c>
      <c r="E338">
        <v>2640</v>
      </c>
      <c r="F338">
        <v>2640</v>
      </c>
    </row>
    <row r="339" spans="1:6" x14ac:dyDescent="0.3">
      <c r="A339" t="s">
        <v>683</v>
      </c>
      <c r="B339">
        <v>87</v>
      </c>
    </row>
    <row r="340" spans="1:6" x14ac:dyDescent="0.3">
      <c r="A340" t="s">
        <v>684</v>
      </c>
      <c r="B340">
        <v>87</v>
      </c>
    </row>
    <row r="341" spans="1:6" x14ac:dyDescent="0.3">
      <c r="A341" t="s">
        <v>685</v>
      </c>
      <c r="B341">
        <v>87</v>
      </c>
    </row>
    <row r="342" spans="1:6" x14ac:dyDescent="0.3">
      <c r="A342" t="s">
        <v>686</v>
      </c>
      <c r="B342">
        <v>87</v>
      </c>
      <c r="C342" t="b">
        <v>0</v>
      </c>
      <c r="D342" t="b">
        <v>0</v>
      </c>
      <c r="E342" t="b">
        <v>0</v>
      </c>
      <c r="F342" t="b">
        <v>0</v>
      </c>
    </row>
    <row r="343" spans="1:6" x14ac:dyDescent="0.3">
      <c r="A343" t="s">
        <v>687</v>
      </c>
      <c r="B343">
        <v>87</v>
      </c>
      <c r="C343" t="b">
        <v>0</v>
      </c>
      <c r="D343" t="b">
        <v>0</v>
      </c>
      <c r="E343" t="b">
        <v>0</v>
      </c>
      <c r="F343" t="b">
        <v>0</v>
      </c>
    </row>
    <row r="344" spans="1:6" x14ac:dyDescent="0.3">
      <c r="A344" t="s">
        <v>673</v>
      </c>
      <c r="B344">
        <v>88</v>
      </c>
      <c r="F344">
        <v>87</v>
      </c>
    </row>
    <row r="345" spans="1:6" x14ac:dyDescent="0.3">
      <c r="A345" t="s">
        <v>36</v>
      </c>
      <c r="B345">
        <v>88</v>
      </c>
      <c r="F345">
        <v>2</v>
      </c>
    </row>
    <row r="346" spans="1:6" x14ac:dyDescent="0.3">
      <c r="A346" t="s">
        <v>503</v>
      </c>
      <c r="B346">
        <v>88</v>
      </c>
      <c r="F346" t="s">
        <v>742</v>
      </c>
    </row>
    <row r="347" spans="1:6" x14ac:dyDescent="0.3">
      <c r="A347" t="s">
        <v>674</v>
      </c>
      <c r="B347">
        <v>88</v>
      </c>
      <c r="F347">
        <v>200</v>
      </c>
    </row>
    <row r="348" spans="1:6" x14ac:dyDescent="0.3">
      <c r="A348" t="s">
        <v>42</v>
      </c>
      <c r="B348">
        <v>88</v>
      </c>
      <c r="F348">
        <v>45</v>
      </c>
    </row>
    <row r="349" spans="1:6" x14ac:dyDescent="0.3">
      <c r="A349" t="s">
        <v>675</v>
      </c>
      <c r="B349">
        <v>88</v>
      </c>
      <c r="F349">
        <v>3</v>
      </c>
    </row>
    <row r="350" spans="1:6" x14ac:dyDescent="0.3">
      <c r="A350" t="s">
        <v>41</v>
      </c>
      <c r="B350">
        <v>88</v>
      </c>
      <c r="F350">
        <v>0</v>
      </c>
    </row>
    <row r="351" spans="1:6" x14ac:dyDescent="0.3">
      <c r="A351" t="s">
        <v>676</v>
      </c>
      <c r="B351">
        <v>88</v>
      </c>
      <c r="F351">
        <v>0</v>
      </c>
    </row>
    <row r="352" spans="1:6" x14ac:dyDescent="0.3">
      <c r="A352" t="s">
        <v>563</v>
      </c>
      <c r="B352">
        <v>88</v>
      </c>
      <c r="F352">
        <v>0</v>
      </c>
    </row>
    <row r="353" spans="1:6" x14ac:dyDescent="0.3">
      <c r="A353" t="s">
        <v>677</v>
      </c>
      <c r="B353">
        <v>88</v>
      </c>
      <c r="F353">
        <v>0</v>
      </c>
    </row>
    <row r="354" spans="1:6" x14ac:dyDescent="0.3">
      <c r="A354" t="s">
        <v>678</v>
      </c>
      <c r="B354">
        <v>88</v>
      </c>
      <c r="F354">
        <v>16</v>
      </c>
    </row>
    <row r="355" spans="1:6" x14ac:dyDescent="0.3">
      <c r="A355" t="s">
        <v>679</v>
      </c>
      <c r="B355">
        <v>88</v>
      </c>
      <c r="F355">
        <v>200</v>
      </c>
    </row>
    <row r="356" spans="1:6" x14ac:dyDescent="0.3">
      <c r="A356" t="s">
        <v>680</v>
      </c>
      <c r="B356">
        <v>88</v>
      </c>
      <c r="F356">
        <v>1980</v>
      </c>
    </row>
    <row r="357" spans="1:6" x14ac:dyDescent="0.3">
      <c r="A357" t="s">
        <v>681</v>
      </c>
      <c r="B357">
        <v>88</v>
      </c>
      <c r="F357">
        <v>1320</v>
      </c>
    </row>
    <row r="358" spans="1:6" x14ac:dyDescent="0.3">
      <c r="A358" t="s">
        <v>682</v>
      </c>
      <c r="B358">
        <v>88</v>
      </c>
      <c r="F358">
        <v>2640</v>
      </c>
    </row>
    <row r="359" spans="1:6" x14ac:dyDescent="0.3">
      <c r="A359" t="s">
        <v>683</v>
      </c>
      <c r="B359">
        <v>88</v>
      </c>
    </row>
    <row r="360" spans="1:6" x14ac:dyDescent="0.3">
      <c r="A360" t="s">
        <v>684</v>
      </c>
      <c r="B360">
        <v>88</v>
      </c>
    </row>
    <row r="361" spans="1:6" x14ac:dyDescent="0.3">
      <c r="A361" t="s">
        <v>685</v>
      </c>
      <c r="B361">
        <v>88</v>
      </c>
    </row>
    <row r="362" spans="1:6" x14ac:dyDescent="0.3">
      <c r="A362" t="s">
        <v>686</v>
      </c>
      <c r="B362">
        <v>88</v>
      </c>
      <c r="F362" t="b">
        <v>0</v>
      </c>
    </row>
    <row r="363" spans="1:6" x14ac:dyDescent="0.3">
      <c r="A363" t="s">
        <v>687</v>
      </c>
      <c r="B363">
        <v>88</v>
      </c>
      <c r="F363" t="b">
        <v>0</v>
      </c>
    </row>
    <row r="364" spans="1:6" x14ac:dyDescent="0.3">
      <c r="A364" t="s">
        <v>673</v>
      </c>
      <c r="B364">
        <v>89</v>
      </c>
      <c r="E364">
        <v>87</v>
      </c>
    </row>
    <row r="365" spans="1:6" x14ac:dyDescent="0.3">
      <c r="A365" t="s">
        <v>36</v>
      </c>
      <c r="B365">
        <v>89</v>
      </c>
      <c r="E365">
        <v>2</v>
      </c>
    </row>
    <row r="366" spans="1:6" x14ac:dyDescent="0.3">
      <c r="A366" t="s">
        <v>503</v>
      </c>
      <c r="B366">
        <v>89</v>
      </c>
      <c r="E366" t="s">
        <v>742</v>
      </c>
    </row>
    <row r="367" spans="1:6" x14ac:dyDescent="0.3">
      <c r="A367" t="s">
        <v>674</v>
      </c>
      <c r="B367">
        <v>89</v>
      </c>
      <c r="E367">
        <v>358</v>
      </c>
    </row>
    <row r="368" spans="1:6" x14ac:dyDescent="0.3">
      <c r="A368" t="s">
        <v>42</v>
      </c>
      <c r="B368">
        <v>89</v>
      </c>
      <c r="E368">
        <v>45</v>
      </c>
    </row>
    <row r="369" spans="1:6" x14ac:dyDescent="0.3">
      <c r="A369" t="s">
        <v>675</v>
      </c>
      <c r="B369">
        <v>89</v>
      </c>
      <c r="E369">
        <v>5.4</v>
      </c>
    </row>
    <row r="370" spans="1:6" x14ac:dyDescent="0.3">
      <c r="A370" t="s">
        <v>41</v>
      </c>
      <c r="B370">
        <v>89</v>
      </c>
      <c r="E370">
        <v>0</v>
      </c>
    </row>
    <row r="371" spans="1:6" x14ac:dyDescent="0.3">
      <c r="A371" t="s">
        <v>676</v>
      </c>
      <c r="B371">
        <v>89</v>
      </c>
      <c r="E371">
        <v>0</v>
      </c>
    </row>
    <row r="372" spans="1:6" x14ac:dyDescent="0.3">
      <c r="A372" t="s">
        <v>563</v>
      </c>
      <c r="B372">
        <v>89</v>
      </c>
      <c r="E372">
        <v>0</v>
      </c>
    </row>
    <row r="373" spans="1:6" x14ac:dyDescent="0.3">
      <c r="A373" t="s">
        <v>677</v>
      </c>
      <c r="B373">
        <v>89</v>
      </c>
      <c r="E373">
        <v>0</v>
      </c>
    </row>
    <row r="374" spans="1:6" x14ac:dyDescent="0.3">
      <c r="A374" t="s">
        <v>678</v>
      </c>
      <c r="B374">
        <v>89</v>
      </c>
      <c r="E374">
        <v>16</v>
      </c>
    </row>
    <row r="375" spans="1:6" x14ac:dyDescent="0.3">
      <c r="A375" t="s">
        <v>679</v>
      </c>
      <c r="B375">
        <v>89</v>
      </c>
      <c r="E375">
        <v>200</v>
      </c>
    </row>
    <row r="376" spans="1:6" x14ac:dyDescent="0.3">
      <c r="A376" t="s">
        <v>680</v>
      </c>
      <c r="B376">
        <v>89</v>
      </c>
      <c r="E376">
        <v>1980</v>
      </c>
    </row>
    <row r="377" spans="1:6" x14ac:dyDescent="0.3">
      <c r="A377" t="s">
        <v>681</v>
      </c>
      <c r="B377">
        <v>89</v>
      </c>
      <c r="E377">
        <v>1320</v>
      </c>
    </row>
    <row r="378" spans="1:6" x14ac:dyDescent="0.3">
      <c r="A378" t="s">
        <v>682</v>
      </c>
      <c r="B378">
        <v>89</v>
      </c>
      <c r="E378">
        <v>2640</v>
      </c>
    </row>
    <row r="379" spans="1:6" x14ac:dyDescent="0.3">
      <c r="A379" t="s">
        <v>683</v>
      </c>
      <c r="B379">
        <v>89</v>
      </c>
    </row>
    <row r="380" spans="1:6" x14ac:dyDescent="0.3">
      <c r="A380" t="s">
        <v>684</v>
      </c>
      <c r="B380">
        <v>89</v>
      </c>
    </row>
    <row r="381" spans="1:6" x14ac:dyDescent="0.3">
      <c r="A381" t="s">
        <v>685</v>
      </c>
      <c r="B381">
        <v>89</v>
      </c>
    </row>
    <row r="382" spans="1:6" x14ac:dyDescent="0.3">
      <c r="A382" t="s">
        <v>686</v>
      </c>
      <c r="B382">
        <v>89</v>
      </c>
      <c r="E382" t="b">
        <v>0</v>
      </c>
    </row>
    <row r="383" spans="1:6" x14ac:dyDescent="0.3">
      <c r="A383" t="s">
        <v>687</v>
      </c>
      <c r="B383">
        <v>89</v>
      </c>
      <c r="E383" t="b">
        <v>0</v>
      </c>
    </row>
    <row r="384" spans="1:6" x14ac:dyDescent="0.3">
      <c r="A384" t="s">
        <v>673</v>
      </c>
      <c r="B384">
        <v>97</v>
      </c>
      <c r="F384">
        <v>98</v>
      </c>
    </row>
    <row r="385" spans="1:6" x14ac:dyDescent="0.3">
      <c r="A385" t="s">
        <v>36</v>
      </c>
      <c r="B385">
        <v>97</v>
      </c>
      <c r="F385">
        <v>1</v>
      </c>
    </row>
    <row r="386" spans="1:6" x14ac:dyDescent="0.3">
      <c r="A386" t="s">
        <v>503</v>
      </c>
      <c r="B386">
        <v>97</v>
      </c>
      <c r="F386" t="s">
        <v>743</v>
      </c>
    </row>
    <row r="387" spans="1:6" x14ac:dyDescent="0.3">
      <c r="A387" t="s">
        <v>674</v>
      </c>
      <c r="B387">
        <v>97</v>
      </c>
      <c r="F387">
        <v>285</v>
      </c>
    </row>
    <row r="388" spans="1:6" x14ac:dyDescent="0.3">
      <c r="A388" t="s">
        <v>42</v>
      </c>
      <c r="B388">
        <v>97</v>
      </c>
      <c r="F388">
        <v>45</v>
      </c>
    </row>
    <row r="389" spans="1:6" x14ac:dyDescent="0.3">
      <c r="A389" t="s">
        <v>675</v>
      </c>
      <c r="B389">
        <v>97</v>
      </c>
      <c r="F389">
        <v>4.3</v>
      </c>
    </row>
    <row r="390" spans="1:6" x14ac:dyDescent="0.3">
      <c r="A390" t="s">
        <v>41</v>
      </c>
      <c r="B390">
        <v>97</v>
      </c>
      <c r="F390">
        <v>0</v>
      </c>
    </row>
    <row r="391" spans="1:6" x14ac:dyDescent="0.3">
      <c r="A391" t="s">
        <v>676</v>
      </c>
      <c r="B391">
        <v>97</v>
      </c>
      <c r="F391">
        <v>0</v>
      </c>
    </row>
    <row r="392" spans="1:6" x14ac:dyDescent="0.3">
      <c r="A392" t="s">
        <v>563</v>
      </c>
      <c r="B392">
        <v>97</v>
      </c>
      <c r="F392">
        <v>0</v>
      </c>
    </row>
    <row r="393" spans="1:6" x14ac:dyDescent="0.3">
      <c r="A393" t="s">
        <v>677</v>
      </c>
      <c r="B393">
        <v>97</v>
      </c>
      <c r="F393">
        <v>0</v>
      </c>
    </row>
    <row r="394" spans="1:6" x14ac:dyDescent="0.3">
      <c r="A394" t="s">
        <v>678</v>
      </c>
      <c r="B394">
        <v>97</v>
      </c>
      <c r="F394">
        <v>16</v>
      </c>
    </row>
    <row r="395" spans="1:6" x14ac:dyDescent="0.3">
      <c r="A395" t="s">
        <v>679</v>
      </c>
      <c r="B395">
        <v>97</v>
      </c>
      <c r="F395">
        <v>200</v>
      </c>
    </row>
    <row r="396" spans="1:6" x14ac:dyDescent="0.3">
      <c r="A396" t="s">
        <v>680</v>
      </c>
      <c r="B396">
        <v>97</v>
      </c>
      <c r="F396">
        <v>1980</v>
      </c>
    </row>
    <row r="397" spans="1:6" x14ac:dyDescent="0.3">
      <c r="A397" t="s">
        <v>681</v>
      </c>
      <c r="B397">
        <v>97</v>
      </c>
      <c r="F397">
        <v>1320</v>
      </c>
    </row>
    <row r="398" spans="1:6" x14ac:dyDescent="0.3">
      <c r="A398" t="s">
        <v>682</v>
      </c>
      <c r="B398">
        <v>97</v>
      </c>
      <c r="F398">
        <v>2640</v>
      </c>
    </row>
    <row r="399" spans="1:6" x14ac:dyDescent="0.3">
      <c r="A399" t="s">
        <v>683</v>
      </c>
      <c r="B399">
        <v>97</v>
      </c>
    </row>
    <row r="400" spans="1:6" x14ac:dyDescent="0.3">
      <c r="A400" t="s">
        <v>684</v>
      </c>
      <c r="B400">
        <v>97</v>
      </c>
    </row>
    <row r="401" spans="1:6" x14ac:dyDescent="0.3">
      <c r="A401" t="s">
        <v>685</v>
      </c>
      <c r="B401">
        <v>97</v>
      </c>
    </row>
    <row r="402" spans="1:6" x14ac:dyDescent="0.3">
      <c r="A402" t="s">
        <v>686</v>
      </c>
      <c r="B402">
        <v>97</v>
      </c>
      <c r="F402" t="b">
        <v>0</v>
      </c>
    </row>
    <row r="403" spans="1:6" x14ac:dyDescent="0.3">
      <c r="A403" t="s">
        <v>687</v>
      </c>
      <c r="B403">
        <v>97</v>
      </c>
      <c r="F403" t="b">
        <v>0</v>
      </c>
    </row>
    <row r="404" spans="1:6" x14ac:dyDescent="0.3">
      <c r="A404" t="s">
        <v>673</v>
      </c>
      <c r="B404">
        <v>98</v>
      </c>
      <c r="C404">
        <v>87</v>
      </c>
      <c r="D404">
        <v>84</v>
      </c>
      <c r="E404">
        <v>97</v>
      </c>
    </row>
    <row r="405" spans="1:6" x14ac:dyDescent="0.3">
      <c r="A405" t="s">
        <v>36</v>
      </c>
      <c r="B405">
        <v>98</v>
      </c>
      <c r="C405">
        <v>3</v>
      </c>
      <c r="D405">
        <v>3</v>
      </c>
      <c r="E405">
        <v>3</v>
      </c>
    </row>
    <row r="406" spans="1:6" x14ac:dyDescent="0.3">
      <c r="A406" t="s">
        <v>503</v>
      </c>
      <c r="B406">
        <v>98</v>
      </c>
      <c r="C406" t="s">
        <v>735</v>
      </c>
      <c r="D406" t="s">
        <v>735</v>
      </c>
      <c r="E406" t="s">
        <v>743</v>
      </c>
    </row>
    <row r="407" spans="1:6" x14ac:dyDescent="0.3">
      <c r="A407" t="s">
        <v>674</v>
      </c>
      <c r="B407">
        <v>98</v>
      </c>
      <c r="C407">
        <v>3996</v>
      </c>
      <c r="D407">
        <v>1314</v>
      </c>
      <c r="E407">
        <v>285</v>
      </c>
    </row>
    <row r="408" spans="1:6" x14ac:dyDescent="0.3">
      <c r="A408" t="s">
        <v>42</v>
      </c>
      <c r="B408">
        <v>98</v>
      </c>
      <c r="C408">
        <v>45</v>
      </c>
      <c r="D408">
        <v>45</v>
      </c>
      <c r="E408">
        <v>45</v>
      </c>
    </row>
    <row r="409" spans="1:6" x14ac:dyDescent="0.3">
      <c r="A409" t="s">
        <v>675</v>
      </c>
      <c r="B409">
        <v>98</v>
      </c>
      <c r="C409">
        <v>60.5</v>
      </c>
      <c r="D409">
        <v>19.899999999999999</v>
      </c>
      <c r="E409">
        <v>4.3</v>
      </c>
    </row>
    <row r="410" spans="1:6" x14ac:dyDescent="0.3">
      <c r="A410" t="s">
        <v>41</v>
      </c>
      <c r="B410">
        <v>98</v>
      </c>
      <c r="C410">
        <v>0</v>
      </c>
      <c r="D410">
        <v>0</v>
      </c>
      <c r="E410">
        <v>0</v>
      </c>
    </row>
    <row r="411" spans="1:6" x14ac:dyDescent="0.3">
      <c r="A411" t="s">
        <v>676</v>
      </c>
      <c r="B411">
        <v>98</v>
      </c>
      <c r="C411">
        <v>12</v>
      </c>
      <c r="D411">
        <v>12</v>
      </c>
      <c r="E411">
        <v>36</v>
      </c>
    </row>
    <row r="412" spans="1:6" x14ac:dyDescent="0.3">
      <c r="A412" t="s">
        <v>563</v>
      </c>
      <c r="B412">
        <v>98</v>
      </c>
      <c r="C412">
        <v>0</v>
      </c>
      <c r="D412">
        <v>0</v>
      </c>
      <c r="E412">
        <v>0</v>
      </c>
    </row>
    <row r="413" spans="1:6" x14ac:dyDescent="0.3">
      <c r="A413" t="s">
        <v>677</v>
      </c>
      <c r="B413">
        <v>98</v>
      </c>
      <c r="C413">
        <v>0</v>
      </c>
      <c r="D413">
        <v>0</v>
      </c>
      <c r="E413">
        <v>0</v>
      </c>
    </row>
    <row r="414" spans="1:6" x14ac:dyDescent="0.3">
      <c r="A414" t="s">
        <v>678</v>
      </c>
      <c r="B414">
        <v>98</v>
      </c>
      <c r="C414">
        <v>16</v>
      </c>
      <c r="D414">
        <v>16</v>
      </c>
      <c r="E414">
        <v>16</v>
      </c>
    </row>
    <row r="415" spans="1:6" x14ac:dyDescent="0.3">
      <c r="A415" t="s">
        <v>679</v>
      </c>
      <c r="B415">
        <v>98</v>
      </c>
      <c r="C415">
        <v>252</v>
      </c>
      <c r="D415">
        <v>252</v>
      </c>
      <c r="E415">
        <v>252</v>
      </c>
    </row>
    <row r="416" spans="1:6" x14ac:dyDescent="0.3">
      <c r="A416" t="s">
        <v>680</v>
      </c>
      <c r="B416">
        <v>98</v>
      </c>
      <c r="C416">
        <v>1980</v>
      </c>
      <c r="D416">
        <v>1980</v>
      </c>
      <c r="E416">
        <v>1980</v>
      </c>
    </row>
    <row r="417" spans="1:5" x14ac:dyDescent="0.3">
      <c r="A417" t="s">
        <v>681</v>
      </c>
      <c r="B417">
        <v>98</v>
      </c>
      <c r="C417">
        <v>1320</v>
      </c>
      <c r="D417">
        <v>1320</v>
      </c>
      <c r="E417">
        <v>1320</v>
      </c>
    </row>
    <row r="418" spans="1:5" x14ac:dyDescent="0.3">
      <c r="A418" t="s">
        <v>682</v>
      </c>
      <c r="B418">
        <v>98</v>
      </c>
      <c r="C418">
        <v>2640</v>
      </c>
      <c r="D418">
        <v>2640</v>
      </c>
      <c r="E418">
        <v>2640</v>
      </c>
    </row>
    <row r="419" spans="1:5" x14ac:dyDescent="0.3">
      <c r="A419" t="s">
        <v>683</v>
      </c>
      <c r="B419">
        <v>98</v>
      </c>
    </row>
    <row r="420" spans="1:5" x14ac:dyDescent="0.3">
      <c r="A420" t="s">
        <v>684</v>
      </c>
      <c r="B420">
        <v>98</v>
      </c>
    </row>
    <row r="421" spans="1:5" x14ac:dyDescent="0.3">
      <c r="A421" t="s">
        <v>685</v>
      </c>
      <c r="B421">
        <v>98</v>
      </c>
    </row>
    <row r="422" spans="1:5" x14ac:dyDescent="0.3">
      <c r="A422" t="s">
        <v>686</v>
      </c>
      <c r="B422">
        <v>98</v>
      </c>
      <c r="C422" t="b">
        <v>0</v>
      </c>
      <c r="D422" t="b">
        <v>0</v>
      </c>
      <c r="E422" t="b">
        <v>0</v>
      </c>
    </row>
    <row r="423" spans="1:5" x14ac:dyDescent="0.3">
      <c r="A423" t="s">
        <v>687</v>
      </c>
      <c r="B423">
        <v>98</v>
      </c>
      <c r="C423" t="b">
        <v>0</v>
      </c>
      <c r="D423" t="b">
        <v>0</v>
      </c>
      <c r="E423" t="b">
        <v>0</v>
      </c>
    </row>
    <row r="424" spans="1:5" x14ac:dyDescent="0.3">
      <c r="A424" t="s">
        <v>673</v>
      </c>
      <c r="B424">
        <v>106</v>
      </c>
      <c r="C424">
        <v>39</v>
      </c>
    </row>
    <row r="425" spans="1:5" x14ac:dyDescent="0.3">
      <c r="A425" t="s">
        <v>36</v>
      </c>
      <c r="B425">
        <v>106</v>
      </c>
      <c r="C425">
        <v>2</v>
      </c>
    </row>
    <row r="426" spans="1:5" x14ac:dyDescent="0.3">
      <c r="A426" t="s">
        <v>503</v>
      </c>
      <c r="B426">
        <v>106</v>
      </c>
      <c r="C426" t="s">
        <v>735</v>
      </c>
    </row>
    <row r="427" spans="1:5" x14ac:dyDescent="0.3">
      <c r="A427" t="s">
        <v>674</v>
      </c>
      <c r="B427">
        <v>106</v>
      </c>
      <c r="C427">
        <v>99</v>
      </c>
    </row>
    <row r="428" spans="1:5" x14ac:dyDescent="0.3">
      <c r="A428" t="s">
        <v>42</v>
      </c>
      <c r="B428">
        <v>106</v>
      </c>
      <c r="C428">
        <v>45</v>
      </c>
    </row>
    <row r="429" spans="1:5" x14ac:dyDescent="0.3">
      <c r="A429" t="s">
        <v>675</v>
      </c>
      <c r="B429">
        <v>106</v>
      </c>
      <c r="C429">
        <v>1.5</v>
      </c>
    </row>
    <row r="430" spans="1:5" x14ac:dyDescent="0.3">
      <c r="A430" t="s">
        <v>41</v>
      </c>
      <c r="B430">
        <v>106</v>
      </c>
      <c r="C430">
        <v>0</v>
      </c>
    </row>
    <row r="431" spans="1:5" x14ac:dyDescent="0.3">
      <c r="A431" t="s">
        <v>676</v>
      </c>
      <c r="B431">
        <v>106</v>
      </c>
      <c r="C431">
        <v>0</v>
      </c>
    </row>
    <row r="432" spans="1:5" x14ac:dyDescent="0.3">
      <c r="A432" t="s">
        <v>563</v>
      </c>
      <c r="B432">
        <v>106</v>
      </c>
      <c r="C432">
        <v>0</v>
      </c>
    </row>
    <row r="433" spans="1:3" x14ac:dyDescent="0.3">
      <c r="A433" t="s">
        <v>677</v>
      </c>
      <c r="B433">
        <v>106</v>
      </c>
      <c r="C433">
        <v>0</v>
      </c>
    </row>
    <row r="434" spans="1:3" x14ac:dyDescent="0.3">
      <c r="A434" t="s">
        <v>678</v>
      </c>
      <c r="B434">
        <v>106</v>
      </c>
      <c r="C434">
        <v>16</v>
      </c>
    </row>
    <row r="435" spans="1:3" x14ac:dyDescent="0.3">
      <c r="A435" t="s">
        <v>679</v>
      </c>
      <c r="B435">
        <v>106</v>
      </c>
      <c r="C435">
        <v>200</v>
      </c>
    </row>
    <row r="436" spans="1:3" x14ac:dyDescent="0.3">
      <c r="A436" t="s">
        <v>680</v>
      </c>
      <c r="B436">
        <v>106</v>
      </c>
      <c r="C436">
        <v>1980</v>
      </c>
    </row>
    <row r="437" spans="1:3" x14ac:dyDescent="0.3">
      <c r="A437" t="s">
        <v>681</v>
      </c>
      <c r="B437">
        <v>106</v>
      </c>
      <c r="C437">
        <v>1320</v>
      </c>
    </row>
    <row r="438" spans="1:3" x14ac:dyDescent="0.3">
      <c r="A438" t="s">
        <v>682</v>
      </c>
      <c r="B438">
        <v>106</v>
      </c>
      <c r="C438">
        <v>2640</v>
      </c>
    </row>
    <row r="439" spans="1:3" x14ac:dyDescent="0.3">
      <c r="A439" t="s">
        <v>683</v>
      </c>
      <c r="B439">
        <v>106</v>
      </c>
    </row>
    <row r="440" spans="1:3" x14ac:dyDescent="0.3">
      <c r="A440" t="s">
        <v>684</v>
      </c>
      <c r="B440">
        <v>106</v>
      </c>
    </row>
    <row r="441" spans="1:3" x14ac:dyDescent="0.3">
      <c r="A441" t="s">
        <v>685</v>
      </c>
      <c r="B441">
        <v>106</v>
      </c>
    </row>
    <row r="442" spans="1:3" x14ac:dyDescent="0.3">
      <c r="A442" t="s">
        <v>686</v>
      </c>
      <c r="B442">
        <v>106</v>
      </c>
      <c r="C442" t="b">
        <v>0</v>
      </c>
    </row>
    <row r="443" spans="1:3" x14ac:dyDescent="0.3">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87" workbookViewId="0">
      <selection activeCell="A112" sqref="A112:AD168"/>
    </sheetView>
  </sheetViews>
  <sheetFormatPr defaultRowHeight="14.4" x14ac:dyDescent="0.3"/>
  <sheetData>
    <row r="1" spans="1:16" x14ac:dyDescent="0.3">
      <c r="A1" t="s">
        <v>564</v>
      </c>
    </row>
    <row r="2" spans="1:16" x14ac:dyDescent="0.3">
      <c r="A2" t="s">
        <v>688</v>
      </c>
    </row>
    <row r="3" spans="1:16" x14ac:dyDescent="0.3">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3">
      <c r="A4" t="s">
        <v>34</v>
      </c>
      <c r="B4">
        <v>39</v>
      </c>
      <c r="C4">
        <v>75</v>
      </c>
      <c r="D4">
        <v>75</v>
      </c>
      <c r="E4">
        <v>75</v>
      </c>
      <c r="F4">
        <v>106</v>
      </c>
      <c r="G4">
        <v>106</v>
      </c>
      <c r="H4">
        <v>106</v>
      </c>
      <c r="I4">
        <v>73</v>
      </c>
      <c r="J4">
        <v>73</v>
      </c>
      <c r="K4">
        <v>73</v>
      </c>
      <c r="L4">
        <v>74</v>
      </c>
      <c r="M4">
        <v>74</v>
      </c>
      <c r="N4">
        <v>74</v>
      </c>
    </row>
    <row r="5" spans="1:16" x14ac:dyDescent="0.3">
      <c r="A5" t="s">
        <v>35</v>
      </c>
      <c r="B5">
        <v>39</v>
      </c>
      <c r="C5">
        <v>73</v>
      </c>
      <c r="D5">
        <v>106</v>
      </c>
      <c r="E5">
        <v>74</v>
      </c>
      <c r="F5">
        <v>74</v>
      </c>
      <c r="G5">
        <v>75</v>
      </c>
      <c r="H5">
        <v>73</v>
      </c>
      <c r="I5">
        <v>106</v>
      </c>
      <c r="J5">
        <v>74</v>
      </c>
      <c r="K5">
        <v>75</v>
      </c>
      <c r="L5">
        <v>75</v>
      </c>
      <c r="M5">
        <v>73</v>
      </c>
      <c r="N5">
        <v>106</v>
      </c>
    </row>
    <row r="6" spans="1:16" x14ac:dyDescent="0.3">
      <c r="A6" t="s">
        <v>36</v>
      </c>
      <c r="B6">
        <v>39</v>
      </c>
      <c r="C6">
        <v>1</v>
      </c>
      <c r="D6">
        <v>2</v>
      </c>
      <c r="E6">
        <v>0</v>
      </c>
      <c r="F6">
        <v>1</v>
      </c>
      <c r="G6">
        <v>2</v>
      </c>
      <c r="H6">
        <v>0</v>
      </c>
      <c r="I6">
        <v>1</v>
      </c>
      <c r="J6">
        <v>1</v>
      </c>
      <c r="K6">
        <v>0</v>
      </c>
      <c r="L6">
        <v>1</v>
      </c>
      <c r="M6">
        <v>1</v>
      </c>
      <c r="N6">
        <v>0</v>
      </c>
    </row>
    <row r="7" spans="1:16" x14ac:dyDescent="0.3">
      <c r="A7" t="s">
        <v>37</v>
      </c>
      <c r="B7">
        <v>39</v>
      </c>
      <c r="C7">
        <v>0</v>
      </c>
      <c r="D7">
        <v>2</v>
      </c>
      <c r="F7">
        <v>0</v>
      </c>
      <c r="G7">
        <v>2</v>
      </c>
      <c r="I7">
        <v>0</v>
      </c>
      <c r="J7">
        <v>2</v>
      </c>
      <c r="L7">
        <v>0</v>
      </c>
      <c r="M7">
        <v>2</v>
      </c>
    </row>
    <row r="8" spans="1:16" x14ac:dyDescent="0.3">
      <c r="A8" t="s">
        <v>38</v>
      </c>
      <c r="B8">
        <v>39</v>
      </c>
      <c r="C8">
        <v>12</v>
      </c>
      <c r="D8">
        <v>12</v>
      </c>
      <c r="E8">
        <v>12</v>
      </c>
      <c r="F8">
        <v>12</v>
      </c>
      <c r="G8">
        <v>12</v>
      </c>
      <c r="H8">
        <v>12</v>
      </c>
      <c r="I8">
        <v>12</v>
      </c>
      <c r="J8">
        <v>12</v>
      </c>
      <c r="K8">
        <v>12</v>
      </c>
      <c r="L8">
        <v>12</v>
      </c>
      <c r="M8">
        <v>12</v>
      </c>
      <c r="N8">
        <v>12</v>
      </c>
    </row>
    <row r="9" spans="1:16" x14ac:dyDescent="0.3">
      <c r="A9" t="s">
        <v>39</v>
      </c>
      <c r="B9">
        <v>39</v>
      </c>
    </row>
    <row r="10" spans="1:16" x14ac:dyDescent="0.3">
      <c r="A10" t="s">
        <v>689</v>
      </c>
      <c r="B10">
        <v>39</v>
      </c>
    </row>
    <row r="11" spans="1:16" x14ac:dyDescent="0.3">
      <c r="A11" t="s">
        <v>40</v>
      </c>
      <c r="B11">
        <v>39</v>
      </c>
    </row>
    <row r="12" spans="1:16" x14ac:dyDescent="0.3">
      <c r="A12" t="s">
        <v>41</v>
      </c>
      <c r="B12">
        <v>39</v>
      </c>
    </row>
    <row r="13" spans="1:16" x14ac:dyDescent="0.3">
      <c r="A13" t="s">
        <v>42</v>
      </c>
      <c r="B13">
        <v>39</v>
      </c>
      <c r="D13">
        <v>45</v>
      </c>
      <c r="G13">
        <v>45</v>
      </c>
      <c r="J13">
        <v>45</v>
      </c>
      <c r="M13">
        <v>45</v>
      </c>
    </row>
    <row r="14" spans="1:16" x14ac:dyDescent="0.3">
      <c r="A14" t="s">
        <v>45</v>
      </c>
      <c r="B14">
        <v>39</v>
      </c>
      <c r="C14">
        <v>5</v>
      </c>
      <c r="D14">
        <v>2</v>
      </c>
      <c r="F14">
        <v>1</v>
      </c>
      <c r="G14">
        <v>6</v>
      </c>
      <c r="I14">
        <v>3</v>
      </c>
      <c r="J14">
        <v>8</v>
      </c>
      <c r="L14">
        <v>7</v>
      </c>
      <c r="M14">
        <v>4</v>
      </c>
    </row>
    <row r="15" spans="1:16" x14ac:dyDescent="0.3">
      <c r="A15" t="s">
        <v>49</v>
      </c>
      <c r="B15">
        <v>39</v>
      </c>
      <c r="C15">
        <v>6</v>
      </c>
      <c r="D15">
        <v>5.3</v>
      </c>
      <c r="E15">
        <v>4</v>
      </c>
      <c r="F15">
        <v>6</v>
      </c>
      <c r="G15">
        <v>5.3</v>
      </c>
      <c r="H15">
        <v>4</v>
      </c>
      <c r="I15">
        <v>6</v>
      </c>
      <c r="J15">
        <v>5.0999999999999996</v>
      </c>
      <c r="K15">
        <v>4</v>
      </c>
      <c r="L15">
        <v>5.9</v>
      </c>
      <c r="M15">
        <v>5.9</v>
      </c>
      <c r="N15">
        <v>4</v>
      </c>
    </row>
    <row r="16" spans="1:16" x14ac:dyDescent="0.3">
      <c r="A16" t="s">
        <v>690</v>
      </c>
      <c r="B16">
        <v>39</v>
      </c>
      <c r="C16">
        <v>0</v>
      </c>
      <c r="D16">
        <v>0</v>
      </c>
      <c r="E16">
        <v>0</v>
      </c>
      <c r="F16">
        <v>0</v>
      </c>
      <c r="G16">
        <v>0</v>
      </c>
      <c r="H16">
        <v>0</v>
      </c>
      <c r="I16">
        <v>0</v>
      </c>
      <c r="J16">
        <v>0</v>
      </c>
      <c r="K16">
        <v>0</v>
      </c>
      <c r="L16">
        <v>0</v>
      </c>
      <c r="M16">
        <v>0</v>
      </c>
      <c r="N16">
        <v>0</v>
      </c>
    </row>
    <row r="17" spans="1:14" x14ac:dyDescent="0.3">
      <c r="A17" t="s">
        <v>48</v>
      </c>
      <c r="B17">
        <v>39</v>
      </c>
      <c r="C17">
        <v>1900</v>
      </c>
      <c r="D17">
        <v>1900</v>
      </c>
      <c r="E17">
        <v>1900</v>
      </c>
      <c r="F17">
        <v>1900</v>
      </c>
      <c r="G17">
        <v>1900</v>
      </c>
      <c r="H17">
        <v>1900</v>
      </c>
      <c r="I17">
        <v>1900</v>
      </c>
      <c r="J17">
        <v>1900</v>
      </c>
      <c r="K17">
        <v>1900</v>
      </c>
      <c r="L17">
        <v>1900</v>
      </c>
      <c r="M17">
        <v>1900</v>
      </c>
      <c r="N17">
        <v>1900</v>
      </c>
    </row>
    <row r="18" spans="1:14" x14ac:dyDescent="0.3">
      <c r="A18" t="s">
        <v>691</v>
      </c>
      <c r="B18">
        <v>39</v>
      </c>
      <c r="C18">
        <v>1770</v>
      </c>
      <c r="D18">
        <v>3518</v>
      </c>
      <c r="E18">
        <v>0</v>
      </c>
      <c r="F18">
        <v>1770</v>
      </c>
      <c r="G18">
        <v>3532</v>
      </c>
      <c r="H18">
        <v>0</v>
      </c>
      <c r="I18">
        <v>1770</v>
      </c>
      <c r="J18">
        <v>1712</v>
      </c>
      <c r="K18">
        <v>0</v>
      </c>
      <c r="L18">
        <v>1770</v>
      </c>
      <c r="M18">
        <v>1669</v>
      </c>
      <c r="N18">
        <v>0</v>
      </c>
    </row>
    <row r="19" spans="1:14" x14ac:dyDescent="0.3">
      <c r="A19" t="s">
        <v>50</v>
      </c>
      <c r="B19">
        <v>39</v>
      </c>
      <c r="C19">
        <v>1770</v>
      </c>
      <c r="D19">
        <v>3518</v>
      </c>
      <c r="E19">
        <v>0</v>
      </c>
      <c r="F19">
        <v>1770</v>
      </c>
      <c r="G19">
        <v>3532</v>
      </c>
      <c r="H19">
        <v>0</v>
      </c>
      <c r="I19">
        <v>1770</v>
      </c>
      <c r="J19">
        <v>1712</v>
      </c>
      <c r="K19">
        <v>0</v>
      </c>
      <c r="L19">
        <v>1770</v>
      </c>
      <c r="M19">
        <v>1669</v>
      </c>
      <c r="N19">
        <v>0</v>
      </c>
    </row>
    <row r="20" spans="1:14" x14ac:dyDescent="0.3">
      <c r="A20" t="s">
        <v>692</v>
      </c>
      <c r="B20">
        <v>39</v>
      </c>
      <c r="C20">
        <v>1</v>
      </c>
      <c r="D20">
        <v>1</v>
      </c>
      <c r="E20">
        <v>1</v>
      </c>
      <c r="F20">
        <v>1</v>
      </c>
      <c r="G20">
        <v>1</v>
      </c>
      <c r="H20">
        <v>1</v>
      </c>
      <c r="I20">
        <v>1</v>
      </c>
      <c r="J20">
        <v>1</v>
      </c>
      <c r="K20">
        <v>1</v>
      </c>
      <c r="L20">
        <v>1</v>
      </c>
      <c r="M20">
        <v>1</v>
      </c>
      <c r="N20">
        <v>1</v>
      </c>
    </row>
    <row r="21" spans="1:14" x14ac:dyDescent="0.3">
      <c r="A21" t="s">
        <v>51</v>
      </c>
      <c r="B21">
        <v>39</v>
      </c>
      <c r="C21">
        <v>0</v>
      </c>
      <c r="D21">
        <v>5</v>
      </c>
      <c r="E21">
        <v>0</v>
      </c>
      <c r="F21">
        <v>0</v>
      </c>
      <c r="G21">
        <v>2</v>
      </c>
      <c r="H21">
        <v>0</v>
      </c>
      <c r="I21">
        <v>0</v>
      </c>
      <c r="J21">
        <v>77</v>
      </c>
      <c r="K21">
        <v>0</v>
      </c>
      <c r="L21">
        <v>0</v>
      </c>
      <c r="M21">
        <v>147</v>
      </c>
      <c r="N21">
        <v>0</v>
      </c>
    </row>
    <row r="22" spans="1:14" x14ac:dyDescent="0.3">
      <c r="A22" t="s">
        <v>53</v>
      </c>
      <c r="B22">
        <v>39</v>
      </c>
      <c r="C22">
        <v>181</v>
      </c>
      <c r="D22">
        <v>7732</v>
      </c>
      <c r="E22">
        <v>300</v>
      </c>
      <c r="F22">
        <v>214</v>
      </c>
      <c r="G22">
        <v>4961</v>
      </c>
      <c r="H22">
        <v>58</v>
      </c>
      <c r="I22">
        <v>182</v>
      </c>
      <c r="J22">
        <v>122</v>
      </c>
      <c r="K22">
        <v>143</v>
      </c>
      <c r="L22">
        <v>580</v>
      </c>
      <c r="M22">
        <v>140</v>
      </c>
      <c r="N22">
        <v>315</v>
      </c>
    </row>
    <row r="23" spans="1:14" x14ac:dyDescent="0.3">
      <c r="A23" t="s">
        <v>54</v>
      </c>
      <c r="B23">
        <v>39</v>
      </c>
      <c r="C23">
        <v>0</v>
      </c>
      <c r="D23">
        <v>0</v>
      </c>
      <c r="E23">
        <v>0</v>
      </c>
      <c r="F23">
        <v>0</v>
      </c>
      <c r="G23">
        <v>0</v>
      </c>
      <c r="H23">
        <v>0</v>
      </c>
      <c r="I23">
        <v>0</v>
      </c>
      <c r="J23">
        <v>0</v>
      </c>
      <c r="K23">
        <v>0</v>
      </c>
      <c r="L23">
        <v>0</v>
      </c>
      <c r="M23">
        <v>0</v>
      </c>
      <c r="N23">
        <v>0</v>
      </c>
    </row>
    <row r="24" spans="1:14" x14ac:dyDescent="0.3">
      <c r="A24" t="s">
        <v>55</v>
      </c>
      <c r="B24">
        <v>39</v>
      </c>
      <c r="C24">
        <v>0</v>
      </c>
      <c r="D24">
        <v>0</v>
      </c>
      <c r="E24">
        <v>0</v>
      </c>
      <c r="F24">
        <v>0</v>
      </c>
      <c r="G24">
        <v>0</v>
      </c>
      <c r="H24">
        <v>0</v>
      </c>
      <c r="I24">
        <v>0</v>
      </c>
      <c r="J24">
        <v>0</v>
      </c>
      <c r="K24">
        <v>0</v>
      </c>
      <c r="L24">
        <v>0</v>
      </c>
      <c r="M24">
        <v>0</v>
      </c>
      <c r="N24">
        <v>0</v>
      </c>
    </row>
    <row r="25" spans="1:14" x14ac:dyDescent="0.3">
      <c r="A25" t="s">
        <v>56</v>
      </c>
      <c r="B25">
        <v>39</v>
      </c>
      <c r="C25">
        <v>0.92</v>
      </c>
      <c r="D25">
        <v>0.92</v>
      </c>
      <c r="E25">
        <v>0.92</v>
      </c>
      <c r="F25">
        <v>0.92</v>
      </c>
      <c r="G25">
        <v>0.92</v>
      </c>
      <c r="H25">
        <v>0.92</v>
      </c>
      <c r="I25">
        <v>0.92</v>
      </c>
      <c r="J25">
        <v>0.92</v>
      </c>
      <c r="K25">
        <v>0.92</v>
      </c>
      <c r="L25">
        <v>0.92</v>
      </c>
      <c r="M25">
        <v>0.92</v>
      </c>
      <c r="N25">
        <v>0.92</v>
      </c>
    </row>
    <row r="26" spans="1:14" x14ac:dyDescent="0.3">
      <c r="A26" t="s">
        <v>57</v>
      </c>
      <c r="B26">
        <v>39</v>
      </c>
      <c r="C26">
        <v>100</v>
      </c>
      <c r="D26">
        <v>100</v>
      </c>
      <c r="E26">
        <v>100</v>
      </c>
      <c r="F26">
        <v>100</v>
      </c>
      <c r="G26">
        <v>100</v>
      </c>
      <c r="H26">
        <v>100</v>
      </c>
      <c r="I26">
        <v>100</v>
      </c>
      <c r="J26">
        <v>100</v>
      </c>
      <c r="K26">
        <v>100</v>
      </c>
      <c r="L26">
        <v>100</v>
      </c>
      <c r="M26">
        <v>100</v>
      </c>
      <c r="N26">
        <v>100</v>
      </c>
    </row>
    <row r="27" spans="1:14" x14ac:dyDescent="0.3">
      <c r="A27" t="s">
        <v>58</v>
      </c>
      <c r="B27">
        <v>39</v>
      </c>
      <c r="C27">
        <v>2</v>
      </c>
      <c r="D27">
        <v>2</v>
      </c>
      <c r="E27">
        <v>2</v>
      </c>
      <c r="F27">
        <v>2</v>
      </c>
      <c r="G27">
        <v>2</v>
      </c>
      <c r="H27">
        <v>2</v>
      </c>
      <c r="I27">
        <v>2</v>
      </c>
      <c r="J27">
        <v>2</v>
      </c>
      <c r="K27">
        <v>2</v>
      </c>
      <c r="L27">
        <v>2</v>
      </c>
      <c r="M27">
        <v>2</v>
      </c>
      <c r="N27">
        <v>2</v>
      </c>
    </row>
    <row r="28" spans="1:14" x14ac:dyDescent="0.3">
      <c r="A28" t="s">
        <v>59</v>
      </c>
      <c r="B28">
        <v>39</v>
      </c>
      <c r="C28">
        <v>0</v>
      </c>
      <c r="D28">
        <v>0</v>
      </c>
      <c r="E28">
        <v>0</v>
      </c>
      <c r="F28">
        <v>0</v>
      </c>
      <c r="G28">
        <v>0</v>
      </c>
      <c r="H28">
        <v>0</v>
      </c>
      <c r="I28">
        <v>0</v>
      </c>
      <c r="J28">
        <v>0</v>
      </c>
      <c r="K28">
        <v>0</v>
      </c>
      <c r="L28">
        <v>0</v>
      </c>
      <c r="M28">
        <v>0</v>
      </c>
      <c r="N28">
        <v>0</v>
      </c>
    </row>
    <row r="29" spans="1:14" x14ac:dyDescent="0.3">
      <c r="A29" t="s">
        <v>693</v>
      </c>
      <c r="B29">
        <v>39</v>
      </c>
      <c r="D29">
        <v>0</v>
      </c>
      <c r="G29">
        <v>0</v>
      </c>
      <c r="J29">
        <v>0</v>
      </c>
      <c r="M29">
        <v>0</v>
      </c>
    </row>
    <row r="30" spans="1:14" x14ac:dyDescent="0.3">
      <c r="A30" t="s">
        <v>674</v>
      </c>
      <c r="B30">
        <v>39</v>
      </c>
      <c r="D30">
        <v>2985</v>
      </c>
      <c r="G30">
        <v>99</v>
      </c>
      <c r="J30">
        <v>218</v>
      </c>
      <c r="M30">
        <v>282</v>
      </c>
    </row>
    <row r="31" spans="1:14" x14ac:dyDescent="0.3">
      <c r="A31" t="s">
        <v>78</v>
      </c>
      <c r="B31">
        <v>39</v>
      </c>
      <c r="D31">
        <v>45.2</v>
      </c>
      <c r="G31">
        <v>1.5</v>
      </c>
      <c r="J31">
        <v>3.3</v>
      </c>
      <c r="M31">
        <v>4.3</v>
      </c>
    </row>
    <row r="32" spans="1:14" x14ac:dyDescent="0.3">
      <c r="A32" t="s">
        <v>694</v>
      </c>
      <c r="B32">
        <v>39</v>
      </c>
      <c r="E32">
        <v>0</v>
      </c>
      <c r="H32">
        <v>0</v>
      </c>
      <c r="K32">
        <v>0</v>
      </c>
      <c r="N32">
        <v>0</v>
      </c>
    </row>
    <row r="33" spans="1:14" x14ac:dyDescent="0.3">
      <c r="A33" t="s">
        <v>695</v>
      </c>
      <c r="B33">
        <v>39</v>
      </c>
      <c r="C33">
        <v>0</v>
      </c>
      <c r="D33">
        <v>0</v>
      </c>
      <c r="E33">
        <v>1</v>
      </c>
      <c r="F33">
        <v>0</v>
      </c>
      <c r="G33">
        <v>0</v>
      </c>
      <c r="H33">
        <v>1</v>
      </c>
      <c r="I33">
        <v>0</v>
      </c>
      <c r="J33">
        <v>0</v>
      </c>
      <c r="K33">
        <v>1</v>
      </c>
      <c r="L33">
        <v>0</v>
      </c>
      <c r="M33">
        <v>0</v>
      </c>
      <c r="N33">
        <v>1</v>
      </c>
    </row>
    <row r="34" spans="1:14" x14ac:dyDescent="0.3">
      <c r="A34" t="s">
        <v>696</v>
      </c>
      <c r="B34">
        <v>39</v>
      </c>
      <c r="C34">
        <v>0</v>
      </c>
      <c r="D34">
        <v>0</v>
      </c>
      <c r="E34">
        <v>0</v>
      </c>
      <c r="F34">
        <v>0</v>
      </c>
      <c r="G34">
        <v>0</v>
      </c>
      <c r="H34">
        <v>0</v>
      </c>
      <c r="I34">
        <v>0</v>
      </c>
      <c r="J34">
        <v>0</v>
      </c>
      <c r="K34">
        <v>0</v>
      </c>
      <c r="L34">
        <v>0</v>
      </c>
      <c r="M34">
        <v>0</v>
      </c>
      <c r="N34">
        <v>0</v>
      </c>
    </row>
    <row r="35" spans="1:14" x14ac:dyDescent="0.3">
      <c r="A35" t="s">
        <v>52</v>
      </c>
      <c r="B35">
        <v>39</v>
      </c>
      <c r="C35">
        <v>1</v>
      </c>
      <c r="D35">
        <v>1</v>
      </c>
      <c r="E35">
        <v>1</v>
      </c>
      <c r="F35">
        <v>1</v>
      </c>
      <c r="G35">
        <v>1</v>
      </c>
      <c r="H35">
        <v>1</v>
      </c>
      <c r="I35">
        <v>1</v>
      </c>
      <c r="J35">
        <v>1</v>
      </c>
      <c r="K35">
        <v>1</v>
      </c>
      <c r="L35">
        <v>1</v>
      </c>
      <c r="M35">
        <v>1</v>
      </c>
      <c r="N35">
        <v>1</v>
      </c>
    </row>
    <row r="36" spans="1:14" x14ac:dyDescent="0.3">
      <c r="A36" t="s">
        <v>697</v>
      </c>
      <c r="B36">
        <v>39</v>
      </c>
      <c r="C36">
        <v>15</v>
      </c>
      <c r="D36">
        <v>60</v>
      </c>
      <c r="E36">
        <v>9</v>
      </c>
      <c r="F36">
        <v>15</v>
      </c>
      <c r="G36">
        <v>60</v>
      </c>
      <c r="H36">
        <v>9</v>
      </c>
      <c r="I36">
        <v>15</v>
      </c>
      <c r="J36">
        <v>60</v>
      </c>
      <c r="K36">
        <v>9</v>
      </c>
      <c r="L36">
        <v>15</v>
      </c>
      <c r="M36">
        <v>60</v>
      </c>
      <c r="N36">
        <v>9</v>
      </c>
    </row>
    <row r="37" spans="1:14" x14ac:dyDescent="0.3">
      <c r="A37" t="s">
        <v>43</v>
      </c>
      <c r="B37">
        <v>39</v>
      </c>
      <c r="C37">
        <v>20</v>
      </c>
      <c r="D37">
        <v>100</v>
      </c>
      <c r="F37">
        <v>20</v>
      </c>
      <c r="G37">
        <v>100</v>
      </c>
      <c r="I37">
        <v>20</v>
      </c>
      <c r="J37">
        <v>100</v>
      </c>
      <c r="L37">
        <v>20</v>
      </c>
      <c r="M37">
        <v>100</v>
      </c>
    </row>
    <row r="38" spans="1:14" x14ac:dyDescent="0.3">
      <c r="A38" t="s">
        <v>44</v>
      </c>
      <c r="B38">
        <v>39</v>
      </c>
      <c r="C38">
        <v>0</v>
      </c>
      <c r="D38">
        <v>0</v>
      </c>
      <c r="F38">
        <v>0</v>
      </c>
      <c r="G38">
        <v>0</v>
      </c>
      <c r="I38">
        <v>0</v>
      </c>
      <c r="J38">
        <v>0</v>
      </c>
      <c r="L38">
        <v>0</v>
      </c>
      <c r="M38">
        <v>0</v>
      </c>
    </row>
    <row r="39" spans="1:14" x14ac:dyDescent="0.3">
      <c r="A39" t="s">
        <v>47</v>
      </c>
      <c r="B39">
        <v>39</v>
      </c>
      <c r="C39">
        <v>5</v>
      </c>
      <c r="D39">
        <v>2</v>
      </c>
      <c r="F39">
        <v>1</v>
      </c>
      <c r="G39">
        <v>6</v>
      </c>
      <c r="I39">
        <v>3</v>
      </c>
      <c r="J39">
        <v>8</v>
      </c>
      <c r="L39">
        <v>7</v>
      </c>
      <c r="M39">
        <v>4</v>
      </c>
    </row>
    <row r="40" spans="1:14" x14ac:dyDescent="0.3">
      <c r="A40" t="s">
        <v>698</v>
      </c>
      <c r="B40">
        <v>39</v>
      </c>
      <c r="C40">
        <v>0</v>
      </c>
      <c r="D40">
        <v>0</v>
      </c>
      <c r="F40">
        <v>0</v>
      </c>
      <c r="G40">
        <v>0</v>
      </c>
      <c r="I40">
        <v>0</v>
      </c>
      <c r="J40">
        <v>0</v>
      </c>
      <c r="L40">
        <v>0</v>
      </c>
      <c r="M40">
        <v>0</v>
      </c>
    </row>
    <row r="41" spans="1:14" x14ac:dyDescent="0.3">
      <c r="A41" t="s">
        <v>699</v>
      </c>
      <c r="B41">
        <v>39</v>
      </c>
      <c r="C41">
        <v>0</v>
      </c>
      <c r="D41">
        <v>0</v>
      </c>
      <c r="F41">
        <v>0</v>
      </c>
      <c r="G41">
        <v>0</v>
      </c>
      <c r="I41">
        <v>0</v>
      </c>
      <c r="J41">
        <v>0</v>
      </c>
      <c r="L41">
        <v>0</v>
      </c>
      <c r="M41">
        <v>0</v>
      </c>
    </row>
    <row r="42" spans="1:14" x14ac:dyDescent="0.3">
      <c r="A42" t="s">
        <v>700</v>
      </c>
      <c r="B42">
        <v>39</v>
      </c>
      <c r="C42">
        <v>0</v>
      </c>
      <c r="D42">
        <v>0</v>
      </c>
      <c r="F42">
        <v>0</v>
      </c>
      <c r="G42">
        <v>0</v>
      </c>
      <c r="I42">
        <v>0</v>
      </c>
      <c r="J42">
        <v>0</v>
      </c>
      <c r="L42">
        <v>0</v>
      </c>
      <c r="M42">
        <v>0</v>
      </c>
    </row>
    <row r="43" spans="1:14" x14ac:dyDescent="0.3">
      <c r="A43" t="s">
        <v>701</v>
      </c>
      <c r="B43">
        <v>39</v>
      </c>
      <c r="C43">
        <v>0</v>
      </c>
      <c r="D43">
        <v>0</v>
      </c>
      <c r="F43">
        <v>0</v>
      </c>
      <c r="G43">
        <v>0</v>
      </c>
      <c r="I43">
        <v>0</v>
      </c>
      <c r="J43">
        <v>0</v>
      </c>
      <c r="L43">
        <v>0</v>
      </c>
      <c r="M43">
        <v>0</v>
      </c>
    </row>
    <row r="44" spans="1:14" x14ac:dyDescent="0.3">
      <c r="A44" t="s">
        <v>702</v>
      </c>
      <c r="B44">
        <v>39</v>
      </c>
      <c r="C44">
        <v>1</v>
      </c>
      <c r="D44">
        <v>2</v>
      </c>
      <c r="F44">
        <v>1</v>
      </c>
      <c r="G44">
        <v>2</v>
      </c>
      <c r="I44">
        <v>1</v>
      </c>
      <c r="J44">
        <v>2</v>
      </c>
      <c r="L44">
        <v>1</v>
      </c>
      <c r="M44">
        <v>2</v>
      </c>
    </row>
    <row r="45" spans="1:14" x14ac:dyDescent="0.3">
      <c r="A45" t="s">
        <v>703</v>
      </c>
      <c r="B45">
        <v>39</v>
      </c>
      <c r="C45">
        <v>0</v>
      </c>
      <c r="D45">
        <v>0</v>
      </c>
      <c r="F45">
        <v>0</v>
      </c>
      <c r="G45">
        <v>0</v>
      </c>
      <c r="I45">
        <v>0</v>
      </c>
      <c r="J45">
        <v>0</v>
      </c>
      <c r="L45">
        <v>0</v>
      </c>
      <c r="M45">
        <v>0</v>
      </c>
    </row>
    <row r="46" spans="1:14" x14ac:dyDescent="0.3">
      <c r="A46" t="s">
        <v>704</v>
      </c>
      <c r="B46">
        <v>39</v>
      </c>
      <c r="C46">
        <v>20</v>
      </c>
      <c r="D46">
        <v>6</v>
      </c>
      <c r="F46">
        <v>20</v>
      </c>
      <c r="G46">
        <v>6</v>
      </c>
      <c r="I46">
        <v>20</v>
      </c>
      <c r="J46">
        <v>6</v>
      </c>
      <c r="L46">
        <v>20</v>
      </c>
      <c r="M46">
        <v>6</v>
      </c>
    </row>
    <row r="47" spans="1:14" x14ac:dyDescent="0.3">
      <c r="A47" t="s">
        <v>705</v>
      </c>
      <c r="B47">
        <v>39</v>
      </c>
      <c r="C47">
        <v>3</v>
      </c>
      <c r="D47">
        <v>3</v>
      </c>
      <c r="F47">
        <v>3</v>
      </c>
      <c r="G47">
        <v>3</v>
      </c>
      <c r="I47">
        <v>3</v>
      </c>
      <c r="J47">
        <v>3</v>
      </c>
      <c r="L47">
        <v>3</v>
      </c>
      <c r="M47">
        <v>3</v>
      </c>
    </row>
    <row r="48" spans="1:14" x14ac:dyDescent="0.3">
      <c r="A48" t="s">
        <v>706</v>
      </c>
      <c r="B48">
        <v>39</v>
      </c>
      <c r="C48">
        <v>0</v>
      </c>
      <c r="D48">
        <v>0</v>
      </c>
      <c r="F48">
        <v>0</v>
      </c>
      <c r="G48">
        <v>0</v>
      </c>
      <c r="I48">
        <v>0</v>
      </c>
      <c r="J48">
        <v>0</v>
      </c>
      <c r="L48">
        <v>0</v>
      </c>
      <c r="M48">
        <v>0</v>
      </c>
    </row>
    <row r="49" spans="1:14" x14ac:dyDescent="0.3">
      <c r="A49" t="s">
        <v>707</v>
      </c>
      <c r="B49">
        <v>39</v>
      </c>
      <c r="C49">
        <v>0</v>
      </c>
      <c r="D49">
        <v>0</v>
      </c>
      <c r="F49">
        <v>0</v>
      </c>
      <c r="G49">
        <v>0</v>
      </c>
      <c r="I49">
        <v>0</v>
      </c>
      <c r="J49">
        <v>0</v>
      </c>
      <c r="L49">
        <v>0</v>
      </c>
      <c r="M49">
        <v>0</v>
      </c>
    </row>
    <row r="50" spans="1:14" x14ac:dyDescent="0.3">
      <c r="A50" t="s">
        <v>708</v>
      </c>
      <c r="B50">
        <v>39</v>
      </c>
      <c r="C50">
        <v>0</v>
      </c>
      <c r="D50">
        <v>0</v>
      </c>
      <c r="F50">
        <v>0</v>
      </c>
      <c r="G50">
        <v>0</v>
      </c>
      <c r="I50">
        <v>0</v>
      </c>
      <c r="J50">
        <v>0</v>
      </c>
      <c r="L50">
        <v>0</v>
      </c>
      <c r="M50">
        <v>0</v>
      </c>
    </row>
    <row r="51" spans="1:14" x14ac:dyDescent="0.3">
      <c r="A51" t="s">
        <v>709</v>
      </c>
      <c r="B51">
        <v>39</v>
      </c>
      <c r="D51">
        <v>94</v>
      </c>
      <c r="G51">
        <v>94</v>
      </c>
      <c r="J51">
        <v>94</v>
      </c>
      <c r="M51">
        <v>94</v>
      </c>
    </row>
    <row r="52" spans="1:14" x14ac:dyDescent="0.3">
      <c r="A52" t="s">
        <v>710</v>
      </c>
      <c r="B52">
        <v>39</v>
      </c>
      <c r="D52">
        <v>6</v>
      </c>
      <c r="G52">
        <v>6</v>
      </c>
      <c r="J52">
        <v>6</v>
      </c>
      <c r="M52">
        <v>6</v>
      </c>
    </row>
    <row r="53" spans="1:14" x14ac:dyDescent="0.3">
      <c r="A53" t="s">
        <v>711</v>
      </c>
      <c r="B53">
        <v>39</v>
      </c>
      <c r="D53">
        <v>3</v>
      </c>
      <c r="G53">
        <v>3</v>
      </c>
      <c r="J53">
        <v>3</v>
      </c>
      <c r="M53">
        <v>3</v>
      </c>
    </row>
    <row r="54" spans="1:14" x14ac:dyDescent="0.3">
      <c r="A54" t="s">
        <v>712</v>
      </c>
      <c r="B54">
        <v>39</v>
      </c>
      <c r="D54">
        <v>0</v>
      </c>
      <c r="G54">
        <v>0</v>
      </c>
      <c r="J54">
        <v>0</v>
      </c>
      <c r="M54">
        <v>0</v>
      </c>
    </row>
    <row r="55" spans="1:14" x14ac:dyDescent="0.3">
      <c r="A55" t="s">
        <v>713</v>
      </c>
      <c r="B55">
        <v>39</v>
      </c>
      <c r="D55">
        <v>0</v>
      </c>
      <c r="G55">
        <v>0</v>
      </c>
      <c r="J55">
        <v>0</v>
      </c>
      <c r="M55">
        <v>0</v>
      </c>
    </row>
    <row r="56" spans="1:14" x14ac:dyDescent="0.3">
      <c r="A56" t="s">
        <v>405</v>
      </c>
      <c r="B56">
        <v>39</v>
      </c>
      <c r="D56">
        <v>0</v>
      </c>
    </row>
    <row r="57" spans="1:14" x14ac:dyDescent="0.3">
      <c r="A57" t="s">
        <v>714</v>
      </c>
      <c r="B57">
        <v>39</v>
      </c>
      <c r="C57">
        <v>197</v>
      </c>
      <c r="D57">
        <v>8730</v>
      </c>
      <c r="E57">
        <v>0</v>
      </c>
      <c r="F57">
        <v>233</v>
      </c>
      <c r="G57">
        <v>5455</v>
      </c>
      <c r="H57">
        <v>0</v>
      </c>
      <c r="I57">
        <v>198</v>
      </c>
      <c r="J57">
        <v>288</v>
      </c>
      <c r="K57">
        <v>0</v>
      </c>
      <c r="L57">
        <v>630</v>
      </c>
      <c r="M57">
        <v>494</v>
      </c>
      <c r="N57">
        <v>0</v>
      </c>
    </row>
    <row r="58" spans="1:14" x14ac:dyDescent="0.3">
      <c r="A58" t="s">
        <v>34</v>
      </c>
      <c r="B58">
        <v>75</v>
      </c>
      <c r="C58">
        <v>78</v>
      </c>
      <c r="D58">
        <v>78</v>
      </c>
      <c r="E58">
        <v>78</v>
      </c>
      <c r="F58">
        <v>39</v>
      </c>
      <c r="G58">
        <v>39</v>
      </c>
      <c r="H58">
        <v>39</v>
      </c>
      <c r="I58">
        <v>76</v>
      </c>
      <c r="J58">
        <v>76</v>
      </c>
      <c r="K58">
        <v>76</v>
      </c>
      <c r="L58">
        <v>77</v>
      </c>
      <c r="M58">
        <v>77</v>
      </c>
      <c r="N58">
        <v>77</v>
      </c>
    </row>
    <row r="59" spans="1:14" x14ac:dyDescent="0.3">
      <c r="A59" t="s">
        <v>35</v>
      </c>
      <c r="B59">
        <v>75</v>
      </c>
      <c r="C59">
        <v>76</v>
      </c>
      <c r="D59">
        <v>39</v>
      </c>
      <c r="E59">
        <v>77</v>
      </c>
      <c r="F59">
        <v>77</v>
      </c>
      <c r="G59">
        <v>78</v>
      </c>
      <c r="H59">
        <v>76</v>
      </c>
      <c r="I59">
        <v>39</v>
      </c>
      <c r="J59">
        <v>77</v>
      </c>
      <c r="K59">
        <v>78</v>
      </c>
      <c r="L59">
        <v>78</v>
      </c>
      <c r="M59">
        <v>76</v>
      </c>
      <c r="N59">
        <v>39</v>
      </c>
    </row>
    <row r="60" spans="1:14" x14ac:dyDescent="0.3">
      <c r="A60" t="s">
        <v>36</v>
      </c>
      <c r="B60">
        <v>75</v>
      </c>
      <c r="C60">
        <v>1</v>
      </c>
      <c r="D60">
        <v>2</v>
      </c>
      <c r="E60">
        <v>0</v>
      </c>
      <c r="F60">
        <v>1</v>
      </c>
      <c r="G60">
        <v>2</v>
      </c>
      <c r="H60">
        <v>0</v>
      </c>
      <c r="I60">
        <v>1</v>
      </c>
      <c r="J60">
        <v>1</v>
      </c>
      <c r="K60">
        <v>0</v>
      </c>
      <c r="L60">
        <v>1</v>
      </c>
      <c r="M60">
        <v>1</v>
      </c>
      <c r="N60">
        <v>0</v>
      </c>
    </row>
    <row r="61" spans="1:14" x14ac:dyDescent="0.3">
      <c r="A61" t="s">
        <v>37</v>
      </c>
      <c r="B61">
        <v>75</v>
      </c>
      <c r="C61">
        <v>0</v>
      </c>
      <c r="D61">
        <v>2</v>
      </c>
      <c r="F61">
        <v>0</v>
      </c>
      <c r="G61">
        <v>2</v>
      </c>
      <c r="I61">
        <v>0</v>
      </c>
      <c r="J61">
        <v>2</v>
      </c>
      <c r="L61">
        <v>0</v>
      </c>
      <c r="M61">
        <v>2</v>
      </c>
    </row>
    <row r="62" spans="1:14" x14ac:dyDescent="0.3">
      <c r="A62" t="s">
        <v>38</v>
      </c>
      <c r="B62">
        <v>75</v>
      </c>
      <c r="C62">
        <v>12</v>
      </c>
      <c r="D62">
        <v>12</v>
      </c>
      <c r="E62">
        <v>12</v>
      </c>
      <c r="F62">
        <v>12</v>
      </c>
      <c r="G62">
        <v>12</v>
      </c>
      <c r="H62">
        <v>12</v>
      </c>
      <c r="I62">
        <v>12</v>
      </c>
      <c r="J62">
        <v>12</v>
      </c>
      <c r="K62">
        <v>12</v>
      </c>
      <c r="L62">
        <v>12</v>
      </c>
      <c r="M62">
        <v>12</v>
      </c>
      <c r="N62">
        <v>12</v>
      </c>
    </row>
    <row r="63" spans="1:14" x14ac:dyDescent="0.3">
      <c r="A63" t="s">
        <v>39</v>
      </c>
      <c r="B63">
        <v>75</v>
      </c>
    </row>
    <row r="64" spans="1:14" x14ac:dyDescent="0.3">
      <c r="A64" t="s">
        <v>689</v>
      </c>
      <c r="B64">
        <v>75</v>
      </c>
    </row>
    <row r="65" spans="1:14" x14ac:dyDescent="0.3">
      <c r="A65" t="s">
        <v>40</v>
      </c>
      <c r="B65">
        <v>75</v>
      </c>
    </row>
    <row r="66" spans="1:14" x14ac:dyDescent="0.3">
      <c r="A66" t="s">
        <v>41</v>
      </c>
      <c r="B66">
        <v>75</v>
      </c>
    </row>
    <row r="67" spans="1:14" x14ac:dyDescent="0.3">
      <c r="A67" t="s">
        <v>42</v>
      </c>
      <c r="B67">
        <v>75</v>
      </c>
      <c r="D67">
        <v>45</v>
      </c>
      <c r="G67">
        <v>45</v>
      </c>
      <c r="J67">
        <v>45</v>
      </c>
      <c r="M67">
        <v>45</v>
      </c>
    </row>
    <row r="68" spans="1:14" x14ac:dyDescent="0.3">
      <c r="A68" t="s">
        <v>45</v>
      </c>
      <c r="B68">
        <v>75</v>
      </c>
      <c r="C68">
        <v>5</v>
      </c>
      <c r="D68">
        <v>2</v>
      </c>
      <c r="F68">
        <v>1</v>
      </c>
      <c r="G68">
        <v>6</v>
      </c>
      <c r="I68">
        <v>3</v>
      </c>
      <c r="J68">
        <v>8</v>
      </c>
      <c r="L68">
        <v>7</v>
      </c>
      <c r="M68">
        <v>4</v>
      </c>
    </row>
    <row r="69" spans="1:14" x14ac:dyDescent="0.3">
      <c r="A69" t="s">
        <v>49</v>
      </c>
      <c r="B69">
        <v>75</v>
      </c>
      <c r="C69">
        <v>4</v>
      </c>
      <c r="D69">
        <v>5.3</v>
      </c>
      <c r="E69">
        <v>4</v>
      </c>
      <c r="F69">
        <v>4</v>
      </c>
      <c r="G69">
        <v>5.4</v>
      </c>
      <c r="H69">
        <v>4</v>
      </c>
      <c r="I69">
        <v>4</v>
      </c>
      <c r="J69">
        <v>5.8</v>
      </c>
      <c r="K69">
        <v>4</v>
      </c>
      <c r="L69">
        <v>4</v>
      </c>
      <c r="M69">
        <v>5.9</v>
      </c>
      <c r="N69">
        <v>4</v>
      </c>
    </row>
    <row r="70" spans="1:14" x14ac:dyDescent="0.3">
      <c r="A70" t="s">
        <v>690</v>
      </c>
      <c r="B70">
        <v>75</v>
      </c>
      <c r="C70">
        <v>0</v>
      </c>
      <c r="D70">
        <v>0</v>
      </c>
      <c r="E70">
        <v>0</v>
      </c>
      <c r="F70">
        <v>0</v>
      </c>
      <c r="G70">
        <v>0</v>
      </c>
      <c r="H70">
        <v>0</v>
      </c>
      <c r="I70">
        <v>0</v>
      </c>
      <c r="J70">
        <v>0</v>
      </c>
      <c r="K70">
        <v>0</v>
      </c>
      <c r="L70">
        <v>0</v>
      </c>
      <c r="M70">
        <v>0</v>
      </c>
      <c r="N70">
        <v>0</v>
      </c>
    </row>
    <row r="71" spans="1:14" x14ac:dyDescent="0.3">
      <c r="A71" t="s">
        <v>48</v>
      </c>
      <c r="B71">
        <v>75</v>
      </c>
      <c r="C71">
        <v>1900</v>
      </c>
      <c r="D71">
        <v>1900</v>
      </c>
      <c r="E71">
        <v>1900</v>
      </c>
      <c r="F71">
        <v>1900</v>
      </c>
      <c r="G71">
        <v>1900</v>
      </c>
      <c r="H71">
        <v>1900</v>
      </c>
      <c r="I71">
        <v>1900</v>
      </c>
      <c r="J71">
        <v>1900</v>
      </c>
      <c r="K71">
        <v>1900</v>
      </c>
      <c r="L71">
        <v>1900</v>
      </c>
      <c r="M71">
        <v>1900</v>
      </c>
      <c r="N71">
        <v>1900</v>
      </c>
    </row>
    <row r="72" spans="1:14" x14ac:dyDescent="0.3">
      <c r="A72" t="s">
        <v>691</v>
      </c>
      <c r="B72">
        <v>75</v>
      </c>
      <c r="C72">
        <v>1770</v>
      </c>
      <c r="D72">
        <v>3522</v>
      </c>
      <c r="E72">
        <v>0</v>
      </c>
      <c r="F72">
        <v>1770</v>
      </c>
      <c r="G72">
        <v>3536</v>
      </c>
      <c r="H72">
        <v>0</v>
      </c>
      <c r="I72">
        <v>1770</v>
      </c>
      <c r="J72">
        <v>1690</v>
      </c>
      <c r="K72">
        <v>0</v>
      </c>
      <c r="L72">
        <v>1770</v>
      </c>
      <c r="M72">
        <v>1723</v>
      </c>
      <c r="N72">
        <v>0</v>
      </c>
    </row>
    <row r="73" spans="1:14" x14ac:dyDescent="0.3">
      <c r="A73" t="s">
        <v>50</v>
      </c>
      <c r="B73">
        <v>75</v>
      </c>
      <c r="C73">
        <v>1770</v>
      </c>
      <c r="D73">
        <v>3522</v>
      </c>
      <c r="E73">
        <v>0</v>
      </c>
      <c r="F73">
        <v>1770</v>
      </c>
      <c r="G73">
        <v>3536</v>
      </c>
      <c r="H73">
        <v>0</v>
      </c>
      <c r="I73">
        <v>1770</v>
      </c>
      <c r="J73">
        <v>1690</v>
      </c>
      <c r="K73">
        <v>0</v>
      </c>
      <c r="L73">
        <v>1770</v>
      </c>
      <c r="M73">
        <v>1723</v>
      </c>
      <c r="N73">
        <v>0</v>
      </c>
    </row>
    <row r="74" spans="1:14" x14ac:dyDescent="0.3">
      <c r="A74" t="s">
        <v>692</v>
      </c>
      <c r="B74">
        <v>75</v>
      </c>
      <c r="C74">
        <v>1</v>
      </c>
      <c r="D74">
        <v>1</v>
      </c>
      <c r="E74">
        <v>1</v>
      </c>
      <c r="F74">
        <v>1</v>
      </c>
      <c r="G74">
        <v>1</v>
      </c>
      <c r="H74">
        <v>1</v>
      </c>
      <c r="I74">
        <v>1</v>
      </c>
      <c r="J74">
        <v>1</v>
      </c>
      <c r="K74">
        <v>1</v>
      </c>
      <c r="L74">
        <v>1</v>
      </c>
      <c r="M74">
        <v>1</v>
      </c>
      <c r="N74">
        <v>1</v>
      </c>
    </row>
    <row r="75" spans="1:14" x14ac:dyDescent="0.3">
      <c r="A75" t="s">
        <v>51</v>
      </c>
      <c r="B75">
        <v>75</v>
      </c>
      <c r="C75">
        <v>0</v>
      </c>
      <c r="D75">
        <v>5</v>
      </c>
      <c r="E75">
        <v>0</v>
      </c>
      <c r="F75">
        <v>0</v>
      </c>
      <c r="G75">
        <v>0</v>
      </c>
      <c r="H75">
        <v>0</v>
      </c>
      <c r="I75">
        <v>0</v>
      </c>
      <c r="J75">
        <v>33</v>
      </c>
      <c r="K75">
        <v>0</v>
      </c>
      <c r="L75">
        <v>0</v>
      </c>
      <c r="M75">
        <v>15</v>
      </c>
      <c r="N75">
        <v>0</v>
      </c>
    </row>
    <row r="76" spans="1:14" x14ac:dyDescent="0.3">
      <c r="A76" t="s">
        <v>53</v>
      </c>
      <c r="B76">
        <v>75</v>
      </c>
      <c r="C76">
        <v>67</v>
      </c>
      <c r="D76">
        <v>649</v>
      </c>
      <c r="E76">
        <v>22</v>
      </c>
      <c r="F76">
        <v>41</v>
      </c>
      <c r="G76">
        <v>541</v>
      </c>
      <c r="H76">
        <v>2</v>
      </c>
      <c r="I76">
        <v>5</v>
      </c>
      <c r="J76">
        <v>18</v>
      </c>
      <c r="K76">
        <v>30</v>
      </c>
      <c r="L76">
        <v>17</v>
      </c>
      <c r="M76">
        <v>14</v>
      </c>
      <c r="N76">
        <v>14</v>
      </c>
    </row>
    <row r="77" spans="1:14" x14ac:dyDescent="0.3">
      <c r="A77" t="s">
        <v>54</v>
      </c>
      <c r="B77">
        <v>75</v>
      </c>
      <c r="C77">
        <v>0</v>
      </c>
      <c r="D77">
        <v>0</v>
      </c>
      <c r="E77">
        <v>0</v>
      </c>
      <c r="F77">
        <v>0</v>
      </c>
      <c r="G77">
        <v>0</v>
      </c>
      <c r="H77">
        <v>0</v>
      </c>
      <c r="I77">
        <v>0</v>
      </c>
      <c r="J77">
        <v>0</v>
      </c>
      <c r="K77">
        <v>0</v>
      </c>
      <c r="L77">
        <v>0</v>
      </c>
      <c r="M77">
        <v>0</v>
      </c>
      <c r="N77">
        <v>0</v>
      </c>
    </row>
    <row r="78" spans="1:14" x14ac:dyDescent="0.3">
      <c r="A78" t="s">
        <v>55</v>
      </c>
      <c r="B78">
        <v>75</v>
      </c>
      <c r="C78">
        <v>0</v>
      </c>
      <c r="D78">
        <v>0</v>
      </c>
      <c r="E78">
        <v>0</v>
      </c>
      <c r="F78">
        <v>0</v>
      </c>
      <c r="G78">
        <v>0</v>
      </c>
      <c r="H78">
        <v>0</v>
      </c>
      <c r="I78">
        <v>0</v>
      </c>
      <c r="J78">
        <v>0</v>
      </c>
      <c r="K78">
        <v>0</v>
      </c>
      <c r="L78">
        <v>0</v>
      </c>
      <c r="M78">
        <v>0</v>
      </c>
      <c r="N78">
        <v>0</v>
      </c>
    </row>
    <row r="79" spans="1:14" x14ac:dyDescent="0.3">
      <c r="A79" t="s">
        <v>56</v>
      </c>
      <c r="B79">
        <v>75</v>
      </c>
      <c r="C79">
        <v>0.92</v>
      </c>
      <c r="D79">
        <v>0.92</v>
      </c>
      <c r="E79">
        <v>0.92</v>
      </c>
      <c r="F79">
        <v>0.92</v>
      </c>
      <c r="G79">
        <v>0.92</v>
      </c>
      <c r="H79">
        <v>0.92</v>
      </c>
      <c r="I79">
        <v>0.92</v>
      </c>
      <c r="J79">
        <v>0.92</v>
      </c>
      <c r="K79">
        <v>0.92</v>
      </c>
      <c r="L79">
        <v>0.92</v>
      </c>
      <c r="M79">
        <v>0.92</v>
      </c>
      <c r="N79">
        <v>0.92</v>
      </c>
    </row>
    <row r="80" spans="1:14" x14ac:dyDescent="0.3">
      <c r="A80" t="s">
        <v>57</v>
      </c>
      <c r="B80">
        <v>75</v>
      </c>
      <c r="C80">
        <v>100</v>
      </c>
      <c r="D80">
        <v>100</v>
      </c>
      <c r="E80">
        <v>100</v>
      </c>
      <c r="F80">
        <v>100</v>
      </c>
      <c r="G80">
        <v>100</v>
      </c>
      <c r="H80">
        <v>100</v>
      </c>
      <c r="I80">
        <v>100</v>
      </c>
      <c r="J80">
        <v>100</v>
      </c>
      <c r="K80">
        <v>100</v>
      </c>
      <c r="L80">
        <v>100</v>
      </c>
      <c r="M80">
        <v>100</v>
      </c>
      <c r="N80">
        <v>100</v>
      </c>
    </row>
    <row r="81" spans="1:14" x14ac:dyDescent="0.3">
      <c r="A81" t="s">
        <v>58</v>
      </c>
      <c r="B81">
        <v>75</v>
      </c>
      <c r="C81">
        <v>2</v>
      </c>
      <c r="D81">
        <v>2</v>
      </c>
      <c r="E81">
        <v>2</v>
      </c>
      <c r="F81">
        <v>2</v>
      </c>
      <c r="G81">
        <v>2</v>
      </c>
      <c r="H81">
        <v>2</v>
      </c>
      <c r="I81">
        <v>2</v>
      </c>
      <c r="J81">
        <v>2</v>
      </c>
      <c r="K81">
        <v>2</v>
      </c>
      <c r="L81">
        <v>2</v>
      </c>
      <c r="M81">
        <v>2</v>
      </c>
      <c r="N81">
        <v>2</v>
      </c>
    </row>
    <row r="82" spans="1:14" x14ac:dyDescent="0.3">
      <c r="A82" t="s">
        <v>59</v>
      </c>
      <c r="B82">
        <v>75</v>
      </c>
      <c r="C82">
        <v>0</v>
      </c>
      <c r="D82">
        <v>0</v>
      </c>
      <c r="E82">
        <v>0</v>
      </c>
      <c r="F82">
        <v>0</v>
      </c>
      <c r="G82">
        <v>0</v>
      </c>
      <c r="H82">
        <v>0</v>
      </c>
      <c r="I82">
        <v>0</v>
      </c>
      <c r="J82">
        <v>0</v>
      </c>
      <c r="K82">
        <v>0</v>
      </c>
      <c r="L82">
        <v>0</v>
      </c>
      <c r="M82">
        <v>0</v>
      </c>
      <c r="N82">
        <v>0</v>
      </c>
    </row>
    <row r="83" spans="1:14" x14ac:dyDescent="0.3">
      <c r="A83" t="s">
        <v>693</v>
      </c>
      <c r="B83">
        <v>75</v>
      </c>
      <c r="D83">
        <v>0</v>
      </c>
      <c r="G83">
        <v>0</v>
      </c>
      <c r="J83">
        <v>0</v>
      </c>
      <c r="M83">
        <v>0</v>
      </c>
    </row>
    <row r="84" spans="1:14" x14ac:dyDescent="0.3">
      <c r="A84" t="s">
        <v>674</v>
      </c>
      <c r="B84">
        <v>75</v>
      </c>
      <c r="D84">
        <v>2307</v>
      </c>
      <c r="G84">
        <v>2985</v>
      </c>
      <c r="J84">
        <v>182</v>
      </c>
      <c r="M84">
        <v>210</v>
      </c>
    </row>
    <row r="85" spans="1:14" x14ac:dyDescent="0.3">
      <c r="A85" t="s">
        <v>78</v>
      </c>
      <c r="B85">
        <v>75</v>
      </c>
      <c r="D85">
        <v>35</v>
      </c>
      <c r="G85">
        <v>45.2</v>
      </c>
      <c r="J85">
        <v>2.8</v>
      </c>
      <c r="M85">
        <v>3.2</v>
      </c>
    </row>
    <row r="86" spans="1:14" x14ac:dyDescent="0.3">
      <c r="A86" t="s">
        <v>694</v>
      </c>
      <c r="B86">
        <v>75</v>
      </c>
      <c r="E86">
        <v>0</v>
      </c>
      <c r="H86">
        <v>0</v>
      </c>
      <c r="K86">
        <v>0</v>
      </c>
      <c r="N86">
        <v>0</v>
      </c>
    </row>
    <row r="87" spans="1:14" x14ac:dyDescent="0.3">
      <c r="A87" t="s">
        <v>695</v>
      </c>
      <c r="B87">
        <v>75</v>
      </c>
      <c r="C87">
        <v>0</v>
      </c>
      <c r="D87">
        <v>0</v>
      </c>
      <c r="E87">
        <v>1</v>
      </c>
      <c r="F87">
        <v>0</v>
      </c>
      <c r="G87">
        <v>0</v>
      </c>
      <c r="H87">
        <v>1</v>
      </c>
      <c r="I87">
        <v>0</v>
      </c>
      <c r="J87">
        <v>0</v>
      </c>
      <c r="K87">
        <v>1</v>
      </c>
      <c r="L87">
        <v>0</v>
      </c>
      <c r="M87">
        <v>0</v>
      </c>
      <c r="N87">
        <v>1</v>
      </c>
    </row>
    <row r="88" spans="1:14" x14ac:dyDescent="0.3">
      <c r="A88" t="s">
        <v>696</v>
      </c>
      <c r="B88">
        <v>75</v>
      </c>
      <c r="C88">
        <v>0</v>
      </c>
      <c r="D88">
        <v>0</v>
      </c>
      <c r="E88">
        <v>0</v>
      </c>
      <c r="F88">
        <v>0</v>
      </c>
      <c r="G88">
        <v>0</v>
      </c>
      <c r="H88">
        <v>0</v>
      </c>
      <c r="I88">
        <v>0</v>
      </c>
      <c r="J88">
        <v>0</v>
      </c>
      <c r="K88">
        <v>0</v>
      </c>
      <c r="L88">
        <v>0</v>
      </c>
      <c r="M88">
        <v>0</v>
      </c>
      <c r="N88">
        <v>0</v>
      </c>
    </row>
    <row r="89" spans="1:14" x14ac:dyDescent="0.3">
      <c r="A89" t="s">
        <v>52</v>
      </c>
      <c r="B89">
        <v>75</v>
      </c>
      <c r="C89">
        <v>1</v>
      </c>
      <c r="D89">
        <v>1</v>
      </c>
      <c r="E89">
        <v>1</v>
      </c>
      <c r="F89">
        <v>1</v>
      </c>
      <c r="G89">
        <v>1</v>
      </c>
      <c r="H89">
        <v>1</v>
      </c>
      <c r="I89">
        <v>1</v>
      </c>
      <c r="J89">
        <v>1</v>
      </c>
      <c r="K89">
        <v>1</v>
      </c>
      <c r="L89">
        <v>1</v>
      </c>
      <c r="M89">
        <v>1</v>
      </c>
      <c r="N89">
        <v>1</v>
      </c>
    </row>
    <row r="90" spans="1:14" x14ac:dyDescent="0.3">
      <c r="A90" t="s">
        <v>697</v>
      </c>
      <c r="B90">
        <v>75</v>
      </c>
      <c r="C90">
        <v>15</v>
      </c>
      <c r="D90">
        <v>60</v>
      </c>
      <c r="E90">
        <v>9</v>
      </c>
      <c r="F90">
        <v>15</v>
      </c>
      <c r="G90">
        <v>60</v>
      </c>
      <c r="H90">
        <v>9</v>
      </c>
      <c r="I90">
        <v>15</v>
      </c>
      <c r="J90">
        <v>60</v>
      </c>
      <c r="K90">
        <v>9</v>
      </c>
      <c r="L90">
        <v>15</v>
      </c>
      <c r="M90">
        <v>60</v>
      </c>
      <c r="N90">
        <v>9</v>
      </c>
    </row>
    <row r="91" spans="1:14" x14ac:dyDescent="0.3">
      <c r="A91" t="s">
        <v>43</v>
      </c>
      <c r="B91">
        <v>75</v>
      </c>
      <c r="C91">
        <v>20</v>
      </c>
      <c r="D91">
        <v>100</v>
      </c>
      <c r="F91">
        <v>20</v>
      </c>
      <c r="G91">
        <v>100</v>
      </c>
      <c r="I91">
        <v>20</v>
      </c>
      <c r="J91">
        <v>100</v>
      </c>
      <c r="L91">
        <v>20</v>
      </c>
      <c r="M91">
        <v>100</v>
      </c>
    </row>
    <row r="92" spans="1:14" x14ac:dyDescent="0.3">
      <c r="A92" t="s">
        <v>44</v>
      </c>
      <c r="B92">
        <v>75</v>
      </c>
      <c r="C92">
        <v>0</v>
      </c>
      <c r="D92">
        <v>0</v>
      </c>
      <c r="F92">
        <v>0</v>
      </c>
      <c r="G92">
        <v>0</v>
      </c>
      <c r="I92">
        <v>0</v>
      </c>
      <c r="J92">
        <v>0</v>
      </c>
      <c r="L92">
        <v>0</v>
      </c>
      <c r="M92">
        <v>0</v>
      </c>
    </row>
    <row r="93" spans="1:14" x14ac:dyDescent="0.3">
      <c r="A93" t="s">
        <v>47</v>
      </c>
      <c r="B93">
        <v>75</v>
      </c>
      <c r="C93">
        <v>5</v>
      </c>
      <c r="D93">
        <v>2</v>
      </c>
      <c r="F93">
        <v>1</v>
      </c>
      <c r="G93">
        <v>6</v>
      </c>
      <c r="I93">
        <v>3</v>
      </c>
      <c r="J93">
        <v>8</v>
      </c>
      <c r="L93">
        <v>7</v>
      </c>
      <c r="M93">
        <v>4</v>
      </c>
    </row>
    <row r="94" spans="1:14" x14ac:dyDescent="0.3">
      <c r="A94" t="s">
        <v>698</v>
      </c>
      <c r="B94">
        <v>75</v>
      </c>
      <c r="C94">
        <v>0</v>
      </c>
      <c r="D94">
        <v>0</v>
      </c>
      <c r="F94">
        <v>0</v>
      </c>
      <c r="G94">
        <v>0</v>
      </c>
      <c r="I94">
        <v>0</v>
      </c>
      <c r="J94">
        <v>0</v>
      </c>
      <c r="L94">
        <v>0</v>
      </c>
      <c r="M94">
        <v>0</v>
      </c>
    </row>
    <row r="95" spans="1:14" x14ac:dyDescent="0.3">
      <c r="A95" t="s">
        <v>699</v>
      </c>
      <c r="B95">
        <v>75</v>
      </c>
      <c r="C95">
        <v>0</v>
      </c>
      <c r="D95">
        <v>0</v>
      </c>
      <c r="F95">
        <v>0</v>
      </c>
      <c r="G95">
        <v>0</v>
      </c>
      <c r="I95">
        <v>0</v>
      </c>
      <c r="J95">
        <v>0</v>
      </c>
      <c r="L95">
        <v>0</v>
      </c>
      <c r="M95">
        <v>0</v>
      </c>
    </row>
    <row r="96" spans="1:14" x14ac:dyDescent="0.3">
      <c r="A96" t="s">
        <v>700</v>
      </c>
      <c r="B96">
        <v>75</v>
      </c>
      <c r="C96">
        <v>0</v>
      </c>
      <c r="D96">
        <v>0</v>
      </c>
      <c r="F96">
        <v>0</v>
      </c>
      <c r="G96">
        <v>0</v>
      </c>
      <c r="I96">
        <v>0</v>
      </c>
      <c r="J96">
        <v>0</v>
      </c>
      <c r="L96">
        <v>0</v>
      </c>
      <c r="M96">
        <v>0</v>
      </c>
    </row>
    <row r="97" spans="1:14" x14ac:dyDescent="0.3">
      <c r="A97" t="s">
        <v>701</v>
      </c>
      <c r="B97">
        <v>75</v>
      </c>
      <c r="C97">
        <v>0</v>
      </c>
      <c r="D97">
        <v>0</v>
      </c>
      <c r="F97">
        <v>0</v>
      </c>
      <c r="G97">
        <v>0</v>
      </c>
      <c r="I97">
        <v>0</v>
      </c>
      <c r="J97">
        <v>0</v>
      </c>
      <c r="L97">
        <v>0</v>
      </c>
      <c r="M97">
        <v>0</v>
      </c>
    </row>
    <row r="98" spans="1:14" x14ac:dyDescent="0.3">
      <c r="A98" t="s">
        <v>702</v>
      </c>
      <c r="B98">
        <v>75</v>
      </c>
      <c r="C98">
        <v>1</v>
      </c>
      <c r="D98">
        <v>2</v>
      </c>
      <c r="F98">
        <v>1</v>
      </c>
      <c r="G98">
        <v>2</v>
      </c>
      <c r="I98">
        <v>1</v>
      </c>
      <c r="J98">
        <v>2</v>
      </c>
      <c r="L98">
        <v>1</v>
      </c>
      <c r="M98">
        <v>2</v>
      </c>
    </row>
    <row r="99" spans="1:14" x14ac:dyDescent="0.3">
      <c r="A99" t="s">
        <v>703</v>
      </c>
      <c r="B99">
        <v>75</v>
      </c>
      <c r="C99">
        <v>0</v>
      </c>
      <c r="D99">
        <v>0</v>
      </c>
      <c r="F99">
        <v>0</v>
      </c>
      <c r="G99">
        <v>0</v>
      </c>
      <c r="I99">
        <v>0</v>
      </c>
      <c r="J99">
        <v>0</v>
      </c>
      <c r="L99">
        <v>0</v>
      </c>
      <c r="M99">
        <v>0</v>
      </c>
    </row>
    <row r="100" spans="1:14" x14ac:dyDescent="0.3">
      <c r="A100" t="s">
        <v>704</v>
      </c>
      <c r="B100">
        <v>75</v>
      </c>
      <c r="C100">
        <v>20</v>
      </c>
      <c r="D100">
        <v>6</v>
      </c>
      <c r="F100">
        <v>20</v>
      </c>
      <c r="G100">
        <v>6</v>
      </c>
      <c r="I100">
        <v>20</v>
      </c>
      <c r="J100">
        <v>6</v>
      </c>
      <c r="L100">
        <v>20</v>
      </c>
      <c r="M100">
        <v>6</v>
      </c>
    </row>
    <row r="101" spans="1:14" x14ac:dyDescent="0.3">
      <c r="A101" t="s">
        <v>705</v>
      </c>
      <c r="B101">
        <v>75</v>
      </c>
      <c r="C101">
        <v>3</v>
      </c>
      <c r="D101">
        <v>3</v>
      </c>
      <c r="F101">
        <v>3</v>
      </c>
      <c r="G101">
        <v>3</v>
      </c>
      <c r="I101">
        <v>3</v>
      </c>
      <c r="J101">
        <v>3</v>
      </c>
      <c r="L101">
        <v>3</v>
      </c>
      <c r="M101">
        <v>3</v>
      </c>
    </row>
    <row r="102" spans="1:14" x14ac:dyDescent="0.3">
      <c r="A102" t="s">
        <v>706</v>
      </c>
      <c r="B102">
        <v>75</v>
      </c>
      <c r="C102">
        <v>0</v>
      </c>
      <c r="D102">
        <v>0</v>
      </c>
      <c r="F102">
        <v>0</v>
      </c>
      <c r="G102">
        <v>0</v>
      </c>
      <c r="I102">
        <v>0</v>
      </c>
      <c r="J102">
        <v>0</v>
      </c>
      <c r="L102">
        <v>0</v>
      </c>
      <c r="M102">
        <v>0</v>
      </c>
    </row>
    <row r="103" spans="1:14" x14ac:dyDescent="0.3">
      <c r="A103" t="s">
        <v>707</v>
      </c>
      <c r="B103">
        <v>75</v>
      </c>
      <c r="C103">
        <v>0</v>
      </c>
      <c r="D103">
        <v>0</v>
      </c>
      <c r="F103">
        <v>0</v>
      </c>
      <c r="G103">
        <v>0</v>
      </c>
      <c r="I103">
        <v>0</v>
      </c>
      <c r="J103">
        <v>0</v>
      </c>
      <c r="L103">
        <v>0</v>
      </c>
      <c r="M103">
        <v>0</v>
      </c>
    </row>
    <row r="104" spans="1:14" x14ac:dyDescent="0.3">
      <c r="A104" t="s">
        <v>708</v>
      </c>
      <c r="B104">
        <v>75</v>
      </c>
      <c r="C104">
        <v>0</v>
      </c>
      <c r="D104">
        <v>0</v>
      </c>
      <c r="F104">
        <v>0</v>
      </c>
      <c r="G104">
        <v>0</v>
      </c>
      <c r="I104">
        <v>0</v>
      </c>
      <c r="J104">
        <v>0</v>
      </c>
      <c r="L104">
        <v>0</v>
      </c>
      <c r="M104">
        <v>0</v>
      </c>
    </row>
    <row r="105" spans="1:14" x14ac:dyDescent="0.3">
      <c r="A105" t="s">
        <v>709</v>
      </c>
      <c r="B105">
        <v>75</v>
      </c>
      <c r="D105">
        <v>94</v>
      </c>
      <c r="G105">
        <v>94</v>
      </c>
      <c r="J105">
        <v>94</v>
      </c>
      <c r="M105">
        <v>94</v>
      </c>
    </row>
    <row r="106" spans="1:14" x14ac:dyDescent="0.3">
      <c r="A106" t="s">
        <v>710</v>
      </c>
      <c r="B106">
        <v>75</v>
      </c>
      <c r="D106">
        <v>6</v>
      </c>
      <c r="G106">
        <v>6</v>
      </c>
      <c r="J106">
        <v>6</v>
      </c>
      <c r="M106">
        <v>6</v>
      </c>
    </row>
    <row r="107" spans="1:14" x14ac:dyDescent="0.3">
      <c r="A107" t="s">
        <v>711</v>
      </c>
      <c r="B107">
        <v>75</v>
      </c>
      <c r="D107">
        <v>3</v>
      </c>
      <c r="G107">
        <v>3</v>
      </c>
      <c r="J107">
        <v>3</v>
      </c>
      <c r="M107">
        <v>3</v>
      </c>
    </row>
    <row r="108" spans="1:14" x14ac:dyDescent="0.3">
      <c r="A108" t="s">
        <v>712</v>
      </c>
      <c r="B108">
        <v>75</v>
      </c>
      <c r="D108">
        <v>0</v>
      </c>
      <c r="G108">
        <v>0</v>
      </c>
      <c r="J108">
        <v>0</v>
      </c>
      <c r="M108">
        <v>0</v>
      </c>
    </row>
    <row r="109" spans="1:14" x14ac:dyDescent="0.3">
      <c r="A109" t="s">
        <v>713</v>
      </c>
      <c r="B109">
        <v>75</v>
      </c>
      <c r="D109">
        <v>0</v>
      </c>
      <c r="G109">
        <v>0</v>
      </c>
      <c r="J109">
        <v>0</v>
      </c>
      <c r="M109">
        <v>0</v>
      </c>
    </row>
    <row r="110" spans="1:14" x14ac:dyDescent="0.3">
      <c r="A110" t="s">
        <v>405</v>
      </c>
      <c r="B110">
        <v>75</v>
      </c>
      <c r="D110">
        <v>0</v>
      </c>
    </row>
    <row r="111" spans="1:14" x14ac:dyDescent="0.3">
      <c r="A111" t="s">
        <v>714</v>
      </c>
      <c r="B111">
        <v>75</v>
      </c>
      <c r="C111">
        <v>73</v>
      </c>
      <c r="D111">
        <v>729</v>
      </c>
      <c r="E111">
        <v>0</v>
      </c>
      <c r="F111">
        <v>45</v>
      </c>
      <c r="G111">
        <v>590</v>
      </c>
      <c r="H111">
        <v>0</v>
      </c>
      <c r="I111">
        <v>5</v>
      </c>
      <c r="J111">
        <v>53</v>
      </c>
      <c r="K111">
        <v>0</v>
      </c>
      <c r="L111">
        <v>18</v>
      </c>
      <c r="M111">
        <v>30</v>
      </c>
      <c r="N111">
        <v>0</v>
      </c>
    </row>
    <row r="112" spans="1:14" x14ac:dyDescent="0.3">
      <c r="A112" t="s">
        <v>34</v>
      </c>
      <c r="B112">
        <v>78</v>
      </c>
      <c r="D112">
        <v>80</v>
      </c>
      <c r="E112">
        <v>80</v>
      </c>
      <c r="F112">
        <v>75</v>
      </c>
      <c r="G112">
        <v>75</v>
      </c>
      <c r="L112">
        <v>79</v>
      </c>
      <c r="N112">
        <v>79</v>
      </c>
    </row>
    <row r="113" spans="1:14" x14ac:dyDescent="0.3">
      <c r="A113" t="s">
        <v>35</v>
      </c>
      <c r="B113">
        <v>78</v>
      </c>
      <c r="D113">
        <v>75</v>
      </c>
      <c r="E113">
        <v>79</v>
      </c>
      <c r="F113">
        <v>79</v>
      </c>
      <c r="G113">
        <v>80</v>
      </c>
      <c r="L113">
        <v>80</v>
      </c>
      <c r="N113">
        <v>75</v>
      </c>
    </row>
    <row r="114" spans="1:14" x14ac:dyDescent="0.3">
      <c r="A114" t="s">
        <v>36</v>
      </c>
      <c r="B114">
        <v>78</v>
      </c>
      <c r="D114">
        <v>3</v>
      </c>
      <c r="E114">
        <v>0</v>
      </c>
      <c r="F114">
        <v>1</v>
      </c>
      <c r="G114">
        <v>2</v>
      </c>
      <c r="L114">
        <v>2</v>
      </c>
      <c r="N114">
        <v>0</v>
      </c>
    </row>
    <row r="115" spans="1:14" x14ac:dyDescent="0.3">
      <c r="A115" t="s">
        <v>37</v>
      </c>
      <c r="B115">
        <v>78</v>
      </c>
      <c r="D115">
        <v>2</v>
      </c>
      <c r="F115">
        <v>0</v>
      </c>
      <c r="G115">
        <v>0</v>
      </c>
      <c r="L115">
        <v>2</v>
      </c>
    </row>
    <row r="116" spans="1:14" x14ac:dyDescent="0.3">
      <c r="A116" t="s">
        <v>38</v>
      </c>
      <c r="B116">
        <v>78</v>
      </c>
      <c r="D116">
        <v>12</v>
      </c>
      <c r="E116">
        <v>12</v>
      </c>
      <c r="F116">
        <v>12</v>
      </c>
      <c r="G116">
        <v>12</v>
      </c>
      <c r="L116">
        <v>12</v>
      </c>
      <c r="N116">
        <v>12</v>
      </c>
    </row>
    <row r="117" spans="1:14" x14ac:dyDescent="0.3">
      <c r="A117" t="s">
        <v>39</v>
      </c>
      <c r="B117">
        <v>78</v>
      </c>
    </row>
    <row r="118" spans="1:14" x14ac:dyDescent="0.3">
      <c r="A118" t="s">
        <v>689</v>
      </c>
      <c r="B118">
        <v>78</v>
      </c>
    </row>
    <row r="119" spans="1:14" x14ac:dyDescent="0.3">
      <c r="A119" t="s">
        <v>40</v>
      </c>
      <c r="B119">
        <v>78</v>
      </c>
    </row>
    <row r="120" spans="1:14" x14ac:dyDescent="0.3">
      <c r="A120" t="s">
        <v>41</v>
      </c>
      <c r="B120">
        <v>78</v>
      </c>
    </row>
    <row r="121" spans="1:14" x14ac:dyDescent="0.3">
      <c r="A121" t="s">
        <v>42</v>
      </c>
      <c r="B121">
        <v>78</v>
      </c>
      <c r="D121">
        <v>45</v>
      </c>
      <c r="G121">
        <v>45</v>
      </c>
      <c r="L121">
        <v>45</v>
      </c>
    </row>
    <row r="122" spans="1:14" x14ac:dyDescent="0.3">
      <c r="A122" t="s">
        <v>45</v>
      </c>
      <c r="B122">
        <v>78</v>
      </c>
      <c r="D122">
        <v>2</v>
      </c>
      <c r="F122">
        <v>1</v>
      </c>
      <c r="G122">
        <v>6</v>
      </c>
      <c r="L122">
        <v>4</v>
      </c>
    </row>
    <row r="123" spans="1:14" x14ac:dyDescent="0.3">
      <c r="A123" t="s">
        <v>46</v>
      </c>
      <c r="B123">
        <v>78</v>
      </c>
      <c r="L123">
        <v>8</v>
      </c>
    </row>
    <row r="124" spans="1:14" x14ac:dyDescent="0.3">
      <c r="A124" t="s">
        <v>49</v>
      </c>
      <c r="B124">
        <v>78</v>
      </c>
      <c r="D124">
        <v>5.3</v>
      </c>
      <c r="E124">
        <v>4</v>
      </c>
      <c r="F124">
        <v>4</v>
      </c>
      <c r="G124">
        <v>5.3</v>
      </c>
      <c r="L124">
        <v>5.3</v>
      </c>
      <c r="N124">
        <v>4</v>
      </c>
    </row>
    <row r="125" spans="1:14" x14ac:dyDescent="0.3">
      <c r="A125" t="s">
        <v>690</v>
      </c>
      <c r="B125">
        <v>78</v>
      </c>
      <c r="D125">
        <v>0</v>
      </c>
      <c r="E125">
        <v>0</v>
      </c>
      <c r="F125">
        <v>0</v>
      </c>
      <c r="G125">
        <v>0</v>
      </c>
      <c r="L125">
        <v>0</v>
      </c>
      <c r="N125">
        <v>0</v>
      </c>
    </row>
    <row r="126" spans="1:14" x14ac:dyDescent="0.3">
      <c r="A126" t="s">
        <v>48</v>
      </c>
      <c r="B126">
        <v>78</v>
      </c>
      <c r="D126">
        <v>1900</v>
      </c>
      <c r="E126">
        <v>1900</v>
      </c>
      <c r="F126">
        <v>1900</v>
      </c>
      <c r="G126">
        <v>1900</v>
      </c>
      <c r="L126">
        <v>1900</v>
      </c>
      <c r="N126">
        <v>1900</v>
      </c>
    </row>
    <row r="127" spans="1:14" x14ac:dyDescent="0.3">
      <c r="A127" t="s">
        <v>691</v>
      </c>
      <c r="B127">
        <v>78</v>
      </c>
      <c r="D127">
        <v>5055</v>
      </c>
      <c r="E127">
        <v>0</v>
      </c>
      <c r="F127">
        <v>1770</v>
      </c>
      <c r="G127">
        <v>3539</v>
      </c>
      <c r="L127">
        <v>3204</v>
      </c>
      <c r="N127">
        <v>0</v>
      </c>
    </row>
    <row r="128" spans="1:14" x14ac:dyDescent="0.3">
      <c r="A128" t="s">
        <v>50</v>
      </c>
      <c r="B128">
        <v>78</v>
      </c>
      <c r="D128">
        <v>5055</v>
      </c>
      <c r="E128">
        <v>0</v>
      </c>
      <c r="F128">
        <v>1770</v>
      </c>
      <c r="G128">
        <v>3539</v>
      </c>
      <c r="L128">
        <v>3204</v>
      </c>
      <c r="N128">
        <v>0</v>
      </c>
    </row>
    <row r="129" spans="1:14" x14ac:dyDescent="0.3">
      <c r="A129" t="s">
        <v>692</v>
      </c>
      <c r="B129">
        <v>78</v>
      </c>
      <c r="D129">
        <v>1</v>
      </c>
      <c r="E129">
        <v>1</v>
      </c>
      <c r="F129">
        <v>1</v>
      </c>
      <c r="G129">
        <v>1</v>
      </c>
      <c r="L129">
        <v>1</v>
      </c>
      <c r="N129">
        <v>1</v>
      </c>
    </row>
    <row r="130" spans="1:14" x14ac:dyDescent="0.3">
      <c r="A130" t="s">
        <v>51</v>
      </c>
      <c r="B130">
        <v>78</v>
      </c>
      <c r="D130">
        <v>11</v>
      </c>
      <c r="E130">
        <v>0</v>
      </c>
      <c r="F130">
        <v>0</v>
      </c>
      <c r="G130">
        <v>0</v>
      </c>
      <c r="L130">
        <v>190</v>
      </c>
      <c r="N130">
        <v>0</v>
      </c>
    </row>
    <row r="131" spans="1:14" x14ac:dyDescent="0.3">
      <c r="A131" t="s">
        <v>53</v>
      </c>
      <c r="B131">
        <v>78</v>
      </c>
      <c r="D131">
        <v>1536</v>
      </c>
      <c r="E131">
        <v>61</v>
      </c>
      <c r="F131">
        <v>79</v>
      </c>
      <c r="G131">
        <v>1175</v>
      </c>
      <c r="L131">
        <v>93</v>
      </c>
      <c r="N131">
        <v>175</v>
      </c>
    </row>
    <row r="132" spans="1:14" x14ac:dyDescent="0.3">
      <c r="A132" t="s">
        <v>54</v>
      </c>
      <c r="B132">
        <v>78</v>
      </c>
      <c r="D132">
        <v>0</v>
      </c>
      <c r="E132">
        <v>0</v>
      </c>
      <c r="F132">
        <v>0</v>
      </c>
      <c r="G132">
        <v>0</v>
      </c>
      <c r="L132">
        <v>0</v>
      </c>
      <c r="N132">
        <v>0</v>
      </c>
    </row>
    <row r="133" spans="1:14" x14ac:dyDescent="0.3">
      <c r="A133" t="s">
        <v>55</v>
      </c>
      <c r="B133">
        <v>78</v>
      </c>
      <c r="D133">
        <v>0</v>
      </c>
      <c r="E133">
        <v>0</v>
      </c>
      <c r="F133">
        <v>0</v>
      </c>
      <c r="G133">
        <v>0</v>
      </c>
      <c r="L133">
        <v>0</v>
      </c>
      <c r="N133">
        <v>0</v>
      </c>
    </row>
    <row r="134" spans="1:14" x14ac:dyDescent="0.3">
      <c r="A134" t="s">
        <v>56</v>
      </c>
      <c r="B134">
        <v>78</v>
      </c>
      <c r="D134">
        <v>0.92</v>
      </c>
      <c r="E134">
        <v>0.92</v>
      </c>
      <c r="F134">
        <v>0.92</v>
      </c>
      <c r="G134">
        <v>0.92</v>
      </c>
      <c r="L134">
        <v>0.92</v>
      </c>
      <c r="N134">
        <v>0.92</v>
      </c>
    </row>
    <row r="135" spans="1:14" x14ac:dyDescent="0.3">
      <c r="A135" t="s">
        <v>57</v>
      </c>
      <c r="B135">
        <v>78</v>
      </c>
      <c r="D135">
        <v>100</v>
      </c>
      <c r="E135">
        <v>100</v>
      </c>
      <c r="F135">
        <v>100</v>
      </c>
      <c r="G135">
        <v>100</v>
      </c>
      <c r="L135">
        <v>100</v>
      </c>
      <c r="N135">
        <v>100</v>
      </c>
    </row>
    <row r="136" spans="1:14" x14ac:dyDescent="0.3">
      <c r="A136" t="s">
        <v>58</v>
      </c>
      <c r="B136">
        <v>78</v>
      </c>
      <c r="D136">
        <v>2</v>
      </c>
      <c r="E136">
        <v>2</v>
      </c>
      <c r="F136">
        <v>2</v>
      </c>
      <c r="G136">
        <v>2</v>
      </c>
      <c r="L136">
        <v>2</v>
      </c>
      <c r="N136">
        <v>2</v>
      </c>
    </row>
    <row r="137" spans="1:14" x14ac:dyDescent="0.3">
      <c r="A137" t="s">
        <v>59</v>
      </c>
      <c r="B137">
        <v>78</v>
      </c>
      <c r="D137">
        <v>0</v>
      </c>
      <c r="E137">
        <v>0</v>
      </c>
      <c r="F137">
        <v>0</v>
      </c>
      <c r="G137">
        <v>0</v>
      </c>
      <c r="L137">
        <v>0</v>
      </c>
      <c r="N137">
        <v>0</v>
      </c>
    </row>
    <row r="138" spans="1:14" x14ac:dyDescent="0.3">
      <c r="A138" t="s">
        <v>693</v>
      </c>
      <c r="B138">
        <v>78</v>
      </c>
      <c r="D138">
        <v>0</v>
      </c>
      <c r="G138">
        <v>0</v>
      </c>
      <c r="L138">
        <v>0</v>
      </c>
    </row>
    <row r="139" spans="1:14" x14ac:dyDescent="0.3">
      <c r="A139" t="s">
        <v>674</v>
      </c>
      <c r="B139">
        <v>78</v>
      </c>
      <c r="D139">
        <v>2660</v>
      </c>
      <c r="G139">
        <v>2307</v>
      </c>
      <c r="L139">
        <v>248</v>
      </c>
    </row>
    <row r="140" spans="1:14" x14ac:dyDescent="0.3">
      <c r="A140" t="s">
        <v>78</v>
      </c>
      <c r="B140">
        <v>78</v>
      </c>
      <c r="D140">
        <v>40.299999999999997</v>
      </c>
      <c r="G140">
        <v>35</v>
      </c>
      <c r="L140">
        <v>3.8</v>
      </c>
    </row>
    <row r="141" spans="1:14" x14ac:dyDescent="0.3">
      <c r="A141" t="s">
        <v>694</v>
      </c>
      <c r="B141">
        <v>78</v>
      </c>
      <c r="E141">
        <v>0</v>
      </c>
      <c r="G141">
        <v>0</v>
      </c>
      <c r="N141">
        <v>0</v>
      </c>
    </row>
    <row r="142" spans="1:14" x14ac:dyDescent="0.3">
      <c r="A142" t="s">
        <v>695</v>
      </c>
      <c r="B142">
        <v>78</v>
      </c>
      <c r="D142">
        <v>0</v>
      </c>
      <c r="E142">
        <v>1</v>
      </c>
      <c r="F142">
        <v>0</v>
      </c>
      <c r="G142">
        <v>0</v>
      </c>
      <c r="L142">
        <v>0</v>
      </c>
      <c r="N142">
        <v>1</v>
      </c>
    </row>
    <row r="143" spans="1:14" x14ac:dyDescent="0.3">
      <c r="A143" t="s">
        <v>696</v>
      </c>
      <c r="B143">
        <v>78</v>
      </c>
      <c r="D143">
        <v>0</v>
      </c>
      <c r="E143">
        <v>0</v>
      </c>
      <c r="F143">
        <v>0</v>
      </c>
      <c r="G143">
        <v>0</v>
      </c>
      <c r="L143">
        <v>0</v>
      </c>
      <c r="N143">
        <v>0</v>
      </c>
    </row>
    <row r="144" spans="1:14" x14ac:dyDescent="0.3">
      <c r="A144" t="s">
        <v>52</v>
      </c>
      <c r="B144">
        <v>78</v>
      </c>
      <c r="D144">
        <v>1</v>
      </c>
      <c r="E144">
        <v>1</v>
      </c>
      <c r="F144">
        <v>1</v>
      </c>
      <c r="G144">
        <v>1</v>
      </c>
      <c r="L144">
        <v>1</v>
      </c>
      <c r="N144">
        <v>1</v>
      </c>
    </row>
    <row r="145" spans="1:14" x14ac:dyDescent="0.3">
      <c r="A145" t="s">
        <v>697</v>
      </c>
      <c r="B145">
        <v>78</v>
      </c>
      <c r="D145">
        <v>60</v>
      </c>
      <c r="E145">
        <v>9</v>
      </c>
      <c r="F145">
        <v>15</v>
      </c>
      <c r="G145">
        <v>60</v>
      </c>
      <c r="L145">
        <v>15</v>
      </c>
      <c r="N145">
        <v>9</v>
      </c>
    </row>
    <row r="146" spans="1:14" x14ac:dyDescent="0.3">
      <c r="A146" t="s">
        <v>43</v>
      </c>
      <c r="B146">
        <v>78</v>
      </c>
      <c r="D146">
        <v>100</v>
      </c>
      <c r="F146">
        <v>20</v>
      </c>
      <c r="G146">
        <v>100</v>
      </c>
      <c r="L146">
        <v>20</v>
      </c>
    </row>
    <row r="147" spans="1:14" x14ac:dyDescent="0.3">
      <c r="A147" t="s">
        <v>44</v>
      </c>
      <c r="B147">
        <v>78</v>
      </c>
      <c r="D147">
        <v>0</v>
      </c>
      <c r="F147">
        <v>0</v>
      </c>
      <c r="G147">
        <v>0</v>
      </c>
      <c r="L147">
        <v>0</v>
      </c>
    </row>
    <row r="148" spans="1:14" x14ac:dyDescent="0.3">
      <c r="A148" t="s">
        <v>47</v>
      </c>
      <c r="B148">
        <v>78</v>
      </c>
      <c r="D148">
        <v>2</v>
      </c>
      <c r="F148">
        <v>1</v>
      </c>
      <c r="G148">
        <v>6</v>
      </c>
      <c r="L148">
        <v>4</v>
      </c>
    </row>
    <row r="149" spans="1:14" x14ac:dyDescent="0.3">
      <c r="A149" t="s">
        <v>698</v>
      </c>
      <c r="B149">
        <v>78</v>
      </c>
      <c r="D149">
        <v>0</v>
      </c>
      <c r="F149">
        <v>0</v>
      </c>
      <c r="G149">
        <v>0</v>
      </c>
      <c r="L149">
        <v>0</v>
      </c>
    </row>
    <row r="150" spans="1:14" x14ac:dyDescent="0.3">
      <c r="A150" t="s">
        <v>699</v>
      </c>
      <c r="B150">
        <v>78</v>
      </c>
      <c r="D150">
        <v>0</v>
      </c>
      <c r="F150">
        <v>0</v>
      </c>
      <c r="G150">
        <v>0</v>
      </c>
      <c r="L150">
        <v>0</v>
      </c>
    </row>
    <row r="151" spans="1:14" x14ac:dyDescent="0.3">
      <c r="A151" t="s">
        <v>700</v>
      </c>
      <c r="B151">
        <v>78</v>
      </c>
      <c r="D151">
        <v>0</v>
      </c>
      <c r="F151">
        <v>0</v>
      </c>
      <c r="G151">
        <v>0</v>
      </c>
      <c r="L151">
        <v>0</v>
      </c>
    </row>
    <row r="152" spans="1:14" x14ac:dyDescent="0.3">
      <c r="A152" t="s">
        <v>701</v>
      </c>
      <c r="B152">
        <v>78</v>
      </c>
      <c r="D152">
        <v>0</v>
      </c>
      <c r="F152">
        <v>0</v>
      </c>
      <c r="G152">
        <v>0</v>
      </c>
      <c r="L152">
        <v>0</v>
      </c>
    </row>
    <row r="153" spans="1:14" x14ac:dyDescent="0.3">
      <c r="A153" t="s">
        <v>702</v>
      </c>
      <c r="B153">
        <v>78</v>
      </c>
      <c r="D153">
        <v>2</v>
      </c>
      <c r="F153">
        <v>1</v>
      </c>
      <c r="G153">
        <v>2</v>
      </c>
      <c r="L153">
        <v>1</v>
      </c>
    </row>
    <row r="154" spans="1:14" x14ac:dyDescent="0.3">
      <c r="A154" t="s">
        <v>703</v>
      </c>
      <c r="B154">
        <v>78</v>
      </c>
      <c r="D154">
        <v>0</v>
      </c>
      <c r="F154">
        <v>0</v>
      </c>
      <c r="G154">
        <v>0</v>
      </c>
      <c r="L154">
        <v>0</v>
      </c>
    </row>
    <row r="155" spans="1:14" x14ac:dyDescent="0.3">
      <c r="A155" t="s">
        <v>704</v>
      </c>
      <c r="B155">
        <v>78</v>
      </c>
      <c r="D155">
        <v>6</v>
      </c>
      <c r="F155">
        <v>20</v>
      </c>
      <c r="G155">
        <v>6</v>
      </c>
      <c r="L155">
        <v>20</v>
      </c>
    </row>
    <row r="156" spans="1:14" x14ac:dyDescent="0.3">
      <c r="A156" t="s">
        <v>705</v>
      </c>
      <c r="B156">
        <v>78</v>
      </c>
      <c r="D156">
        <v>3</v>
      </c>
      <c r="F156">
        <v>3</v>
      </c>
      <c r="G156">
        <v>3</v>
      </c>
      <c r="L156">
        <v>3</v>
      </c>
    </row>
    <row r="157" spans="1:14" x14ac:dyDescent="0.3">
      <c r="A157" t="s">
        <v>706</v>
      </c>
      <c r="B157">
        <v>78</v>
      </c>
      <c r="D157">
        <v>0</v>
      </c>
      <c r="F157">
        <v>0</v>
      </c>
      <c r="G157">
        <v>0</v>
      </c>
      <c r="L157">
        <v>0</v>
      </c>
    </row>
    <row r="158" spans="1:14" x14ac:dyDescent="0.3">
      <c r="A158" t="s">
        <v>707</v>
      </c>
      <c r="B158">
        <v>78</v>
      </c>
      <c r="D158">
        <v>0</v>
      </c>
      <c r="F158">
        <v>0</v>
      </c>
      <c r="G158">
        <v>0</v>
      </c>
      <c r="L158">
        <v>0</v>
      </c>
    </row>
    <row r="159" spans="1:14" x14ac:dyDescent="0.3">
      <c r="A159" t="s">
        <v>708</v>
      </c>
      <c r="B159">
        <v>78</v>
      </c>
      <c r="D159">
        <v>0</v>
      </c>
      <c r="F159">
        <v>0</v>
      </c>
      <c r="G159">
        <v>0</v>
      </c>
      <c r="L159">
        <v>0</v>
      </c>
    </row>
    <row r="160" spans="1:14" x14ac:dyDescent="0.3">
      <c r="A160" t="s">
        <v>709</v>
      </c>
      <c r="B160">
        <v>78</v>
      </c>
      <c r="D160">
        <v>94</v>
      </c>
      <c r="G160">
        <v>94</v>
      </c>
    </row>
    <row r="161" spans="1:14" x14ac:dyDescent="0.3">
      <c r="A161" t="s">
        <v>710</v>
      </c>
      <c r="B161">
        <v>78</v>
      </c>
      <c r="D161">
        <v>6</v>
      </c>
      <c r="G161">
        <v>6</v>
      </c>
    </row>
    <row r="162" spans="1:14" x14ac:dyDescent="0.3">
      <c r="A162" t="s">
        <v>711</v>
      </c>
      <c r="B162">
        <v>78</v>
      </c>
      <c r="D162">
        <v>3</v>
      </c>
      <c r="G162">
        <v>3</v>
      </c>
    </row>
    <row r="163" spans="1:14" x14ac:dyDescent="0.3">
      <c r="A163" t="s">
        <v>712</v>
      </c>
      <c r="B163">
        <v>78</v>
      </c>
      <c r="D163">
        <v>0</v>
      </c>
      <c r="G163">
        <v>0</v>
      </c>
    </row>
    <row r="164" spans="1:14" x14ac:dyDescent="0.3">
      <c r="A164" t="s">
        <v>713</v>
      </c>
      <c r="B164">
        <v>78</v>
      </c>
      <c r="D164">
        <v>0</v>
      </c>
      <c r="G164">
        <v>0</v>
      </c>
      <c r="L164">
        <v>0</v>
      </c>
    </row>
    <row r="165" spans="1:14" x14ac:dyDescent="0.3">
      <c r="A165" t="s">
        <v>405</v>
      </c>
      <c r="B165">
        <v>78</v>
      </c>
      <c r="D165">
        <v>0</v>
      </c>
    </row>
    <row r="166" spans="1:14" x14ac:dyDescent="0.3">
      <c r="A166" t="s">
        <v>714</v>
      </c>
      <c r="B166">
        <v>78</v>
      </c>
      <c r="D166">
        <v>1736</v>
      </c>
      <c r="E166">
        <v>0</v>
      </c>
      <c r="F166">
        <v>86</v>
      </c>
      <c r="G166">
        <v>1277</v>
      </c>
      <c r="L166">
        <v>291</v>
      </c>
      <c r="N166">
        <v>0</v>
      </c>
    </row>
    <row r="167" spans="1:14" x14ac:dyDescent="0.3">
      <c r="A167" t="s">
        <v>34</v>
      </c>
      <c r="B167">
        <v>80</v>
      </c>
      <c r="D167">
        <v>82</v>
      </c>
      <c r="E167">
        <v>82</v>
      </c>
      <c r="F167">
        <v>78</v>
      </c>
      <c r="G167">
        <v>78</v>
      </c>
      <c r="L167">
        <v>81</v>
      </c>
      <c r="N167">
        <v>81</v>
      </c>
    </row>
    <row r="168" spans="1:14" x14ac:dyDescent="0.3">
      <c r="A168" t="s">
        <v>35</v>
      </c>
      <c r="B168">
        <v>80</v>
      </c>
      <c r="D168">
        <v>78</v>
      </c>
      <c r="E168">
        <v>81</v>
      </c>
      <c r="F168">
        <v>81</v>
      </c>
      <c r="G168">
        <v>82</v>
      </c>
      <c r="L168">
        <v>82</v>
      </c>
      <c r="N168">
        <v>78</v>
      </c>
    </row>
    <row r="169" spans="1:14" x14ac:dyDescent="0.3">
      <c r="A169" t="s">
        <v>36</v>
      </c>
      <c r="B169">
        <v>80</v>
      </c>
      <c r="D169">
        <v>2</v>
      </c>
      <c r="E169">
        <v>0</v>
      </c>
      <c r="F169">
        <v>1</v>
      </c>
      <c r="G169">
        <v>2</v>
      </c>
      <c r="L169">
        <v>1</v>
      </c>
      <c r="N169">
        <v>0</v>
      </c>
    </row>
    <row r="170" spans="1:14" x14ac:dyDescent="0.3">
      <c r="A170" t="s">
        <v>37</v>
      </c>
      <c r="B170">
        <v>80</v>
      </c>
      <c r="D170">
        <v>2</v>
      </c>
      <c r="F170">
        <v>0</v>
      </c>
      <c r="G170">
        <v>0</v>
      </c>
      <c r="L170">
        <v>2</v>
      </c>
    </row>
    <row r="171" spans="1:14" x14ac:dyDescent="0.3">
      <c r="A171" t="s">
        <v>38</v>
      </c>
      <c r="B171">
        <v>80</v>
      </c>
      <c r="D171">
        <v>12</v>
      </c>
      <c r="E171">
        <v>12</v>
      </c>
      <c r="F171">
        <v>12</v>
      </c>
      <c r="G171">
        <v>12</v>
      </c>
      <c r="L171">
        <v>12</v>
      </c>
      <c r="N171">
        <v>12</v>
      </c>
    </row>
    <row r="172" spans="1:14" x14ac:dyDescent="0.3">
      <c r="A172" t="s">
        <v>39</v>
      </c>
      <c r="B172">
        <v>80</v>
      </c>
    </row>
    <row r="173" spans="1:14" x14ac:dyDescent="0.3">
      <c r="A173" t="s">
        <v>689</v>
      </c>
      <c r="B173">
        <v>80</v>
      </c>
    </row>
    <row r="174" spans="1:14" x14ac:dyDescent="0.3">
      <c r="A174" t="s">
        <v>40</v>
      </c>
      <c r="B174">
        <v>80</v>
      </c>
    </row>
    <row r="175" spans="1:14" x14ac:dyDescent="0.3">
      <c r="A175" t="s">
        <v>41</v>
      </c>
      <c r="B175">
        <v>80</v>
      </c>
    </row>
    <row r="176" spans="1:14" x14ac:dyDescent="0.3">
      <c r="A176" t="s">
        <v>42</v>
      </c>
      <c r="B176">
        <v>80</v>
      </c>
      <c r="D176">
        <v>45</v>
      </c>
      <c r="G176">
        <v>45</v>
      </c>
      <c r="L176">
        <v>45</v>
      </c>
    </row>
    <row r="177" spans="1:14" x14ac:dyDescent="0.3">
      <c r="A177" t="s">
        <v>45</v>
      </c>
      <c r="B177">
        <v>80</v>
      </c>
      <c r="D177">
        <v>2</v>
      </c>
      <c r="G177">
        <v>6</v>
      </c>
      <c r="L177">
        <v>8</v>
      </c>
    </row>
    <row r="178" spans="1:14" x14ac:dyDescent="0.3">
      <c r="A178" t="s">
        <v>46</v>
      </c>
      <c r="B178">
        <v>80</v>
      </c>
      <c r="F178">
        <v>6</v>
      </c>
    </row>
    <row r="179" spans="1:14" x14ac:dyDescent="0.3">
      <c r="A179" t="s">
        <v>49</v>
      </c>
      <c r="B179">
        <v>80</v>
      </c>
      <c r="D179">
        <v>4.5</v>
      </c>
      <c r="E179">
        <v>4</v>
      </c>
      <c r="F179">
        <v>4.5</v>
      </c>
      <c r="G179">
        <v>4.5</v>
      </c>
      <c r="L179">
        <v>4.5</v>
      </c>
      <c r="N179">
        <v>4</v>
      </c>
    </row>
    <row r="180" spans="1:14" x14ac:dyDescent="0.3">
      <c r="A180" t="s">
        <v>690</v>
      </c>
      <c r="B180">
        <v>80</v>
      </c>
      <c r="D180">
        <v>0</v>
      </c>
      <c r="E180">
        <v>0</v>
      </c>
      <c r="F180">
        <v>0</v>
      </c>
      <c r="G180">
        <v>0</v>
      </c>
      <c r="L180">
        <v>0</v>
      </c>
      <c r="N180">
        <v>0</v>
      </c>
    </row>
    <row r="181" spans="1:14" x14ac:dyDescent="0.3">
      <c r="A181" t="s">
        <v>48</v>
      </c>
      <c r="B181">
        <v>80</v>
      </c>
      <c r="D181">
        <v>1900</v>
      </c>
      <c r="E181">
        <v>1900</v>
      </c>
      <c r="F181">
        <v>1900</v>
      </c>
      <c r="G181">
        <v>1900</v>
      </c>
      <c r="L181">
        <v>1900</v>
      </c>
      <c r="N181">
        <v>1900</v>
      </c>
    </row>
    <row r="182" spans="1:14" x14ac:dyDescent="0.3">
      <c r="A182" t="s">
        <v>691</v>
      </c>
      <c r="B182">
        <v>80</v>
      </c>
      <c r="D182">
        <v>3518</v>
      </c>
      <c r="E182">
        <v>0</v>
      </c>
      <c r="F182">
        <v>1770</v>
      </c>
      <c r="G182">
        <v>3539</v>
      </c>
      <c r="L182">
        <v>1668</v>
      </c>
      <c r="N182">
        <v>0</v>
      </c>
    </row>
    <row r="183" spans="1:14" x14ac:dyDescent="0.3">
      <c r="A183" t="s">
        <v>50</v>
      </c>
      <c r="B183">
        <v>80</v>
      </c>
      <c r="D183">
        <v>3518</v>
      </c>
      <c r="E183">
        <v>0</v>
      </c>
      <c r="F183">
        <v>414</v>
      </c>
      <c r="G183">
        <v>3539</v>
      </c>
      <c r="L183">
        <v>1668</v>
      </c>
      <c r="N183">
        <v>0</v>
      </c>
    </row>
    <row r="184" spans="1:14" x14ac:dyDescent="0.3">
      <c r="A184" t="s">
        <v>692</v>
      </c>
      <c r="B184">
        <v>80</v>
      </c>
      <c r="D184">
        <v>1</v>
      </c>
      <c r="E184">
        <v>1</v>
      </c>
      <c r="F184">
        <v>1</v>
      </c>
      <c r="G184">
        <v>1</v>
      </c>
      <c r="L184">
        <v>1</v>
      </c>
      <c r="N184">
        <v>1</v>
      </c>
    </row>
    <row r="185" spans="1:14" x14ac:dyDescent="0.3">
      <c r="A185" t="s">
        <v>51</v>
      </c>
      <c r="B185">
        <v>80</v>
      </c>
      <c r="D185">
        <v>10</v>
      </c>
      <c r="E185">
        <v>0</v>
      </c>
      <c r="F185">
        <v>0</v>
      </c>
      <c r="G185">
        <v>0</v>
      </c>
      <c r="L185">
        <v>21</v>
      </c>
      <c r="N185">
        <v>0</v>
      </c>
    </row>
    <row r="186" spans="1:14" x14ac:dyDescent="0.3">
      <c r="A186" t="s">
        <v>53</v>
      </c>
      <c r="B186">
        <v>80</v>
      </c>
      <c r="D186">
        <v>1063</v>
      </c>
      <c r="E186">
        <v>42</v>
      </c>
      <c r="F186">
        <v>48</v>
      </c>
      <c r="G186">
        <v>712</v>
      </c>
      <c r="L186">
        <v>27</v>
      </c>
      <c r="N186">
        <v>52</v>
      </c>
    </row>
    <row r="187" spans="1:14" x14ac:dyDescent="0.3">
      <c r="A187" t="s">
        <v>54</v>
      </c>
      <c r="B187">
        <v>80</v>
      </c>
      <c r="D187">
        <v>0</v>
      </c>
      <c r="E187">
        <v>0</v>
      </c>
      <c r="F187">
        <v>0</v>
      </c>
      <c r="G187">
        <v>0</v>
      </c>
      <c r="L187">
        <v>0</v>
      </c>
      <c r="N187">
        <v>0</v>
      </c>
    </row>
    <row r="188" spans="1:14" x14ac:dyDescent="0.3">
      <c r="A188" t="s">
        <v>55</v>
      </c>
      <c r="B188">
        <v>80</v>
      </c>
      <c r="D188">
        <v>0</v>
      </c>
      <c r="E188">
        <v>0</v>
      </c>
      <c r="F188">
        <v>0</v>
      </c>
      <c r="G188">
        <v>0</v>
      </c>
      <c r="L188">
        <v>0</v>
      </c>
      <c r="N188">
        <v>0</v>
      </c>
    </row>
    <row r="189" spans="1:14" x14ac:dyDescent="0.3">
      <c r="A189" t="s">
        <v>56</v>
      </c>
      <c r="B189">
        <v>80</v>
      </c>
      <c r="D189">
        <v>0.92</v>
      </c>
      <c r="E189">
        <v>0.92</v>
      </c>
      <c r="F189">
        <v>0.92</v>
      </c>
      <c r="G189">
        <v>0.92</v>
      </c>
      <c r="L189">
        <v>0.92</v>
      </c>
      <c r="N189">
        <v>0.92</v>
      </c>
    </row>
    <row r="190" spans="1:14" x14ac:dyDescent="0.3">
      <c r="A190" t="s">
        <v>57</v>
      </c>
      <c r="B190">
        <v>80</v>
      </c>
      <c r="D190">
        <v>100</v>
      </c>
      <c r="E190">
        <v>100</v>
      </c>
      <c r="F190">
        <v>100</v>
      </c>
      <c r="G190">
        <v>100</v>
      </c>
      <c r="L190">
        <v>100</v>
      </c>
      <c r="N190">
        <v>100</v>
      </c>
    </row>
    <row r="191" spans="1:14" x14ac:dyDescent="0.3">
      <c r="A191" t="s">
        <v>58</v>
      </c>
      <c r="B191">
        <v>80</v>
      </c>
      <c r="D191">
        <v>2</v>
      </c>
      <c r="E191">
        <v>2</v>
      </c>
      <c r="F191">
        <v>2</v>
      </c>
      <c r="G191">
        <v>2</v>
      </c>
      <c r="L191">
        <v>2</v>
      </c>
      <c r="N191">
        <v>2</v>
      </c>
    </row>
    <row r="192" spans="1:14" x14ac:dyDescent="0.3">
      <c r="A192" t="s">
        <v>59</v>
      </c>
      <c r="B192">
        <v>80</v>
      </c>
      <c r="D192">
        <v>0</v>
      </c>
      <c r="E192">
        <v>0</v>
      </c>
      <c r="F192">
        <v>0</v>
      </c>
      <c r="G192">
        <v>0</v>
      </c>
      <c r="L192">
        <v>0</v>
      </c>
      <c r="N192">
        <v>0</v>
      </c>
    </row>
    <row r="193" spans="1:14" x14ac:dyDescent="0.3">
      <c r="A193" t="s">
        <v>693</v>
      </c>
      <c r="B193">
        <v>80</v>
      </c>
      <c r="D193">
        <v>0</v>
      </c>
      <c r="G193">
        <v>0</v>
      </c>
      <c r="L193">
        <v>0</v>
      </c>
    </row>
    <row r="194" spans="1:14" x14ac:dyDescent="0.3">
      <c r="A194" t="s">
        <v>674</v>
      </c>
      <c r="B194">
        <v>80</v>
      </c>
      <c r="D194">
        <v>2660</v>
      </c>
      <c r="G194">
        <v>2660</v>
      </c>
      <c r="L194">
        <v>284</v>
      </c>
    </row>
    <row r="195" spans="1:14" x14ac:dyDescent="0.3">
      <c r="A195" t="s">
        <v>78</v>
      </c>
      <c r="B195">
        <v>80</v>
      </c>
      <c r="D195">
        <v>40.299999999999997</v>
      </c>
      <c r="G195">
        <v>40.299999999999997</v>
      </c>
      <c r="L195">
        <v>4.3</v>
      </c>
    </row>
    <row r="196" spans="1:14" x14ac:dyDescent="0.3">
      <c r="A196" t="s">
        <v>694</v>
      </c>
      <c r="B196">
        <v>80</v>
      </c>
      <c r="E196">
        <v>0</v>
      </c>
      <c r="G196">
        <v>0</v>
      </c>
      <c r="N196">
        <v>0</v>
      </c>
    </row>
    <row r="197" spans="1:14" x14ac:dyDescent="0.3">
      <c r="A197" t="s">
        <v>695</v>
      </c>
      <c r="B197">
        <v>80</v>
      </c>
      <c r="D197">
        <v>0</v>
      </c>
      <c r="E197">
        <v>1</v>
      </c>
      <c r="F197">
        <v>0</v>
      </c>
      <c r="G197">
        <v>0</v>
      </c>
      <c r="L197">
        <v>0</v>
      </c>
      <c r="N197">
        <v>1</v>
      </c>
    </row>
    <row r="198" spans="1:14" x14ac:dyDescent="0.3">
      <c r="A198" t="s">
        <v>696</v>
      </c>
      <c r="B198">
        <v>80</v>
      </c>
      <c r="D198">
        <v>0</v>
      </c>
      <c r="E198">
        <v>0</v>
      </c>
      <c r="F198">
        <v>0</v>
      </c>
      <c r="G198">
        <v>0</v>
      </c>
      <c r="L198">
        <v>0</v>
      </c>
      <c r="N198">
        <v>0</v>
      </c>
    </row>
    <row r="199" spans="1:14" x14ac:dyDescent="0.3">
      <c r="A199" t="s">
        <v>52</v>
      </c>
      <c r="B199">
        <v>80</v>
      </c>
      <c r="D199">
        <v>1</v>
      </c>
      <c r="E199">
        <v>1</v>
      </c>
      <c r="F199">
        <v>1</v>
      </c>
      <c r="G199">
        <v>1</v>
      </c>
      <c r="L199">
        <v>1</v>
      </c>
      <c r="N199">
        <v>1</v>
      </c>
    </row>
    <row r="200" spans="1:14" x14ac:dyDescent="0.3">
      <c r="A200" t="s">
        <v>697</v>
      </c>
      <c r="B200">
        <v>80</v>
      </c>
      <c r="D200">
        <v>60</v>
      </c>
      <c r="E200">
        <v>9</v>
      </c>
      <c r="F200">
        <v>15</v>
      </c>
      <c r="G200">
        <v>60</v>
      </c>
      <c r="L200">
        <v>15</v>
      </c>
      <c r="N200">
        <v>9</v>
      </c>
    </row>
    <row r="201" spans="1:14" x14ac:dyDescent="0.3">
      <c r="A201" t="s">
        <v>43</v>
      </c>
      <c r="B201">
        <v>80</v>
      </c>
      <c r="D201">
        <v>100</v>
      </c>
      <c r="F201">
        <v>20</v>
      </c>
      <c r="G201">
        <v>100</v>
      </c>
      <c r="L201">
        <v>20</v>
      </c>
    </row>
    <row r="202" spans="1:14" x14ac:dyDescent="0.3">
      <c r="A202" t="s">
        <v>44</v>
      </c>
      <c r="B202">
        <v>80</v>
      </c>
      <c r="D202">
        <v>0</v>
      </c>
      <c r="F202">
        <v>0</v>
      </c>
      <c r="G202">
        <v>0</v>
      </c>
      <c r="L202">
        <v>0</v>
      </c>
    </row>
    <row r="203" spans="1:14" x14ac:dyDescent="0.3">
      <c r="A203" t="s">
        <v>47</v>
      </c>
      <c r="B203">
        <v>80</v>
      </c>
      <c r="D203">
        <v>2</v>
      </c>
      <c r="F203">
        <v>6</v>
      </c>
      <c r="G203">
        <v>6</v>
      </c>
      <c r="L203">
        <v>8</v>
      </c>
    </row>
    <row r="204" spans="1:14" x14ac:dyDescent="0.3">
      <c r="A204" t="s">
        <v>698</v>
      </c>
      <c r="B204">
        <v>80</v>
      </c>
      <c r="D204">
        <v>0</v>
      </c>
      <c r="F204">
        <v>0</v>
      </c>
      <c r="G204">
        <v>0</v>
      </c>
      <c r="L204">
        <v>0</v>
      </c>
    </row>
    <row r="205" spans="1:14" x14ac:dyDescent="0.3">
      <c r="A205" t="s">
        <v>699</v>
      </c>
      <c r="B205">
        <v>80</v>
      </c>
      <c r="D205">
        <v>0</v>
      </c>
      <c r="F205">
        <v>0</v>
      </c>
      <c r="G205">
        <v>0</v>
      </c>
      <c r="L205">
        <v>0</v>
      </c>
    </row>
    <row r="206" spans="1:14" x14ac:dyDescent="0.3">
      <c r="A206" t="s">
        <v>700</v>
      </c>
      <c r="B206">
        <v>80</v>
      </c>
      <c r="D206">
        <v>0</v>
      </c>
      <c r="F206">
        <v>0</v>
      </c>
      <c r="G206">
        <v>0</v>
      </c>
      <c r="L206">
        <v>0</v>
      </c>
    </row>
    <row r="207" spans="1:14" x14ac:dyDescent="0.3">
      <c r="A207" t="s">
        <v>701</v>
      </c>
      <c r="B207">
        <v>80</v>
      </c>
      <c r="D207">
        <v>0</v>
      </c>
      <c r="F207">
        <v>0</v>
      </c>
      <c r="G207">
        <v>0</v>
      </c>
      <c r="L207">
        <v>0</v>
      </c>
    </row>
    <row r="208" spans="1:14" x14ac:dyDescent="0.3">
      <c r="A208" t="s">
        <v>702</v>
      </c>
      <c r="B208">
        <v>80</v>
      </c>
      <c r="D208">
        <v>2</v>
      </c>
      <c r="F208">
        <v>1</v>
      </c>
      <c r="G208">
        <v>2</v>
      </c>
      <c r="L208">
        <v>1</v>
      </c>
    </row>
    <row r="209" spans="1:14" x14ac:dyDescent="0.3">
      <c r="A209" t="s">
        <v>703</v>
      </c>
      <c r="B209">
        <v>80</v>
      </c>
      <c r="D209">
        <v>0</v>
      </c>
      <c r="F209">
        <v>0</v>
      </c>
      <c r="G209">
        <v>0</v>
      </c>
      <c r="L209">
        <v>0</v>
      </c>
    </row>
    <row r="210" spans="1:14" x14ac:dyDescent="0.3">
      <c r="A210" t="s">
        <v>704</v>
      </c>
      <c r="B210">
        <v>80</v>
      </c>
      <c r="D210">
        <v>6</v>
      </c>
      <c r="F210">
        <v>20</v>
      </c>
      <c r="G210">
        <v>6</v>
      </c>
      <c r="L210">
        <v>20</v>
      </c>
    </row>
    <row r="211" spans="1:14" x14ac:dyDescent="0.3">
      <c r="A211" t="s">
        <v>705</v>
      </c>
      <c r="B211">
        <v>80</v>
      </c>
      <c r="D211">
        <v>3</v>
      </c>
      <c r="F211">
        <v>3</v>
      </c>
      <c r="G211">
        <v>3</v>
      </c>
      <c r="L211">
        <v>3</v>
      </c>
    </row>
    <row r="212" spans="1:14" x14ac:dyDescent="0.3">
      <c r="A212" t="s">
        <v>706</v>
      </c>
      <c r="B212">
        <v>80</v>
      </c>
      <c r="D212">
        <v>0</v>
      </c>
      <c r="F212">
        <v>0</v>
      </c>
      <c r="G212">
        <v>0</v>
      </c>
      <c r="L212">
        <v>0</v>
      </c>
    </row>
    <row r="213" spans="1:14" x14ac:dyDescent="0.3">
      <c r="A213" t="s">
        <v>707</v>
      </c>
      <c r="B213">
        <v>80</v>
      </c>
      <c r="D213">
        <v>0</v>
      </c>
      <c r="F213">
        <v>0</v>
      </c>
      <c r="G213">
        <v>0</v>
      </c>
      <c r="L213">
        <v>0</v>
      </c>
    </row>
    <row r="214" spans="1:14" x14ac:dyDescent="0.3">
      <c r="A214" t="s">
        <v>708</v>
      </c>
      <c r="B214">
        <v>80</v>
      </c>
      <c r="D214">
        <v>0</v>
      </c>
      <c r="F214">
        <v>0</v>
      </c>
      <c r="G214">
        <v>0</v>
      </c>
      <c r="L214">
        <v>0</v>
      </c>
    </row>
    <row r="215" spans="1:14" x14ac:dyDescent="0.3">
      <c r="A215" t="s">
        <v>709</v>
      </c>
      <c r="B215">
        <v>80</v>
      </c>
      <c r="D215">
        <v>94</v>
      </c>
      <c r="G215">
        <v>94</v>
      </c>
    </row>
    <row r="216" spans="1:14" x14ac:dyDescent="0.3">
      <c r="A216" t="s">
        <v>710</v>
      </c>
      <c r="B216">
        <v>80</v>
      </c>
      <c r="D216">
        <v>6</v>
      </c>
      <c r="G216">
        <v>6</v>
      </c>
    </row>
    <row r="217" spans="1:14" x14ac:dyDescent="0.3">
      <c r="A217" t="s">
        <v>711</v>
      </c>
      <c r="B217">
        <v>80</v>
      </c>
      <c r="D217">
        <v>3</v>
      </c>
      <c r="G217">
        <v>3</v>
      </c>
    </row>
    <row r="218" spans="1:14" x14ac:dyDescent="0.3">
      <c r="A218" t="s">
        <v>712</v>
      </c>
      <c r="B218">
        <v>80</v>
      </c>
      <c r="D218">
        <v>0</v>
      </c>
      <c r="G218">
        <v>0</v>
      </c>
    </row>
    <row r="219" spans="1:14" x14ac:dyDescent="0.3">
      <c r="A219" t="s">
        <v>713</v>
      </c>
      <c r="B219">
        <v>80</v>
      </c>
      <c r="D219">
        <v>0</v>
      </c>
      <c r="G219">
        <v>0</v>
      </c>
      <c r="L219">
        <v>0</v>
      </c>
    </row>
    <row r="220" spans="1:14" x14ac:dyDescent="0.3">
      <c r="A220" t="s">
        <v>405</v>
      </c>
      <c r="B220">
        <v>80</v>
      </c>
      <c r="D220">
        <v>0</v>
      </c>
    </row>
    <row r="221" spans="1:14" x14ac:dyDescent="0.3">
      <c r="A221" t="s">
        <v>714</v>
      </c>
      <c r="B221">
        <v>80</v>
      </c>
      <c r="D221">
        <v>1201</v>
      </c>
      <c r="E221">
        <v>0</v>
      </c>
      <c r="F221">
        <v>52</v>
      </c>
      <c r="G221">
        <v>774</v>
      </c>
      <c r="L221">
        <v>86</v>
      </c>
      <c r="N221">
        <v>0</v>
      </c>
    </row>
    <row r="222" spans="1:14" x14ac:dyDescent="0.3">
      <c r="A222" t="s">
        <v>34</v>
      </c>
      <c r="B222">
        <v>82</v>
      </c>
      <c r="D222">
        <v>84</v>
      </c>
      <c r="E222">
        <v>84</v>
      </c>
      <c r="F222">
        <v>80</v>
      </c>
      <c r="G222">
        <v>80</v>
      </c>
      <c r="L222">
        <v>83</v>
      </c>
      <c r="N222">
        <v>83</v>
      </c>
    </row>
    <row r="223" spans="1:14" x14ac:dyDescent="0.3">
      <c r="A223" t="s">
        <v>35</v>
      </c>
      <c r="B223">
        <v>82</v>
      </c>
      <c r="D223">
        <v>80</v>
      </c>
      <c r="E223">
        <v>83</v>
      </c>
      <c r="F223">
        <v>83</v>
      </c>
      <c r="G223">
        <v>84</v>
      </c>
      <c r="L223">
        <v>84</v>
      </c>
      <c r="N223">
        <v>80</v>
      </c>
    </row>
    <row r="224" spans="1:14" x14ac:dyDescent="0.3">
      <c r="A224" t="s">
        <v>36</v>
      </c>
      <c r="B224">
        <v>82</v>
      </c>
      <c r="D224">
        <v>2</v>
      </c>
      <c r="E224">
        <v>0</v>
      </c>
      <c r="F224">
        <v>1</v>
      </c>
      <c r="G224">
        <v>2</v>
      </c>
      <c r="L224">
        <v>1</v>
      </c>
      <c r="N224">
        <v>0</v>
      </c>
    </row>
    <row r="225" spans="1:14" x14ac:dyDescent="0.3">
      <c r="A225" t="s">
        <v>37</v>
      </c>
      <c r="B225">
        <v>82</v>
      </c>
      <c r="D225">
        <v>2</v>
      </c>
      <c r="F225">
        <v>0</v>
      </c>
      <c r="G225">
        <v>0</v>
      </c>
      <c r="L225">
        <v>2</v>
      </c>
    </row>
    <row r="226" spans="1:14" x14ac:dyDescent="0.3">
      <c r="A226" t="s">
        <v>38</v>
      </c>
      <c r="B226">
        <v>82</v>
      </c>
      <c r="D226">
        <v>12</v>
      </c>
      <c r="E226">
        <v>12</v>
      </c>
      <c r="F226">
        <v>12</v>
      </c>
      <c r="G226">
        <v>12</v>
      </c>
      <c r="L226">
        <v>12</v>
      </c>
      <c r="N226">
        <v>12</v>
      </c>
    </row>
    <row r="227" spans="1:14" x14ac:dyDescent="0.3">
      <c r="A227" t="s">
        <v>39</v>
      </c>
      <c r="B227">
        <v>82</v>
      </c>
    </row>
    <row r="228" spans="1:14" x14ac:dyDescent="0.3">
      <c r="A228" t="s">
        <v>689</v>
      </c>
      <c r="B228">
        <v>82</v>
      </c>
    </row>
    <row r="229" spans="1:14" x14ac:dyDescent="0.3">
      <c r="A229" t="s">
        <v>40</v>
      </c>
      <c r="B229">
        <v>82</v>
      </c>
    </row>
    <row r="230" spans="1:14" x14ac:dyDescent="0.3">
      <c r="A230" t="s">
        <v>41</v>
      </c>
      <c r="B230">
        <v>82</v>
      </c>
    </row>
    <row r="231" spans="1:14" x14ac:dyDescent="0.3">
      <c r="A231" t="s">
        <v>42</v>
      </c>
      <c r="B231">
        <v>82</v>
      </c>
      <c r="D231">
        <v>45</v>
      </c>
      <c r="G231">
        <v>45</v>
      </c>
      <c r="L231">
        <v>45</v>
      </c>
    </row>
    <row r="232" spans="1:14" x14ac:dyDescent="0.3">
      <c r="A232" t="s">
        <v>45</v>
      </c>
      <c r="B232">
        <v>82</v>
      </c>
      <c r="D232">
        <v>2</v>
      </c>
      <c r="F232">
        <v>1</v>
      </c>
      <c r="G232">
        <v>6</v>
      </c>
      <c r="L232">
        <v>4</v>
      </c>
    </row>
    <row r="233" spans="1:14" x14ac:dyDescent="0.3">
      <c r="A233" t="s">
        <v>49</v>
      </c>
      <c r="B233">
        <v>82</v>
      </c>
      <c r="D233">
        <v>5.3</v>
      </c>
      <c r="E233">
        <v>4</v>
      </c>
      <c r="F233">
        <v>4</v>
      </c>
      <c r="G233">
        <v>5.3</v>
      </c>
      <c r="L233">
        <v>5.2</v>
      </c>
      <c r="N233">
        <v>4</v>
      </c>
    </row>
    <row r="234" spans="1:14" x14ac:dyDescent="0.3">
      <c r="A234" t="s">
        <v>690</v>
      </c>
      <c r="B234">
        <v>82</v>
      </c>
      <c r="D234">
        <v>0</v>
      </c>
      <c r="E234">
        <v>0</v>
      </c>
      <c r="F234">
        <v>0</v>
      </c>
      <c r="G234">
        <v>0</v>
      </c>
      <c r="L234">
        <v>0</v>
      </c>
      <c r="N234">
        <v>0</v>
      </c>
    </row>
    <row r="235" spans="1:14" x14ac:dyDescent="0.3">
      <c r="A235" t="s">
        <v>48</v>
      </c>
      <c r="B235">
        <v>82</v>
      </c>
      <c r="D235">
        <v>1900</v>
      </c>
      <c r="E235">
        <v>1900</v>
      </c>
      <c r="F235">
        <v>1900</v>
      </c>
      <c r="G235">
        <v>1900</v>
      </c>
      <c r="L235">
        <v>1900</v>
      </c>
      <c r="N235">
        <v>1900</v>
      </c>
    </row>
    <row r="236" spans="1:14" x14ac:dyDescent="0.3">
      <c r="A236" t="s">
        <v>691</v>
      </c>
      <c r="B236">
        <v>82</v>
      </c>
      <c r="D236">
        <v>3518</v>
      </c>
      <c r="E236">
        <v>0</v>
      </c>
      <c r="F236">
        <v>1770</v>
      </c>
      <c r="G236">
        <v>3539</v>
      </c>
      <c r="L236">
        <v>1670</v>
      </c>
      <c r="N236">
        <v>0</v>
      </c>
    </row>
    <row r="237" spans="1:14" x14ac:dyDescent="0.3">
      <c r="A237" t="s">
        <v>50</v>
      </c>
      <c r="B237">
        <v>82</v>
      </c>
      <c r="D237">
        <v>3518</v>
      </c>
      <c r="E237">
        <v>0</v>
      </c>
      <c r="F237">
        <v>1770</v>
      </c>
      <c r="G237">
        <v>3539</v>
      </c>
      <c r="L237">
        <v>1670</v>
      </c>
      <c r="N237">
        <v>0</v>
      </c>
    </row>
    <row r="238" spans="1:14" x14ac:dyDescent="0.3">
      <c r="A238" t="s">
        <v>692</v>
      </c>
      <c r="B238">
        <v>82</v>
      </c>
      <c r="D238">
        <v>1</v>
      </c>
      <c r="E238">
        <v>1</v>
      </c>
      <c r="F238">
        <v>1</v>
      </c>
      <c r="G238">
        <v>1</v>
      </c>
      <c r="L238">
        <v>1</v>
      </c>
      <c r="N238">
        <v>1</v>
      </c>
    </row>
    <row r="239" spans="1:14" x14ac:dyDescent="0.3">
      <c r="A239" t="s">
        <v>51</v>
      </c>
      <c r="B239">
        <v>82</v>
      </c>
      <c r="D239">
        <v>5</v>
      </c>
      <c r="E239">
        <v>0</v>
      </c>
      <c r="F239">
        <v>0</v>
      </c>
      <c r="G239">
        <v>0</v>
      </c>
      <c r="L239">
        <v>97</v>
      </c>
      <c r="N239">
        <v>0</v>
      </c>
    </row>
    <row r="240" spans="1:14" x14ac:dyDescent="0.3">
      <c r="A240" t="s">
        <v>53</v>
      </c>
      <c r="B240">
        <v>82</v>
      </c>
      <c r="D240">
        <v>1402</v>
      </c>
      <c r="E240">
        <v>56</v>
      </c>
      <c r="F240">
        <v>72</v>
      </c>
      <c r="G240">
        <v>1074</v>
      </c>
      <c r="L240">
        <v>102</v>
      </c>
      <c r="N240">
        <v>193</v>
      </c>
    </row>
    <row r="241" spans="1:14" x14ac:dyDescent="0.3">
      <c r="A241" t="s">
        <v>54</v>
      </c>
      <c r="B241">
        <v>82</v>
      </c>
      <c r="D241">
        <v>0</v>
      </c>
      <c r="E241">
        <v>0</v>
      </c>
      <c r="F241">
        <v>0</v>
      </c>
      <c r="G241">
        <v>0</v>
      </c>
      <c r="L241">
        <v>0</v>
      </c>
      <c r="N241">
        <v>0</v>
      </c>
    </row>
    <row r="242" spans="1:14" x14ac:dyDescent="0.3">
      <c r="A242" t="s">
        <v>55</v>
      </c>
      <c r="B242">
        <v>82</v>
      </c>
      <c r="D242">
        <v>0</v>
      </c>
      <c r="E242">
        <v>0</v>
      </c>
      <c r="F242">
        <v>0</v>
      </c>
      <c r="G242">
        <v>0</v>
      </c>
      <c r="L242">
        <v>0</v>
      </c>
      <c r="N242">
        <v>0</v>
      </c>
    </row>
    <row r="243" spans="1:14" x14ac:dyDescent="0.3">
      <c r="A243" t="s">
        <v>56</v>
      </c>
      <c r="B243">
        <v>82</v>
      </c>
      <c r="D243">
        <v>0.92</v>
      </c>
      <c r="E243">
        <v>0.92</v>
      </c>
      <c r="F243">
        <v>0.92</v>
      </c>
      <c r="G243">
        <v>0.92</v>
      </c>
      <c r="L243">
        <v>0.92</v>
      </c>
      <c r="N243">
        <v>0.92</v>
      </c>
    </row>
    <row r="244" spans="1:14" x14ac:dyDescent="0.3">
      <c r="A244" t="s">
        <v>57</v>
      </c>
      <c r="B244">
        <v>82</v>
      </c>
      <c r="D244">
        <v>100</v>
      </c>
      <c r="E244">
        <v>100</v>
      </c>
      <c r="F244">
        <v>100</v>
      </c>
      <c r="G244">
        <v>100</v>
      </c>
      <c r="L244">
        <v>100</v>
      </c>
      <c r="N244">
        <v>100</v>
      </c>
    </row>
    <row r="245" spans="1:14" x14ac:dyDescent="0.3">
      <c r="A245" t="s">
        <v>58</v>
      </c>
      <c r="B245">
        <v>82</v>
      </c>
      <c r="D245">
        <v>2</v>
      </c>
      <c r="E245">
        <v>2</v>
      </c>
      <c r="F245">
        <v>2</v>
      </c>
      <c r="G245">
        <v>2</v>
      </c>
      <c r="L245">
        <v>2</v>
      </c>
      <c r="N245">
        <v>2</v>
      </c>
    </row>
    <row r="246" spans="1:14" x14ac:dyDescent="0.3">
      <c r="A246" t="s">
        <v>59</v>
      </c>
      <c r="B246">
        <v>82</v>
      </c>
      <c r="D246">
        <v>0</v>
      </c>
      <c r="E246">
        <v>0</v>
      </c>
      <c r="F246">
        <v>0</v>
      </c>
      <c r="G246">
        <v>0</v>
      </c>
      <c r="L246">
        <v>0</v>
      </c>
      <c r="N246">
        <v>0</v>
      </c>
    </row>
    <row r="247" spans="1:14" x14ac:dyDescent="0.3">
      <c r="A247" t="s">
        <v>693</v>
      </c>
      <c r="B247">
        <v>82</v>
      </c>
      <c r="D247">
        <v>0</v>
      </c>
      <c r="G247">
        <v>0</v>
      </c>
      <c r="L247">
        <v>0</v>
      </c>
    </row>
    <row r="248" spans="1:14" x14ac:dyDescent="0.3">
      <c r="A248" t="s">
        <v>674</v>
      </c>
      <c r="B248">
        <v>82</v>
      </c>
      <c r="D248">
        <v>5296</v>
      </c>
      <c r="G248">
        <v>2660</v>
      </c>
      <c r="L248">
        <v>377</v>
      </c>
    </row>
    <row r="249" spans="1:14" x14ac:dyDescent="0.3">
      <c r="A249" t="s">
        <v>78</v>
      </c>
      <c r="B249">
        <v>82</v>
      </c>
      <c r="D249">
        <v>80.2</v>
      </c>
      <c r="G249">
        <v>40.299999999999997</v>
      </c>
      <c r="L249">
        <v>5.7</v>
      </c>
    </row>
    <row r="250" spans="1:14" x14ac:dyDescent="0.3">
      <c r="A250" t="s">
        <v>694</v>
      </c>
      <c r="B250">
        <v>82</v>
      </c>
      <c r="E250">
        <v>0</v>
      </c>
      <c r="G250">
        <v>0</v>
      </c>
      <c r="N250">
        <v>0</v>
      </c>
    </row>
    <row r="251" spans="1:14" x14ac:dyDescent="0.3">
      <c r="A251" t="s">
        <v>695</v>
      </c>
      <c r="B251">
        <v>82</v>
      </c>
      <c r="D251">
        <v>0</v>
      </c>
      <c r="E251">
        <v>1</v>
      </c>
      <c r="F251">
        <v>0</v>
      </c>
      <c r="G251">
        <v>0</v>
      </c>
      <c r="L251">
        <v>0</v>
      </c>
      <c r="N251">
        <v>1</v>
      </c>
    </row>
    <row r="252" spans="1:14" x14ac:dyDescent="0.3">
      <c r="A252" t="s">
        <v>696</v>
      </c>
      <c r="B252">
        <v>82</v>
      </c>
      <c r="D252">
        <v>0</v>
      </c>
      <c r="E252">
        <v>0</v>
      </c>
      <c r="F252">
        <v>0</v>
      </c>
      <c r="G252">
        <v>0</v>
      </c>
      <c r="L252">
        <v>0</v>
      </c>
      <c r="N252">
        <v>0</v>
      </c>
    </row>
    <row r="253" spans="1:14" x14ac:dyDescent="0.3">
      <c r="A253" t="s">
        <v>52</v>
      </c>
      <c r="B253">
        <v>82</v>
      </c>
      <c r="D253">
        <v>1</v>
      </c>
      <c r="E253">
        <v>1</v>
      </c>
      <c r="F253">
        <v>1</v>
      </c>
      <c r="G253">
        <v>1</v>
      </c>
      <c r="L253">
        <v>1</v>
      </c>
      <c r="N253">
        <v>1</v>
      </c>
    </row>
    <row r="254" spans="1:14" x14ac:dyDescent="0.3">
      <c r="A254" t="s">
        <v>697</v>
      </c>
      <c r="B254">
        <v>82</v>
      </c>
      <c r="D254">
        <v>60</v>
      </c>
      <c r="E254">
        <v>9</v>
      </c>
      <c r="F254">
        <v>15</v>
      </c>
      <c r="G254">
        <v>60</v>
      </c>
      <c r="L254">
        <v>15</v>
      </c>
      <c r="N254">
        <v>9</v>
      </c>
    </row>
    <row r="255" spans="1:14" x14ac:dyDescent="0.3">
      <c r="A255" t="s">
        <v>43</v>
      </c>
      <c r="B255">
        <v>82</v>
      </c>
      <c r="D255">
        <v>100</v>
      </c>
      <c r="F255">
        <v>20</v>
      </c>
      <c r="G255">
        <v>100</v>
      </c>
      <c r="L255">
        <v>20</v>
      </c>
    </row>
    <row r="256" spans="1:14" x14ac:dyDescent="0.3">
      <c r="A256" t="s">
        <v>44</v>
      </c>
      <c r="B256">
        <v>82</v>
      </c>
      <c r="D256">
        <v>0</v>
      </c>
      <c r="F256">
        <v>0</v>
      </c>
      <c r="G256">
        <v>0</v>
      </c>
      <c r="L256">
        <v>0</v>
      </c>
    </row>
    <row r="257" spans="1:12" x14ac:dyDescent="0.3">
      <c r="A257" t="s">
        <v>47</v>
      </c>
      <c r="B257">
        <v>82</v>
      </c>
      <c r="D257">
        <v>2</v>
      </c>
      <c r="F257">
        <v>1</v>
      </c>
      <c r="G257">
        <v>6</v>
      </c>
      <c r="L257">
        <v>4</v>
      </c>
    </row>
    <row r="258" spans="1:12" x14ac:dyDescent="0.3">
      <c r="A258" t="s">
        <v>698</v>
      </c>
      <c r="B258">
        <v>82</v>
      </c>
      <c r="D258">
        <v>0</v>
      </c>
      <c r="F258">
        <v>0</v>
      </c>
      <c r="G258">
        <v>0</v>
      </c>
      <c r="L258">
        <v>0</v>
      </c>
    </row>
    <row r="259" spans="1:12" x14ac:dyDescent="0.3">
      <c r="A259" t="s">
        <v>699</v>
      </c>
      <c r="B259">
        <v>82</v>
      </c>
      <c r="D259">
        <v>0</v>
      </c>
      <c r="F259">
        <v>0</v>
      </c>
      <c r="G259">
        <v>0</v>
      </c>
      <c r="L259">
        <v>0</v>
      </c>
    </row>
    <row r="260" spans="1:12" x14ac:dyDescent="0.3">
      <c r="A260" t="s">
        <v>700</v>
      </c>
      <c r="B260">
        <v>82</v>
      </c>
      <c r="D260">
        <v>0</v>
      </c>
      <c r="F260">
        <v>0</v>
      </c>
      <c r="G260">
        <v>0</v>
      </c>
      <c r="L260">
        <v>0</v>
      </c>
    </row>
    <row r="261" spans="1:12" x14ac:dyDescent="0.3">
      <c r="A261" t="s">
        <v>701</v>
      </c>
      <c r="B261">
        <v>82</v>
      </c>
      <c r="D261">
        <v>0</v>
      </c>
      <c r="F261">
        <v>0</v>
      </c>
      <c r="G261">
        <v>0</v>
      </c>
      <c r="L261">
        <v>0</v>
      </c>
    </row>
    <row r="262" spans="1:12" x14ac:dyDescent="0.3">
      <c r="A262" t="s">
        <v>702</v>
      </c>
      <c r="B262">
        <v>82</v>
      </c>
      <c r="D262">
        <v>2</v>
      </c>
      <c r="F262">
        <v>1</v>
      </c>
      <c r="G262">
        <v>2</v>
      </c>
      <c r="L262">
        <v>1</v>
      </c>
    </row>
    <row r="263" spans="1:12" x14ac:dyDescent="0.3">
      <c r="A263" t="s">
        <v>703</v>
      </c>
      <c r="B263">
        <v>82</v>
      </c>
      <c r="D263">
        <v>0</v>
      </c>
      <c r="F263">
        <v>0</v>
      </c>
      <c r="G263">
        <v>0</v>
      </c>
      <c r="L263">
        <v>0</v>
      </c>
    </row>
    <row r="264" spans="1:12" x14ac:dyDescent="0.3">
      <c r="A264" t="s">
        <v>704</v>
      </c>
      <c r="B264">
        <v>82</v>
      </c>
      <c r="D264">
        <v>6</v>
      </c>
      <c r="F264">
        <v>20</v>
      </c>
      <c r="G264">
        <v>6</v>
      </c>
      <c r="L264">
        <v>20</v>
      </c>
    </row>
    <row r="265" spans="1:12" x14ac:dyDescent="0.3">
      <c r="A265" t="s">
        <v>705</v>
      </c>
      <c r="B265">
        <v>82</v>
      </c>
      <c r="D265">
        <v>3</v>
      </c>
      <c r="F265">
        <v>3</v>
      </c>
      <c r="G265">
        <v>3</v>
      </c>
      <c r="L265">
        <v>3</v>
      </c>
    </row>
    <row r="266" spans="1:12" x14ac:dyDescent="0.3">
      <c r="A266" t="s">
        <v>706</v>
      </c>
      <c r="B266">
        <v>82</v>
      </c>
      <c r="D266">
        <v>0</v>
      </c>
      <c r="F266">
        <v>0</v>
      </c>
      <c r="G266">
        <v>0</v>
      </c>
      <c r="L266">
        <v>0</v>
      </c>
    </row>
    <row r="267" spans="1:12" x14ac:dyDescent="0.3">
      <c r="A267" t="s">
        <v>707</v>
      </c>
      <c r="B267">
        <v>82</v>
      </c>
      <c r="D267">
        <v>0</v>
      </c>
      <c r="F267">
        <v>0</v>
      </c>
      <c r="G267">
        <v>0</v>
      </c>
      <c r="L267">
        <v>0</v>
      </c>
    </row>
    <row r="268" spans="1:12" x14ac:dyDescent="0.3">
      <c r="A268" t="s">
        <v>708</v>
      </c>
      <c r="B268">
        <v>82</v>
      </c>
      <c r="D268">
        <v>0</v>
      </c>
      <c r="F268">
        <v>0</v>
      </c>
      <c r="G268">
        <v>0</v>
      </c>
      <c r="L268">
        <v>0</v>
      </c>
    </row>
    <row r="269" spans="1:12" x14ac:dyDescent="0.3">
      <c r="A269" t="s">
        <v>709</v>
      </c>
      <c r="B269">
        <v>82</v>
      </c>
      <c r="D269">
        <v>94</v>
      </c>
      <c r="G269">
        <v>94</v>
      </c>
    </row>
    <row r="270" spans="1:12" x14ac:dyDescent="0.3">
      <c r="A270" t="s">
        <v>710</v>
      </c>
      <c r="B270">
        <v>82</v>
      </c>
      <c r="D270">
        <v>6</v>
      </c>
      <c r="G270">
        <v>6</v>
      </c>
    </row>
    <row r="271" spans="1:12" x14ac:dyDescent="0.3">
      <c r="A271" t="s">
        <v>711</v>
      </c>
      <c r="B271">
        <v>82</v>
      </c>
      <c r="D271">
        <v>3</v>
      </c>
      <c r="G271">
        <v>3</v>
      </c>
    </row>
    <row r="272" spans="1:12" x14ac:dyDescent="0.3">
      <c r="A272" t="s">
        <v>712</v>
      </c>
      <c r="B272">
        <v>82</v>
      </c>
      <c r="D272">
        <v>0</v>
      </c>
      <c r="G272">
        <v>0</v>
      </c>
    </row>
    <row r="273" spans="1:14" x14ac:dyDescent="0.3">
      <c r="A273" t="s">
        <v>713</v>
      </c>
      <c r="B273">
        <v>82</v>
      </c>
      <c r="D273">
        <v>0</v>
      </c>
      <c r="G273">
        <v>0</v>
      </c>
      <c r="L273">
        <v>0</v>
      </c>
    </row>
    <row r="274" spans="1:14" x14ac:dyDescent="0.3">
      <c r="A274" t="s">
        <v>405</v>
      </c>
      <c r="B274">
        <v>82</v>
      </c>
      <c r="D274">
        <v>0</v>
      </c>
    </row>
    <row r="275" spans="1:14" x14ac:dyDescent="0.3">
      <c r="A275" t="s">
        <v>714</v>
      </c>
      <c r="B275">
        <v>82</v>
      </c>
      <c r="D275">
        <v>1585</v>
      </c>
      <c r="E275">
        <v>0</v>
      </c>
      <c r="F275">
        <v>78</v>
      </c>
      <c r="G275">
        <v>1167</v>
      </c>
      <c r="L275">
        <v>321</v>
      </c>
      <c r="N275">
        <v>0</v>
      </c>
    </row>
    <row r="276" spans="1:14" x14ac:dyDescent="0.3">
      <c r="A276" t="s">
        <v>34</v>
      </c>
      <c r="B276">
        <v>84</v>
      </c>
      <c r="C276">
        <v>98</v>
      </c>
      <c r="D276">
        <v>98</v>
      </c>
      <c r="E276">
        <v>98</v>
      </c>
      <c r="F276">
        <v>82</v>
      </c>
      <c r="G276">
        <v>82</v>
      </c>
      <c r="H276">
        <v>82</v>
      </c>
      <c r="I276">
        <v>85</v>
      </c>
      <c r="J276">
        <v>85</v>
      </c>
      <c r="K276">
        <v>85</v>
      </c>
      <c r="L276">
        <v>86</v>
      </c>
      <c r="M276">
        <v>86</v>
      </c>
      <c r="N276">
        <v>86</v>
      </c>
    </row>
    <row r="277" spans="1:14" x14ac:dyDescent="0.3">
      <c r="A277" t="s">
        <v>35</v>
      </c>
      <c r="B277">
        <v>84</v>
      </c>
      <c r="C277">
        <v>85</v>
      </c>
      <c r="D277">
        <v>82</v>
      </c>
      <c r="E277">
        <v>86</v>
      </c>
      <c r="F277">
        <v>86</v>
      </c>
      <c r="G277">
        <v>98</v>
      </c>
      <c r="H277">
        <v>85</v>
      </c>
      <c r="I277">
        <v>82</v>
      </c>
      <c r="J277">
        <v>86</v>
      </c>
      <c r="K277">
        <v>98</v>
      </c>
      <c r="L277">
        <v>98</v>
      </c>
      <c r="M277">
        <v>85</v>
      </c>
      <c r="N277">
        <v>82</v>
      </c>
    </row>
    <row r="278" spans="1:14" x14ac:dyDescent="0.3">
      <c r="A278" t="s">
        <v>36</v>
      </c>
      <c r="B278">
        <v>84</v>
      </c>
      <c r="C278">
        <v>1</v>
      </c>
      <c r="D278">
        <v>3</v>
      </c>
      <c r="E278">
        <v>0</v>
      </c>
      <c r="F278">
        <v>1</v>
      </c>
      <c r="G278">
        <v>3</v>
      </c>
      <c r="H278">
        <v>0</v>
      </c>
      <c r="I278">
        <v>0</v>
      </c>
      <c r="J278">
        <v>3</v>
      </c>
      <c r="K278">
        <v>0</v>
      </c>
      <c r="L278">
        <v>0</v>
      </c>
      <c r="M278">
        <v>2</v>
      </c>
      <c r="N278">
        <v>0</v>
      </c>
    </row>
    <row r="279" spans="1:14" x14ac:dyDescent="0.3">
      <c r="A279" t="s">
        <v>37</v>
      </c>
      <c r="B279">
        <v>84</v>
      </c>
      <c r="C279">
        <v>0</v>
      </c>
      <c r="D279">
        <v>2</v>
      </c>
      <c r="F279">
        <v>0</v>
      </c>
      <c r="G279">
        <v>2</v>
      </c>
      <c r="I279">
        <v>0</v>
      </c>
      <c r="J279">
        <v>3</v>
      </c>
      <c r="L279">
        <v>0</v>
      </c>
      <c r="M279">
        <v>1</v>
      </c>
    </row>
    <row r="280" spans="1:14" x14ac:dyDescent="0.3">
      <c r="A280" t="s">
        <v>38</v>
      </c>
      <c r="B280">
        <v>84</v>
      </c>
      <c r="C280">
        <v>12</v>
      </c>
      <c r="D280">
        <v>12</v>
      </c>
      <c r="E280">
        <v>12</v>
      </c>
      <c r="F280">
        <v>12</v>
      </c>
      <c r="G280">
        <v>12</v>
      </c>
      <c r="H280">
        <v>12</v>
      </c>
      <c r="I280">
        <v>12</v>
      </c>
      <c r="J280">
        <v>12</v>
      </c>
      <c r="K280">
        <v>12</v>
      </c>
      <c r="L280">
        <v>12</v>
      </c>
      <c r="M280">
        <v>12</v>
      </c>
      <c r="N280">
        <v>12</v>
      </c>
    </row>
    <row r="281" spans="1:14" x14ac:dyDescent="0.3">
      <c r="A281" t="s">
        <v>39</v>
      </c>
      <c r="B281">
        <v>84</v>
      </c>
    </row>
    <row r="282" spans="1:14" x14ac:dyDescent="0.3">
      <c r="A282" t="s">
        <v>689</v>
      </c>
      <c r="B282">
        <v>84</v>
      </c>
    </row>
    <row r="283" spans="1:14" x14ac:dyDescent="0.3">
      <c r="A283" t="s">
        <v>40</v>
      </c>
      <c r="B283">
        <v>84</v>
      </c>
    </row>
    <row r="284" spans="1:14" x14ac:dyDescent="0.3">
      <c r="A284" t="s">
        <v>41</v>
      </c>
      <c r="B284">
        <v>84</v>
      </c>
    </row>
    <row r="285" spans="1:14" x14ac:dyDescent="0.3">
      <c r="A285" t="s">
        <v>42</v>
      </c>
      <c r="B285">
        <v>84</v>
      </c>
      <c r="D285">
        <v>45</v>
      </c>
      <c r="G285">
        <v>45</v>
      </c>
      <c r="J285">
        <v>45</v>
      </c>
      <c r="M285">
        <v>45</v>
      </c>
    </row>
    <row r="286" spans="1:14" x14ac:dyDescent="0.3">
      <c r="A286" t="s">
        <v>45</v>
      </c>
      <c r="B286">
        <v>84</v>
      </c>
      <c r="C286">
        <v>5</v>
      </c>
      <c r="D286">
        <v>2</v>
      </c>
      <c r="F286">
        <v>1</v>
      </c>
      <c r="G286">
        <v>6</v>
      </c>
      <c r="J286">
        <v>8</v>
      </c>
      <c r="M286">
        <v>4</v>
      </c>
    </row>
    <row r="287" spans="1:14" x14ac:dyDescent="0.3">
      <c r="A287" t="s">
        <v>46</v>
      </c>
      <c r="B287">
        <v>84</v>
      </c>
      <c r="I287">
        <v>8</v>
      </c>
      <c r="L287">
        <v>4</v>
      </c>
    </row>
    <row r="288" spans="1:14" x14ac:dyDescent="0.3">
      <c r="A288" t="s">
        <v>49</v>
      </c>
      <c r="B288">
        <v>84</v>
      </c>
      <c r="C288">
        <v>4</v>
      </c>
      <c r="D288">
        <v>6</v>
      </c>
      <c r="E288">
        <v>4</v>
      </c>
      <c r="F288">
        <v>4</v>
      </c>
      <c r="G288">
        <v>6</v>
      </c>
      <c r="H288">
        <v>4</v>
      </c>
      <c r="I288">
        <v>5.9</v>
      </c>
      <c r="J288">
        <v>5.9</v>
      </c>
      <c r="K288">
        <v>4</v>
      </c>
      <c r="L288">
        <v>5.9</v>
      </c>
      <c r="M288">
        <v>5.9</v>
      </c>
      <c r="N288">
        <v>4</v>
      </c>
    </row>
    <row r="289" spans="1:14" x14ac:dyDescent="0.3">
      <c r="A289" t="s">
        <v>690</v>
      </c>
      <c r="B289">
        <v>84</v>
      </c>
      <c r="C289">
        <v>0</v>
      </c>
      <c r="D289">
        <v>0</v>
      </c>
      <c r="E289">
        <v>0</v>
      </c>
      <c r="F289">
        <v>0</v>
      </c>
      <c r="G289">
        <v>0</v>
      </c>
      <c r="H289">
        <v>0</v>
      </c>
      <c r="I289">
        <v>0</v>
      </c>
      <c r="J289">
        <v>0</v>
      </c>
      <c r="K289">
        <v>0</v>
      </c>
      <c r="L289">
        <v>0</v>
      </c>
      <c r="M289">
        <v>0</v>
      </c>
      <c r="N289">
        <v>0</v>
      </c>
    </row>
    <row r="290" spans="1:14" x14ac:dyDescent="0.3">
      <c r="A290" t="s">
        <v>48</v>
      </c>
      <c r="B290">
        <v>84</v>
      </c>
      <c r="C290">
        <v>1900</v>
      </c>
      <c r="D290">
        <v>1900</v>
      </c>
      <c r="E290">
        <v>1900</v>
      </c>
      <c r="F290">
        <v>1900</v>
      </c>
      <c r="G290">
        <v>1900</v>
      </c>
      <c r="H290">
        <v>1900</v>
      </c>
      <c r="I290">
        <v>1900</v>
      </c>
      <c r="J290">
        <v>1900</v>
      </c>
      <c r="K290">
        <v>1900</v>
      </c>
      <c r="L290">
        <v>1900</v>
      </c>
      <c r="M290">
        <v>1900</v>
      </c>
      <c r="N290">
        <v>1900</v>
      </c>
    </row>
    <row r="291" spans="1:14" x14ac:dyDescent="0.3">
      <c r="A291" t="s">
        <v>691</v>
      </c>
      <c r="B291">
        <v>84</v>
      </c>
      <c r="C291">
        <v>1770</v>
      </c>
      <c r="D291">
        <v>5055</v>
      </c>
      <c r="E291">
        <v>0</v>
      </c>
      <c r="F291">
        <v>1770</v>
      </c>
      <c r="G291">
        <v>5075</v>
      </c>
      <c r="H291">
        <v>0</v>
      </c>
      <c r="I291">
        <v>0</v>
      </c>
      <c r="J291">
        <v>4739</v>
      </c>
      <c r="K291">
        <v>0</v>
      </c>
      <c r="L291">
        <v>0</v>
      </c>
      <c r="M291">
        <v>3285</v>
      </c>
      <c r="N291">
        <v>0</v>
      </c>
    </row>
    <row r="292" spans="1:14" x14ac:dyDescent="0.3">
      <c r="A292" t="s">
        <v>50</v>
      </c>
      <c r="B292">
        <v>84</v>
      </c>
      <c r="C292">
        <v>1770</v>
      </c>
      <c r="D292">
        <v>5055</v>
      </c>
      <c r="E292">
        <v>0</v>
      </c>
      <c r="F292">
        <v>1770</v>
      </c>
      <c r="G292">
        <v>5075</v>
      </c>
      <c r="H292">
        <v>0</v>
      </c>
      <c r="I292">
        <v>0</v>
      </c>
      <c r="J292">
        <v>4189</v>
      </c>
      <c r="K292">
        <v>0</v>
      </c>
      <c r="L292">
        <v>0</v>
      </c>
      <c r="M292">
        <v>2752</v>
      </c>
      <c r="N292">
        <v>0</v>
      </c>
    </row>
    <row r="293" spans="1:14" x14ac:dyDescent="0.3">
      <c r="A293" t="s">
        <v>692</v>
      </c>
      <c r="B293">
        <v>84</v>
      </c>
      <c r="C293">
        <v>1</v>
      </c>
      <c r="D293">
        <v>1</v>
      </c>
      <c r="E293">
        <v>1</v>
      </c>
      <c r="F293">
        <v>1</v>
      </c>
      <c r="G293">
        <v>1</v>
      </c>
      <c r="H293">
        <v>1</v>
      </c>
      <c r="I293">
        <v>1</v>
      </c>
      <c r="J293">
        <v>1</v>
      </c>
      <c r="K293">
        <v>1</v>
      </c>
      <c r="L293">
        <v>1</v>
      </c>
      <c r="M293">
        <v>1</v>
      </c>
      <c r="N293">
        <v>1</v>
      </c>
    </row>
    <row r="294" spans="1:14" x14ac:dyDescent="0.3">
      <c r="A294" t="s">
        <v>51</v>
      </c>
      <c r="B294">
        <v>84</v>
      </c>
      <c r="C294">
        <v>0</v>
      </c>
      <c r="D294">
        <v>10</v>
      </c>
      <c r="E294">
        <v>0</v>
      </c>
      <c r="F294">
        <v>0</v>
      </c>
      <c r="G294">
        <v>3</v>
      </c>
      <c r="H294">
        <v>0</v>
      </c>
      <c r="I294">
        <v>0</v>
      </c>
      <c r="J294">
        <v>11</v>
      </c>
      <c r="K294">
        <v>0</v>
      </c>
      <c r="L294">
        <v>0</v>
      </c>
      <c r="M294">
        <v>25</v>
      </c>
      <c r="N294">
        <v>0</v>
      </c>
    </row>
    <row r="295" spans="1:14" x14ac:dyDescent="0.3">
      <c r="A295" t="s">
        <v>53</v>
      </c>
      <c r="B295">
        <v>84</v>
      </c>
      <c r="C295">
        <v>17</v>
      </c>
      <c r="D295">
        <v>745</v>
      </c>
      <c r="E295">
        <v>29</v>
      </c>
      <c r="F295">
        <v>23</v>
      </c>
      <c r="G295">
        <v>544</v>
      </c>
      <c r="H295">
        <v>6</v>
      </c>
      <c r="I295">
        <v>12</v>
      </c>
      <c r="J295">
        <v>8</v>
      </c>
      <c r="K295">
        <v>10</v>
      </c>
      <c r="L295">
        <v>41</v>
      </c>
      <c r="M295">
        <v>10</v>
      </c>
      <c r="N295">
        <v>23</v>
      </c>
    </row>
    <row r="296" spans="1:14" x14ac:dyDescent="0.3">
      <c r="A296" t="s">
        <v>54</v>
      </c>
      <c r="B296">
        <v>84</v>
      </c>
      <c r="C296">
        <v>0</v>
      </c>
      <c r="D296">
        <v>0</v>
      </c>
      <c r="E296">
        <v>0</v>
      </c>
      <c r="F296">
        <v>0</v>
      </c>
      <c r="G296">
        <v>0</v>
      </c>
      <c r="H296">
        <v>0</v>
      </c>
      <c r="I296">
        <v>0</v>
      </c>
      <c r="J296">
        <v>0</v>
      </c>
      <c r="K296">
        <v>0</v>
      </c>
      <c r="L296">
        <v>0</v>
      </c>
      <c r="M296">
        <v>0</v>
      </c>
      <c r="N296">
        <v>0</v>
      </c>
    </row>
    <row r="297" spans="1:14" x14ac:dyDescent="0.3">
      <c r="A297" t="s">
        <v>55</v>
      </c>
      <c r="B297">
        <v>84</v>
      </c>
      <c r="C297">
        <v>0</v>
      </c>
      <c r="D297">
        <v>0</v>
      </c>
      <c r="E297">
        <v>0</v>
      </c>
      <c r="F297">
        <v>0</v>
      </c>
      <c r="G297">
        <v>0</v>
      </c>
      <c r="H297">
        <v>0</v>
      </c>
      <c r="I297">
        <v>0</v>
      </c>
      <c r="J297">
        <v>0</v>
      </c>
      <c r="K297">
        <v>0</v>
      </c>
      <c r="L297">
        <v>0</v>
      </c>
      <c r="M297">
        <v>0</v>
      </c>
      <c r="N297">
        <v>0</v>
      </c>
    </row>
    <row r="298" spans="1:14" x14ac:dyDescent="0.3">
      <c r="A298" t="s">
        <v>56</v>
      </c>
      <c r="B298">
        <v>84</v>
      </c>
      <c r="C298">
        <v>0.92</v>
      </c>
      <c r="D298">
        <v>0.92</v>
      </c>
      <c r="E298">
        <v>0.92</v>
      </c>
      <c r="F298">
        <v>0.92</v>
      </c>
      <c r="G298">
        <v>0.92</v>
      </c>
      <c r="H298">
        <v>0.92</v>
      </c>
      <c r="I298">
        <v>0.92</v>
      </c>
      <c r="J298">
        <v>0.92</v>
      </c>
      <c r="K298">
        <v>0.92</v>
      </c>
      <c r="L298">
        <v>0.92</v>
      </c>
      <c r="M298">
        <v>0.92</v>
      </c>
      <c r="N298">
        <v>0.92</v>
      </c>
    </row>
    <row r="299" spans="1:14" x14ac:dyDescent="0.3">
      <c r="A299" t="s">
        <v>57</v>
      </c>
      <c r="B299">
        <v>84</v>
      </c>
      <c r="C299">
        <v>100</v>
      </c>
      <c r="D299">
        <v>100</v>
      </c>
      <c r="E299">
        <v>100</v>
      </c>
      <c r="F299">
        <v>100</v>
      </c>
      <c r="G299">
        <v>100</v>
      </c>
      <c r="H299">
        <v>100</v>
      </c>
      <c r="I299">
        <v>100</v>
      </c>
      <c r="J299">
        <v>100</v>
      </c>
      <c r="K299">
        <v>100</v>
      </c>
      <c r="L299">
        <v>100</v>
      </c>
      <c r="M299">
        <v>100</v>
      </c>
      <c r="N299">
        <v>100</v>
      </c>
    </row>
    <row r="300" spans="1:14" x14ac:dyDescent="0.3">
      <c r="A300" t="s">
        <v>58</v>
      </c>
      <c r="B300">
        <v>84</v>
      </c>
      <c r="C300">
        <v>2</v>
      </c>
      <c r="D300">
        <v>2</v>
      </c>
      <c r="E300">
        <v>2</v>
      </c>
      <c r="F300">
        <v>2</v>
      </c>
      <c r="G300">
        <v>2</v>
      </c>
      <c r="H300">
        <v>2</v>
      </c>
      <c r="I300">
        <v>2</v>
      </c>
      <c r="J300">
        <v>2</v>
      </c>
      <c r="K300">
        <v>2</v>
      </c>
      <c r="L300">
        <v>2</v>
      </c>
      <c r="M300">
        <v>2</v>
      </c>
      <c r="N300">
        <v>2</v>
      </c>
    </row>
    <row r="301" spans="1:14" x14ac:dyDescent="0.3">
      <c r="A301" t="s">
        <v>59</v>
      </c>
      <c r="B301">
        <v>84</v>
      </c>
      <c r="C301">
        <v>0</v>
      </c>
      <c r="D301">
        <v>0</v>
      </c>
      <c r="E301">
        <v>0</v>
      </c>
      <c r="F301">
        <v>0</v>
      </c>
      <c r="G301">
        <v>0</v>
      </c>
      <c r="H301">
        <v>0</v>
      </c>
      <c r="I301">
        <v>0</v>
      </c>
      <c r="J301">
        <v>0</v>
      </c>
      <c r="K301">
        <v>0</v>
      </c>
      <c r="L301">
        <v>0</v>
      </c>
      <c r="M301">
        <v>0</v>
      </c>
      <c r="N301">
        <v>0</v>
      </c>
    </row>
    <row r="302" spans="1:14" x14ac:dyDescent="0.3">
      <c r="A302" t="s">
        <v>693</v>
      </c>
      <c r="B302">
        <v>84</v>
      </c>
      <c r="D302">
        <v>0</v>
      </c>
      <c r="G302">
        <v>0</v>
      </c>
      <c r="J302">
        <v>0</v>
      </c>
      <c r="M302">
        <v>0</v>
      </c>
    </row>
    <row r="303" spans="1:14" x14ac:dyDescent="0.3">
      <c r="A303" t="s">
        <v>674</v>
      </c>
      <c r="B303">
        <v>84</v>
      </c>
      <c r="D303">
        <v>1314</v>
      </c>
      <c r="G303">
        <v>5296</v>
      </c>
      <c r="J303">
        <v>256</v>
      </c>
      <c r="M303">
        <v>347</v>
      </c>
    </row>
    <row r="304" spans="1:14" x14ac:dyDescent="0.3">
      <c r="A304" t="s">
        <v>78</v>
      </c>
      <c r="B304">
        <v>84</v>
      </c>
      <c r="D304">
        <v>19.899999999999999</v>
      </c>
      <c r="G304">
        <v>80.2</v>
      </c>
      <c r="J304">
        <v>3.9</v>
      </c>
      <c r="M304">
        <v>5.3</v>
      </c>
    </row>
    <row r="305" spans="1:14" x14ac:dyDescent="0.3">
      <c r="A305" t="s">
        <v>694</v>
      </c>
      <c r="B305">
        <v>84</v>
      </c>
      <c r="E305">
        <v>0</v>
      </c>
      <c r="H305">
        <v>0</v>
      </c>
      <c r="K305">
        <v>0</v>
      </c>
      <c r="N305">
        <v>0</v>
      </c>
    </row>
    <row r="306" spans="1:14" x14ac:dyDescent="0.3">
      <c r="A306" t="s">
        <v>695</v>
      </c>
      <c r="B306">
        <v>84</v>
      </c>
      <c r="C306">
        <v>0</v>
      </c>
      <c r="D306">
        <v>0</v>
      </c>
      <c r="E306">
        <v>1</v>
      </c>
      <c r="F306">
        <v>0</v>
      </c>
      <c r="G306">
        <v>0</v>
      </c>
      <c r="H306">
        <v>1</v>
      </c>
      <c r="I306">
        <v>0</v>
      </c>
      <c r="J306">
        <v>0</v>
      </c>
      <c r="K306">
        <v>1</v>
      </c>
      <c r="L306">
        <v>0</v>
      </c>
      <c r="M306">
        <v>0</v>
      </c>
      <c r="N306">
        <v>1</v>
      </c>
    </row>
    <row r="307" spans="1:14" x14ac:dyDescent="0.3">
      <c r="A307" t="s">
        <v>696</v>
      </c>
      <c r="B307">
        <v>84</v>
      </c>
      <c r="C307">
        <v>0</v>
      </c>
      <c r="D307">
        <v>0</v>
      </c>
      <c r="E307">
        <v>0</v>
      </c>
      <c r="F307">
        <v>0</v>
      </c>
      <c r="G307">
        <v>0</v>
      </c>
      <c r="H307">
        <v>0</v>
      </c>
      <c r="I307">
        <v>0</v>
      </c>
      <c r="J307">
        <v>0</v>
      </c>
      <c r="K307">
        <v>0</v>
      </c>
      <c r="L307">
        <v>0</v>
      </c>
      <c r="M307">
        <v>0</v>
      </c>
      <c r="N307">
        <v>0</v>
      </c>
    </row>
    <row r="308" spans="1:14" x14ac:dyDescent="0.3">
      <c r="A308" t="s">
        <v>52</v>
      </c>
      <c r="B308">
        <v>84</v>
      </c>
      <c r="C308">
        <v>1</v>
      </c>
      <c r="D308">
        <v>1</v>
      </c>
      <c r="E308">
        <v>1</v>
      </c>
      <c r="F308">
        <v>1</v>
      </c>
      <c r="G308">
        <v>1</v>
      </c>
      <c r="H308">
        <v>1</v>
      </c>
      <c r="I308">
        <v>1</v>
      </c>
      <c r="J308">
        <v>1</v>
      </c>
      <c r="K308">
        <v>1</v>
      </c>
      <c r="L308">
        <v>1</v>
      </c>
      <c r="M308">
        <v>1</v>
      </c>
      <c r="N308">
        <v>1</v>
      </c>
    </row>
    <row r="309" spans="1:14" x14ac:dyDescent="0.3">
      <c r="A309" t="s">
        <v>697</v>
      </c>
      <c r="B309">
        <v>84</v>
      </c>
      <c r="C309">
        <v>15</v>
      </c>
      <c r="D309">
        <v>60</v>
      </c>
      <c r="E309">
        <v>9</v>
      </c>
      <c r="F309">
        <v>15</v>
      </c>
      <c r="G309">
        <v>60</v>
      </c>
      <c r="H309">
        <v>9</v>
      </c>
      <c r="I309">
        <v>15</v>
      </c>
      <c r="J309">
        <v>60</v>
      </c>
      <c r="K309">
        <v>9</v>
      </c>
      <c r="L309">
        <v>15</v>
      </c>
      <c r="M309">
        <v>60</v>
      </c>
      <c r="N309">
        <v>9</v>
      </c>
    </row>
    <row r="310" spans="1:14" x14ac:dyDescent="0.3">
      <c r="A310" t="s">
        <v>43</v>
      </c>
      <c r="B310">
        <v>84</v>
      </c>
      <c r="C310">
        <v>20</v>
      </c>
      <c r="D310">
        <v>100</v>
      </c>
      <c r="F310">
        <v>20</v>
      </c>
      <c r="G310">
        <v>100</v>
      </c>
      <c r="I310">
        <v>20</v>
      </c>
      <c r="J310">
        <v>100</v>
      </c>
      <c r="L310">
        <v>20</v>
      </c>
      <c r="M310">
        <v>100</v>
      </c>
    </row>
    <row r="311" spans="1:14" x14ac:dyDescent="0.3">
      <c r="A311" t="s">
        <v>44</v>
      </c>
      <c r="B311">
        <v>84</v>
      </c>
      <c r="C311">
        <v>0</v>
      </c>
      <c r="D311">
        <v>0</v>
      </c>
      <c r="F311">
        <v>0</v>
      </c>
      <c r="G311">
        <v>0</v>
      </c>
      <c r="I311">
        <v>0</v>
      </c>
      <c r="J311">
        <v>0</v>
      </c>
      <c r="L311">
        <v>0</v>
      </c>
      <c r="M311">
        <v>0</v>
      </c>
    </row>
    <row r="312" spans="1:14" x14ac:dyDescent="0.3">
      <c r="A312" t="s">
        <v>47</v>
      </c>
      <c r="B312">
        <v>84</v>
      </c>
      <c r="C312">
        <v>5</v>
      </c>
      <c r="D312">
        <v>2</v>
      </c>
      <c r="F312">
        <v>1</v>
      </c>
      <c r="G312">
        <v>6</v>
      </c>
      <c r="I312">
        <v>8</v>
      </c>
      <c r="J312">
        <v>8</v>
      </c>
      <c r="L312">
        <v>4</v>
      </c>
      <c r="M312">
        <v>4</v>
      </c>
    </row>
    <row r="313" spans="1:14" x14ac:dyDescent="0.3">
      <c r="A313" t="s">
        <v>698</v>
      </c>
      <c r="B313">
        <v>84</v>
      </c>
      <c r="C313">
        <v>0</v>
      </c>
      <c r="D313">
        <v>0</v>
      </c>
      <c r="F313">
        <v>0</v>
      </c>
      <c r="G313">
        <v>0</v>
      </c>
      <c r="I313">
        <v>0</v>
      </c>
      <c r="J313">
        <v>0</v>
      </c>
      <c r="L313">
        <v>0</v>
      </c>
      <c r="M313">
        <v>0</v>
      </c>
    </row>
    <row r="314" spans="1:14" x14ac:dyDescent="0.3">
      <c r="A314" t="s">
        <v>699</v>
      </c>
      <c r="B314">
        <v>84</v>
      </c>
      <c r="C314">
        <v>0</v>
      </c>
      <c r="D314">
        <v>0</v>
      </c>
      <c r="F314">
        <v>0</v>
      </c>
      <c r="G314">
        <v>0</v>
      </c>
      <c r="I314">
        <v>0</v>
      </c>
      <c r="J314">
        <v>0</v>
      </c>
      <c r="L314">
        <v>0</v>
      </c>
      <c r="M314">
        <v>0</v>
      </c>
    </row>
    <row r="315" spans="1:14" x14ac:dyDescent="0.3">
      <c r="A315" t="s">
        <v>700</v>
      </c>
      <c r="B315">
        <v>84</v>
      </c>
      <c r="C315">
        <v>0</v>
      </c>
      <c r="D315">
        <v>0</v>
      </c>
      <c r="F315">
        <v>0</v>
      </c>
      <c r="G315">
        <v>0</v>
      </c>
      <c r="I315">
        <v>0</v>
      </c>
      <c r="J315">
        <v>0</v>
      </c>
      <c r="L315">
        <v>0</v>
      </c>
      <c r="M315">
        <v>0</v>
      </c>
    </row>
    <row r="316" spans="1:14" x14ac:dyDescent="0.3">
      <c r="A316" t="s">
        <v>701</v>
      </c>
      <c r="B316">
        <v>84</v>
      </c>
      <c r="C316">
        <v>0</v>
      </c>
      <c r="D316">
        <v>0</v>
      </c>
      <c r="F316">
        <v>0</v>
      </c>
      <c r="G316">
        <v>0</v>
      </c>
      <c r="I316">
        <v>0</v>
      </c>
      <c r="J316">
        <v>0</v>
      </c>
      <c r="L316">
        <v>0</v>
      </c>
      <c r="M316">
        <v>0</v>
      </c>
    </row>
    <row r="317" spans="1:14" x14ac:dyDescent="0.3">
      <c r="A317" t="s">
        <v>702</v>
      </c>
      <c r="B317">
        <v>84</v>
      </c>
      <c r="C317">
        <v>1</v>
      </c>
      <c r="D317">
        <v>2</v>
      </c>
      <c r="F317">
        <v>1</v>
      </c>
      <c r="G317">
        <v>2</v>
      </c>
      <c r="I317">
        <v>1</v>
      </c>
      <c r="J317">
        <v>2</v>
      </c>
      <c r="L317">
        <v>1</v>
      </c>
      <c r="M317">
        <v>2</v>
      </c>
    </row>
    <row r="318" spans="1:14" x14ac:dyDescent="0.3">
      <c r="A318" t="s">
        <v>703</v>
      </c>
      <c r="B318">
        <v>84</v>
      </c>
      <c r="C318">
        <v>0</v>
      </c>
      <c r="D318">
        <v>0</v>
      </c>
      <c r="F318">
        <v>0</v>
      </c>
      <c r="G318">
        <v>0</v>
      </c>
      <c r="I318">
        <v>0</v>
      </c>
      <c r="J318">
        <v>0</v>
      </c>
      <c r="L318">
        <v>0</v>
      </c>
      <c r="M318">
        <v>0</v>
      </c>
    </row>
    <row r="319" spans="1:14" x14ac:dyDescent="0.3">
      <c r="A319" t="s">
        <v>704</v>
      </c>
      <c r="B319">
        <v>84</v>
      </c>
      <c r="C319">
        <v>20</v>
      </c>
      <c r="D319">
        <v>6</v>
      </c>
      <c r="F319">
        <v>20</v>
      </c>
      <c r="G319">
        <v>6</v>
      </c>
      <c r="I319">
        <v>20</v>
      </c>
      <c r="J319">
        <v>6</v>
      </c>
      <c r="L319">
        <v>20</v>
      </c>
      <c r="M319">
        <v>6</v>
      </c>
    </row>
    <row r="320" spans="1:14" x14ac:dyDescent="0.3">
      <c r="A320" t="s">
        <v>705</v>
      </c>
      <c r="B320">
        <v>84</v>
      </c>
      <c r="C320">
        <v>3</v>
      </c>
      <c r="D320">
        <v>3</v>
      </c>
      <c r="F320">
        <v>3</v>
      </c>
      <c r="G320">
        <v>3</v>
      </c>
      <c r="I320">
        <v>3</v>
      </c>
      <c r="J320">
        <v>3</v>
      </c>
      <c r="L320">
        <v>3</v>
      </c>
      <c r="M320">
        <v>3</v>
      </c>
    </row>
    <row r="321" spans="1:14" x14ac:dyDescent="0.3">
      <c r="A321" t="s">
        <v>706</v>
      </c>
      <c r="B321">
        <v>84</v>
      </c>
      <c r="C321">
        <v>0</v>
      </c>
      <c r="D321">
        <v>0</v>
      </c>
      <c r="F321">
        <v>0</v>
      </c>
      <c r="G321">
        <v>0</v>
      </c>
      <c r="I321">
        <v>0</v>
      </c>
      <c r="J321">
        <v>0</v>
      </c>
      <c r="L321">
        <v>0</v>
      </c>
      <c r="M321">
        <v>0</v>
      </c>
    </row>
    <row r="322" spans="1:14" x14ac:dyDescent="0.3">
      <c r="A322" t="s">
        <v>707</v>
      </c>
      <c r="B322">
        <v>84</v>
      </c>
      <c r="C322">
        <v>0</v>
      </c>
      <c r="D322">
        <v>0</v>
      </c>
      <c r="F322">
        <v>0</v>
      </c>
      <c r="G322">
        <v>0</v>
      </c>
      <c r="I322">
        <v>0</v>
      </c>
      <c r="J322">
        <v>0</v>
      </c>
      <c r="L322">
        <v>0</v>
      </c>
      <c r="M322">
        <v>0</v>
      </c>
    </row>
    <row r="323" spans="1:14" x14ac:dyDescent="0.3">
      <c r="A323" t="s">
        <v>708</v>
      </c>
      <c r="B323">
        <v>84</v>
      </c>
      <c r="C323">
        <v>0</v>
      </c>
      <c r="D323">
        <v>0</v>
      </c>
      <c r="F323">
        <v>0</v>
      </c>
      <c r="G323">
        <v>0</v>
      </c>
      <c r="I323">
        <v>0</v>
      </c>
      <c r="J323">
        <v>0</v>
      </c>
      <c r="L323">
        <v>0</v>
      </c>
      <c r="M323">
        <v>0</v>
      </c>
    </row>
    <row r="324" spans="1:14" x14ac:dyDescent="0.3">
      <c r="A324" t="s">
        <v>709</v>
      </c>
      <c r="B324">
        <v>84</v>
      </c>
      <c r="D324">
        <v>94</v>
      </c>
      <c r="G324">
        <v>94</v>
      </c>
      <c r="J324">
        <v>94</v>
      </c>
      <c r="M324">
        <v>94</v>
      </c>
    </row>
    <row r="325" spans="1:14" x14ac:dyDescent="0.3">
      <c r="A325" t="s">
        <v>710</v>
      </c>
      <c r="B325">
        <v>84</v>
      </c>
      <c r="D325">
        <v>6</v>
      </c>
      <c r="G325">
        <v>6</v>
      </c>
      <c r="J325">
        <v>6</v>
      </c>
      <c r="M325">
        <v>6</v>
      </c>
    </row>
    <row r="326" spans="1:14" x14ac:dyDescent="0.3">
      <c r="A326" t="s">
        <v>711</v>
      </c>
      <c r="B326">
        <v>84</v>
      </c>
      <c r="D326">
        <v>3</v>
      </c>
      <c r="G326">
        <v>3</v>
      </c>
      <c r="J326">
        <v>3</v>
      </c>
      <c r="M326">
        <v>3</v>
      </c>
    </row>
    <row r="327" spans="1:14" x14ac:dyDescent="0.3">
      <c r="A327" t="s">
        <v>712</v>
      </c>
      <c r="B327">
        <v>84</v>
      </c>
      <c r="D327">
        <v>0</v>
      </c>
      <c r="G327">
        <v>0</v>
      </c>
      <c r="J327">
        <v>0</v>
      </c>
      <c r="M327">
        <v>0</v>
      </c>
    </row>
    <row r="328" spans="1:14" x14ac:dyDescent="0.3">
      <c r="A328" t="s">
        <v>713</v>
      </c>
      <c r="B328">
        <v>84</v>
      </c>
      <c r="D328">
        <v>0</v>
      </c>
      <c r="G328">
        <v>0</v>
      </c>
      <c r="J328">
        <v>0</v>
      </c>
      <c r="M328">
        <v>0</v>
      </c>
    </row>
    <row r="329" spans="1:14" x14ac:dyDescent="0.3">
      <c r="A329" t="s">
        <v>405</v>
      </c>
      <c r="B329">
        <v>84</v>
      </c>
      <c r="D329">
        <v>0</v>
      </c>
    </row>
    <row r="330" spans="1:14" x14ac:dyDescent="0.3">
      <c r="A330" t="s">
        <v>714</v>
      </c>
      <c r="B330">
        <v>84</v>
      </c>
      <c r="C330">
        <v>18</v>
      </c>
      <c r="D330">
        <v>842</v>
      </c>
      <c r="E330">
        <v>0</v>
      </c>
      <c r="F330">
        <v>25</v>
      </c>
      <c r="G330">
        <v>598</v>
      </c>
      <c r="H330">
        <v>0</v>
      </c>
      <c r="I330">
        <v>0</v>
      </c>
      <c r="J330">
        <v>33</v>
      </c>
      <c r="K330">
        <v>0</v>
      </c>
      <c r="L330">
        <v>0</v>
      </c>
      <c r="M330">
        <v>81</v>
      </c>
      <c r="N330">
        <v>0</v>
      </c>
    </row>
    <row r="331" spans="1:14" x14ac:dyDescent="0.3">
      <c r="A331" t="s">
        <v>34</v>
      </c>
      <c r="B331">
        <v>87</v>
      </c>
      <c r="C331">
        <v>31</v>
      </c>
      <c r="D331">
        <v>31</v>
      </c>
      <c r="E331">
        <v>31</v>
      </c>
      <c r="F331">
        <v>98</v>
      </c>
      <c r="G331">
        <v>98</v>
      </c>
      <c r="H331">
        <v>98</v>
      </c>
      <c r="I331">
        <v>88</v>
      </c>
      <c r="J331">
        <v>88</v>
      </c>
      <c r="K331">
        <v>88</v>
      </c>
      <c r="L331">
        <v>89</v>
      </c>
      <c r="M331">
        <v>89</v>
      </c>
      <c r="N331">
        <v>89</v>
      </c>
    </row>
    <row r="332" spans="1:14" x14ac:dyDescent="0.3">
      <c r="A332" t="s">
        <v>35</v>
      </c>
      <c r="B332">
        <v>87</v>
      </c>
      <c r="C332">
        <v>88</v>
      </c>
      <c r="D332">
        <v>98</v>
      </c>
      <c r="E332">
        <v>89</v>
      </c>
      <c r="F332">
        <v>89</v>
      </c>
      <c r="G332">
        <v>31</v>
      </c>
      <c r="H332">
        <v>88</v>
      </c>
      <c r="I332">
        <v>98</v>
      </c>
      <c r="J332">
        <v>89</v>
      </c>
      <c r="K332">
        <v>31</v>
      </c>
      <c r="L332">
        <v>31</v>
      </c>
      <c r="M332">
        <v>88</v>
      </c>
      <c r="N332">
        <v>98</v>
      </c>
    </row>
    <row r="333" spans="1:14" x14ac:dyDescent="0.3">
      <c r="A333" t="s">
        <v>36</v>
      </c>
      <c r="B333">
        <v>87</v>
      </c>
      <c r="C333">
        <v>1</v>
      </c>
      <c r="D333">
        <v>2</v>
      </c>
      <c r="E333">
        <v>0</v>
      </c>
      <c r="F333">
        <v>1</v>
      </c>
      <c r="G333">
        <v>2</v>
      </c>
      <c r="H333">
        <v>0</v>
      </c>
      <c r="I333">
        <v>1</v>
      </c>
      <c r="J333">
        <v>2</v>
      </c>
      <c r="K333">
        <v>0</v>
      </c>
      <c r="L333">
        <v>1</v>
      </c>
      <c r="M333">
        <v>2</v>
      </c>
      <c r="N333">
        <v>0</v>
      </c>
    </row>
    <row r="334" spans="1:14" x14ac:dyDescent="0.3">
      <c r="A334" t="s">
        <v>37</v>
      </c>
      <c r="B334">
        <v>87</v>
      </c>
      <c r="C334">
        <v>0</v>
      </c>
      <c r="D334">
        <v>2</v>
      </c>
      <c r="F334">
        <v>0</v>
      </c>
      <c r="G334">
        <v>2</v>
      </c>
      <c r="I334">
        <v>0</v>
      </c>
      <c r="J334">
        <v>2</v>
      </c>
      <c r="L334">
        <v>0</v>
      </c>
      <c r="M334">
        <v>2</v>
      </c>
    </row>
    <row r="335" spans="1:14" x14ac:dyDescent="0.3">
      <c r="A335" t="s">
        <v>38</v>
      </c>
      <c r="B335">
        <v>87</v>
      </c>
      <c r="C335">
        <v>12</v>
      </c>
      <c r="D335">
        <v>12</v>
      </c>
      <c r="E335">
        <v>12</v>
      </c>
      <c r="F335">
        <v>12</v>
      </c>
      <c r="G335">
        <v>12</v>
      </c>
      <c r="H335">
        <v>12</v>
      </c>
      <c r="I335">
        <v>12</v>
      </c>
      <c r="J335">
        <v>12</v>
      </c>
      <c r="K335">
        <v>12</v>
      </c>
      <c r="L335">
        <v>12</v>
      </c>
      <c r="M335">
        <v>12</v>
      </c>
      <c r="N335">
        <v>12</v>
      </c>
    </row>
    <row r="336" spans="1:14" x14ac:dyDescent="0.3">
      <c r="A336" t="s">
        <v>39</v>
      </c>
      <c r="B336">
        <v>87</v>
      </c>
    </row>
    <row r="337" spans="1:14" x14ac:dyDescent="0.3">
      <c r="A337" t="s">
        <v>689</v>
      </c>
      <c r="B337">
        <v>87</v>
      </c>
    </row>
    <row r="338" spans="1:14" x14ac:dyDescent="0.3">
      <c r="A338" t="s">
        <v>40</v>
      </c>
      <c r="B338">
        <v>87</v>
      </c>
    </row>
    <row r="339" spans="1:14" x14ac:dyDescent="0.3">
      <c r="A339" t="s">
        <v>41</v>
      </c>
      <c r="B339">
        <v>87</v>
      </c>
    </row>
    <row r="340" spans="1:14" x14ac:dyDescent="0.3">
      <c r="A340" t="s">
        <v>42</v>
      </c>
      <c r="B340">
        <v>87</v>
      </c>
      <c r="D340">
        <v>45</v>
      </c>
      <c r="G340">
        <v>45</v>
      </c>
      <c r="J340">
        <v>45</v>
      </c>
      <c r="M340">
        <v>45</v>
      </c>
    </row>
    <row r="341" spans="1:14" x14ac:dyDescent="0.3">
      <c r="A341" t="s">
        <v>45</v>
      </c>
      <c r="B341">
        <v>87</v>
      </c>
      <c r="C341">
        <v>5</v>
      </c>
      <c r="D341">
        <v>2</v>
      </c>
      <c r="F341">
        <v>1</v>
      </c>
      <c r="G341">
        <v>6</v>
      </c>
      <c r="I341">
        <v>3</v>
      </c>
      <c r="J341">
        <v>8</v>
      </c>
      <c r="L341">
        <v>7</v>
      </c>
      <c r="M341">
        <v>4</v>
      </c>
    </row>
    <row r="342" spans="1:14" x14ac:dyDescent="0.3">
      <c r="A342" t="s">
        <v>49</v>
      </c>
      <c r="B342">
        <v>87</v>
      </c>
      <c r="C342">
        <v>4</v>
      </c>
      <c r="D342">
        <v>5.7</v>
      </c>
      <c r="E342">
        <v>4</v>
      </c>
      <c r="F342">
        <v>4</v>
      </c>
      <c r="G342">
        <v>5.7</v>
      </c>
      <c r="H342">
        <v>4</v>
      </c>
      <c r="I342">
        <v>4</v>
      </c>
      <c r="J342">
        <v>5.5</v>
      </c>
      <c r="K342">
        <v>4</v>
      </c>
      <c r="L342">
        <v>4</v>
      </c>
      <c r="M342">
        <v>4.2</v>
      </c>
      <c r="N342">
        <v>4</v>
      </c>
    </row>
    <row r="343" spans="1:14" x14ac:dyDescent="0.3">
      <c r="A343" t="s">
        <v>690</v>
      </c>
      <c r="B343">
        <v>87</v>
      </c>
      <c r="C343">
        <v>0</v>
      </c>
      <c r="D343">
        <v>0</v>
      </c>
      <c r="E343">
        <v>0</v>
      </c>
      <c r="F343">
        <v>0</v>
      </c>
      <c r="G343">
        <v>0</v>
      </c>
      <c r="H343">
        <v>0</v>
      </c>
      <c r="I343">
        <v>0</v>
      </c>
      <c r="J343">
        <v>0</v>
      </c>
      <c r="K343">
        <v>0</v>
      </c>
      <c r="L343">
        <v>0</v>
      </c>
      <c r="M343">
        <v>0</v>
      </c>
      <c r="N343">
        <v>0</v>
      </c>
    </row>
    <row r="344" spans="1:14" x14ac:dyDescent="0.3">
      <c r="A344" t="s">
        <v>48</v>
      </c>
      <c r="B344">
        <v>87</v>
      </c>
      <c r="C344">
        <v>1900</v>
      </c>
      <c r="D344">
        <v>1900</v>
      </c>
      <c r="E344">
        <v>1900</v>
      </c>
      <c r="F344">
        <v>1900</v>
      </c>
      <c r="G344">
        <v>1900</v>
      </c>
      <c r="H344">
        <v>1900</v>
      </c>
      <c r="I344">
        <v>1900</v>
      </c>
      <c r="J344">
        <v>1900</v>
      </c>
      <c r="K344">
        <v>1900</v>
      </c>
      <c r="L344">
        <v>1900</v>
      </c>
      <c r="M344">
        <v>1900</v>
      </c>
      <c r="N344">
        <v>1900</v>
      </c>
    </row>
    <row r="345" spans="1:14" x14ac:dyDescent="0.3">
      <c r="A345" t="s">
        <v>691</v>
      </c>
      <c r="B345">
        <v>87</v>
      </c>
      <c r="C345">
        <v>1770</v>
      </c>
      <c r="D345">
        <v>3518</v>
      </c>
      <c r="E345">
        <v>0</v>
      </c>
      <c r="F345">
        <v>1770</v>
      </c>
      <c r="G345">
        <v>3532</v>
      </c>
      <c r="H345">
        <v>0</v>
      </c>
      <c r="I345">
        <v>1770</v>
      </c>
      <c r="J345">
        <v>3245</v>
      </c>
      <c r="K345">
        <v>0</v>
      </c>
      <c r="L345">
        <v>1770</v>
      </c>
      <c r="M345">
        <v>3175</v>
      </c>
      <c r="N345">
        <v>0</v>
      </c>
    </row>
    <row r="346" spans="1:14" x14ac:dyDescent="0.3">
      <c r="A346" t="s">
        <v>50</v>
      </c>
      <c r="B346">
        <v>87</v>
      </c>
      <c r="C346">
        <v>1770</v>
      </c>
      <c r="D346">
        <v>3518</v>
      </c>
      <c r="E346">
        <v>0</v>
      </c>
      <c r="F346">
        <v>1770</v>
      </c>
      <c r="G346">
        <v>3532</v>
      </c>
      <c r="H346">
        <v>0</v>
      </c>
      <c r="I346">
        <v>1770</v>
      </c>
      <c r="J346">
        <v>3245</v>
      </c>
      <c r="K346">
        <v>0</v>
      </c>
      <c r="L346">
        <v>1770</v>
      </c>
      <c r="M346">
        <v>3175</v>
      </c>
      <c r="N346">
        <v>0</v>
      </c>
    </row>
    <row r="347" spans="1:14" x14ac:dyDescent="0.3">
      <c r="A347" t="s">
        <v>692</v>
      </c>
      <c r="B347">
        <v>87</v>
      </c>
      <c r="C347">
        <v>1</v>
      </c>
      <c r="D347">
        <v>1</v>
      </c>
      <c r="E347">
        <v>1</v>
      </c>
      <c r="F347">
        <v>1</v>
      </c>
      <c r="G347">
        <v>1</v>
      </c>
      <c r="H347">
        <v>1</v>
      </c>
      <c r="I347">
        <v>1</v>
      </c>
      <c r="J347">
        <v>1</v>
      </c>
      <c r="K347">
        <v>1</v>
      </c>
      <c r="L347">
        <v>1</v>
      </c>
      <c r="M347">
        <v>1</v>
      </c>
      <c r="N347">
        <v>1</v>
      </c>
    </row>
    <row r="348" spans="1:14" x14ac:dyDescent="0.3">
      <c r="A348" t="s">
        <v>51</v>
      </c>
      <c r="B348">
        <v>87</v>
      </c>
      <c r="C348">
        <v>0</v>
      </c>
      <c r="D348">
        <v>5</v>
      </c>
      <c r="E348">
        <v>0</v>
      </c>
      <c r="F348">
        <v>0</v>
      </c>
      <c r="G348">
        <v>2</v>
      </c>
      <c r="H348">
        <v>0</v>
      </c>
      <c r="I348">
        <v>0</v>
      </c>
      <c r="J348">
        <v>20</v>
      </c>
      <c r="K348">
        <v>0</v>
      </c>
      <c r="L348">
        <v>0</v>
      </c>
      <c r="M348">
        <v>46</v>
      </c>
      <c r="N348">
        <v>0</v>
      </c>
    </row>
    <row r="349" spans="1:14" x14ac:dyDescent="0.3">
      <c r="A349" t="s">
        <v>53</v>
      </c>
      <c r="B349">
        <v>87</v>
      </c>
      <c r="C349">
        <v>17</v>
      </c>
      <c r="D349">
        <v>718</v>
      </c>
      <c r="E349">
        <v>28</v>
      </c>
      <c r="F349">
        <v>21</v>
      </c>
      <c r="G349">
        <v>483</v>
      </c>
      <c r="H349">
        <v>6</v>
      </c>
      <c r="I349">
        <v>23</v>
      </c>
      <c r="J349">
        <v>15</v>
      </c>
      <c r="K349">
        <v>18</v>
      </c>
      <c r="L349">
        <v>77</v>
      </c>
      <c r="M349">
        <v>19</v>
      </c>
      <c r="N349">
        <v>42</v>
      </c>
    </row>
    <row r="350" spans="1:14" x14ac:dyDescent="0.3">
      <c r="A350" t="s">
        <v>54</v>
      </c>
      <c r="B350">
        <v>87</v>
      </c>
      <c r="C350">
        <v>0</v>
      </c>
      <c r="D350">
        <v>0</v>
      </c>
      <c r="E350">
        <v>0</v>
      </c>
      <c r="F350">
        <v>0</v>
      </c>
      <c r="G350">
        <v>0</v>
      </c>
      <c r="H350">
        <v>0</v>
      </c>
      <c r="I350">
        <v>0</v>
      </c>
      <c r="J350">
        <v>0</v>
      </c>
      <c r="K350">
        <v>0</v>
      </c>
      <c r="L350">
        <v>0</v>
      </c>
      <c r="M350">
        <v>0</v>
      </c>
      <c r="N350">
        <v>0</v>
      </c>
    </row>
    <row r="351" spans="1:14" x14ac:dyDescent="0.3">
      <c r="A351" t="s">
        <v>55</v>
      </c>
      <c r="B351">
        <v>87</v>
      </c>
      <c r="C351">
        <v>0</v>
      </c>
      <c r="D351">
        <v>0</v>
      </c>
      <c r="E351">
        <v>0</v>
      </c>
      <c r="F351">
        <v>0</v>
      </c>
      <c r="G351">
        <v>0</v>
      </c>
      <c r="H351">
        <v>0</v>
      </c>
      <c r="I351">
        <v>0</v>
      </c>
      <c r="J351">
        <v>0</v>
      </c>
      <c r="K351">
        <v>0</v>
      </c>
      <c r="L351">
        <v>0</v>
      </c>
      <c r="M351">
        <v>0</v>
      </c>
      <c r="N351">
        <v>0</v>
      </c>
    </row>
    <row r="352" spans="1:14" x14ac:dyDescent="0.3">
      <c r="A352" t="s">
        <v>56</v>
      </c>
      <c r="B352">
        <v>87</v>
      </c>
      <c r="C352">
        <v>0.92</v>
      </c>
      <c r="D352">
        <v>0.92</v>
      </c>
      <c r="E352">
        <v>0.92</v>
      </c>
      <c r="F352">
        <v>0.92</v>
      </c>
      <c r="G352">
        <v>0.92</v>
      </c>
      <c r="H352">
        <v>0.92</v>
      </c>
      <c r="I352">
        <v>0.92</v>
      </c>
      <c r="J352">
        <v>0.92</v>
      </c>
      <c r="K352">
        <v>0.92</v>
      </c>
      <c r="L352">
        <v>0.92</v>
      </c>
      <c r="M352">
        <v>0.92</v>
      </c>
      <c r="N352">
        <v>0.92</v>
      </c>
    </row>
    <row r="353" spans="1:14" x14ac:dyDescent="0.3">
      <c r="A353" t="s">
        <v>57</v>
      </c>
      <c r="B353">
        <v>87</v>
      </c>
      <c r="C353">
        <v>100</v>
      </c>
      <c r="D353">
        <v>100</v>
      </c>
      <c r="E353">
        <v>100</v>
      </c>
      <c r="F353">
        <v>100</v>
      </c>
      <c r="G353">
        <v>100</v>
      </c>
      <c r="H353">
        <v>100</v>
      </c>
      <c r="I353">
        <v>100</v>
      </c>
      <c r="J353">
        <v>100</v>
      </c>
      <c r="K353">
        <v>100</v>
      </c>
      <c r="L353">
        <v>100</v>
      </c>
      <c r="M353">
        <v>100</v>
      </c>
      <c r="N353">
        <v>100</v>
      </c>
    </row>
    <row r="354" spans="1:14" x14ac:dyDescent="0.3">
      <c r="A354" t="s">
        <v>58</v>
      </c>
      <c r="B354">
        <v>87</v>
      </c>
      <c r="C354">
        <v>2</v>
      </c>
      <c r="D354">
        <v>2</v>
      </c>
      <c r="E354">
        <v>2</v>
      </c>
      <c r="F354">
        <v>2</v>
      </c>
      <c r="G354">
        <v>2</v>
      </c>
      <c r="H354">
        <v>2</v>
      </c>
      <c r="I354">
        <v>2</v>
      </c>
      <c r="J354">
        <v>2</v>
      </c>
      <c r="K354">
        <v>2</v>
      </c>
      <c r="L354">
        <v>2</v>
      </c>
      <c r="M354">
        <v>2</v>
      </c>
      <c r="N354">
        <v>2</v>
      </c>
    </row>
    <row r="355" spans="1:14" x14ac:dyDescent="0.3">
      <c r="A355" t="s">
        <v>59</v>
      </c>
      <c r="B355">
        <v>87</v>
      </c>
      <c r="C355">
        <v>0</v>
      </c>
      <c r="D355">
        <v>0</v>
      </c>
      <c r="E355">
        <v>0</v>
      </c>
      <c r="F355">
        <v>0</v>
      </c>
      <c r="G355">
        <v>0</v>
      </c>
      <c r="H355">
        <v>0</v>
      </c>
      <c r="I355">
        <v>0</v>
      </c>
      <c r="J355">
        <v>0</v>
      </c>
      <c r="K355">
        <v>0</v>
      </c>
      <c r="L355">
        <v>0</v>
      </c>
      <c r="M355">
        <v>0</v>
      </c>
      <c r="N355">
        <v>0</v>
      </c>
    </row>
    <row r="356" spans="1:14" x14ac:dyDescent="0.3">
      <c r="A356" t="s">
        <v>693</v>
      </c>
      <c r="B356">
        <v>87</v>
      </c>
      <c r="D356">
        <v>0</v>
      </c>
      <c r="G356">
        <v>0</v>
      </c>
      <c r="J356">
        <v>0</v>
      </c>
      <c r="M356">
        <v>0</v>
      </c>
    </row>
    <row r="357" spans="1:14" x14ac:dyDescent="0.3">
      <c r="A357" t="s">
        <v>674</v>
      </c>
      <c r="B357">
        <v>87</v>
      </c>
      <c r="D357">
        <v>570</v>
      </c>
      <c r="G357">
        <v>3996</v>
      </c>
      <c r="J357">
        <v>200</v>
      </c>
      <c r="M357">
        <v>358</v>
      </c>
    </row>
    <row r="358" spans="1:14" x14ac:dyDescent="0.3">
      <c r="A358" t="s">
        <v>78</v>
      </c>
      <c r="B358">
        <v>87</v>
      </c>
      <c r="D358">
        <v>8.6</v>
      </c>
      <c r="G358">
        <v>60.5</v>
      </c>
      <c r="J358">
        <v>3</v>
      </c>
      <c r="M358">
        <v>5.4</v>
      </c>
    </row>
    <row r="359" spans="1:14" x14ac:dyDescent="0.3">
      <c r="A359" t="s">
        <v>694</v>
      </c>
      <c r="B359">
        <v>87</v>
      </c>
      <c r="E359">
        <v>0</v>
      </c>
      <c r="H359">
        <v>0</v>
      </c>
      <c r="K359">
        <v>0</v>
      </c>
      <c r="N359">
        <v>0</v>
      </c>
    </row>
    <row r="360" spans="1:14" x14ac:dyDescent="0.3">
      <c r="A360" t="s">
        <v>695</v>
      </c>
      <c r="B360">
        <v>87</v>
      </c>
      <c r="C360">
        <v>0</v>
      </c>
      <c r="D360">
        <v>0</v>
      </c>
      <c r="E360">
        <v>1</v>
      </c>
      <c r="F360">
        <v>0</v>
      </c>
      <c r="G360">
        <v>0</v>
      </c>
      <c r="H360">
        <v>1</v>
      </c>
      <c r="I360">
        <v>0</v>
      </c>
      <c r="J360">
        <v>0</v>
      </c>
      <c r="K360">
        <v>1</v>
      </c>
      <c r="L360">
        <v>0</v>
      </c>
      <c r="M360">
        <v>0</v>
      </c>
      <c r="N360">
        <v>1</v>
      </c>
    </row>
    <row r="361" spans="1:14" x14ac:dyDescent="0.3">
      <c r="A361" t="s">
        <v>696</v>
      </c>
      <c r="B361">
        <v>87</v>
      </c>
      <c r="C361">
        <v>0</v>
      </c>
      <c r="D361">
        <v>0</v>
      </c>
      <c r="E361">
        <v>0</v>
      </c>
      <c r="F361">
        <v>0</v>
      </c>
      <c r="G361">
        <v>0</v>
      </c>
      <c r="H361">
        <v>0</v>
      </c>
      <c r="I361">
        <v>0</v>
      </c>
      <c r="J361">
        <v>0</v>
      </c>
      <c r="K361">
        <v>0</v>
      </c>
      <c r="L361">
        <v>0</v>
      </c>
      <c r="M361">
        <v>0</v>
      </c>
      <c r="N361">
        <v>0</v>
      </c>
    </row>
    <row r="362" spans="1:14" x14ac:dyDescent="0.3">
      <c r="A362" t="s">
        <v>52</v>
      </c>
      <c r="B362">
        <v>87</v>
      </c>
      <c r="C362">
        <v>1</v>
      </c>
      <c r="D362">
        <v>1</v>
      </c>
      <c r="E362">
        <v>1</v>
      </c>
      <c r="F362">
        <v>1</v>
      </c>
      <c r="G362">
        <v>1</v>
      </c>
      <c r="H362">
        <v>1</v>
      </c>
      <c r="I362">
        <v>1</v>
      </c>
      <c r="J362">
        <v>1</v>
      </c>
      <c r="K362">
        <v>1</v>
      </c>
      <c r="L362">
        <v>1</v>
      </c>
      <c r="M362">
        <v>1</v>
      </c>
      <c r="N362">
        <v>1</v>
      </c>
    </row>
    <row r="363" spans="1:14" x14ac:dyDescent="0.3">
      <c r="A363" t="s">
        <v>697</v>
      </c>
      <c r="B363">
        <v>87</v>
      </c>
      <c r="C363">
        <v>15</v>
      </c>
      <c r="D363">
        <v>60</v>
      </c>
      <c r="E363">
        <v>9</v>
      </c>
      <c r="F363">
        <v>15</v>
      </c>
      <c r="G363">
        <v>60</v>
      </c>
      <c r="H363">
        <v>9</v>
      </c>
      <c r="I363">
        <v>15</v>
      </c>
      <c r="J363">
        <v>60</v>
      </c>
      <c r="K363">
        <v>9</v>
      </c>
      <c r="L363">
        <v>15</v>
      </c>
      <c r="M363">
        <v>60</v>
      </c>
      <c r="N363">
        <v>9</v>
      </c>
    </row>
    <row r="364" spans="1:14" x14ac:dyDescent="0.3">
      <c r="A364" t="s">
        <v>43</v>
      </c>
      <c r="B364">
        <v>87</v>
      </c>
      <c r="C364">
        <v>20</v>
      </c>
      <c r="D364">
        <v>100</v>
      </c>
      <c r="F364">
        <v>20</v>
      </c>
      <c r="G364">
        <v>100</v>
      </c>
      <c r="I364">
        <v>20</v>
      </c>
      <c r="J364">
        <v>100</v>
      </c>
      <c r="L364">
        <v>20</v>
      </c>
      <c r="M364">
        <v>100</v>
      </c>
    </row>
    <row r="365" spans="1:14" x14ac:dyDescent="0.3">
      <c r="A365" t="s">
        <v>44</v>
      </c>
      <c r="B365">
        <v>87</v>
      </c>
      <c r="C365">
        <v>0</v>
      </c>
      <c r="D365">
        <v>0</v>
      </c>
      <c r="F365">
        <v>0</v>
      </c>
      <c r="G365">
        <v>0</v>
      </c>
      <c r="I365">
        <v>0</v>
      </c>
      <c r="J365">
        <v>0</v>
      </c>
      <c r="L365">
        <v>0</v>
      </c>
      <c r="M365">
        <v>0</v>
      </c>
    </row>
    <row r="366" spans="1:14" x14ac:dyDescent="0.3">
      <c r="A366" t="s">
        <v>47</v>
      </c>
      <c r="B366">
        <v>87</v>
      </c>
      <c r="C366">
        <v>5</v>
      </c>
      <c r="D366">
        <v>2</v>
      </c>
      <c r="F366">
        <v>1</v>
      </c>
      <c r="G366">
        <v>6</v>
      </c>
      <c r="I366">
        <v>3</v>
      </c>
      <c r="J366">
        <v>8</v>
      </c>
      <c r="L366">
        <v>7</v>
      </c>
      <c r="M366">
        <v>4</v>
      </c>
    </row>
    <row r="367" spans="1:14" x14ac:dyDescent="0.3">
      <c r="A367" t="s">
        <v>698</v>
      </c>
      <c r="B367">
        <v>87</v>
      </c>
      <c r="C367">
        <v>0</v>
      </c>
      <c r="D367">
        <v>0</v>
      </c>
      <c r="F367">
        <v>0</v>
      </c>
      <c r="G367">
        <v>0</v>
      </c>
      <c r="I367">
        <v>0</v>
      </c>
      <c r="J367">
        <v>0</v>
      </c>
      <c r="L367">
        <v>0</v>
      </c>
      <c r="M367">
        <v>0</v>
      </c>
    </row>
    <row r="368" spans="1:14" x14ac:dyDescent="0.3">
      <c r="A368" t="s">
        <v>699</v>
      </c>
      <c r="B368">
        <v>87</v>
      </c>
      <c r="C368">
        <v>0</v>
      </c>
      <c r="D368">
        <v>0</v>
      </c>
      <c r="F368">
        <v>0</v>
      </c>
      <c r="G368">
        <v>0</v>
      </c>
      <c r="I368">
        <v>0</v>
      </c>
      <c r="J368">
        <v>0</v>
      </c>
      <c r="L368">
        <v>0</v>
      </c>
      <c r="M368">
        <v>0</v>
      </c>
    </row>
    <row r="369" spans="1:14" x14ac:dyDescent="0.3">
      <c r="A369" t="s">
        <v>700</v>
      </c>
      <c r="B369">
        <v>87</v>
      </c>
      <c r="C369">
        <v>0</v>
      </c>
      <c r="D369">
        <v>0</v>
      </c>
      <c r="F369">
        <v>0</v>
      </c>
      <c r="G369">
        <v>0</v>
      </c>
      <c r="I369">
        <v>0</v>
      </c>
      <c r="J369">
        <v>0</v>
      </c>
      <c r="L369">
        <v>0</v>
      </c>
      <c r="M369">
        <v>0</v>
      </c>
    </row>
    <row r="370" spans="1:14" x14ac:dyDescent="0.3">
      <c r="A370" t="s">
        <v>701</v>
      </c>
      <c r="B370">
        <v>87</v>
      </c>
      <c r="C370">
        <v>0</v>
      </c>
      <c r="D370">
        <v>0</v>
      </c>
      <c r="F370">
        <v>0</v>
      </c>
      <c r="G370">
        <v>0</v>
      </c>
      <c r="I370">
        <v>0</v>
      </c>
      <c r="J370">
        <v>0</v>
      </c>
      <c r="L370">
        <v>0</v>
      </c>
      <c r="M370">
        <v>0</v>
      </c>
    </row>
    <row r="371" spans="1:14" x14ac:dyDescent="0.3">
      <c r="A371" t="s">
        <v>702</v>
      </c>
      <c r="B371">
        <v>87</v>
      </c>
      <c r="C371">
        <v>1</v>
      </c>
      <c r="D371">
        <v>2</v>
      </c>
      <c r="F371">
        <v>1</v>
      </c>
      <c r="G371">
        <v>2</v>
      </c>
      <c r="I371">
        <v>1</v>
      </c>
      <c r="J371">
        <v>2</v>
      </c>
      <c r="L371">
        <v>1</v>
      </c>
      <c r="M371">
        <v>2</v>
      </c>
    </row>
    <row r="372" spans="1:14" x14ac:dyDescent="0.3">
      <c r="A372" t="s">
        <v>703</v>
      </c>
      <c r="B372">
        <v>87</v>
      </c>
      <c r="C372">
        <v>0</v>
      </c>
      <c r="D372">
        <v>0</v>
      </c>
      <c r="F372">
        <v>0</v>
      </c>
      <c r="G372">
        <v>0</v>
      </c>
      <c r="I372">
        <v>0</v>
      </c>
      <c r="J372">
        <v>0</v>
      </c>
      <c r="L372">
        <v>0</v>
      </c>
      <c r="M372">
        <v>0</v>
      </c>
    </row>
    <row r="373" spans="1:14" x14ac:dyDescent="0.3">
      <c r="A373" t="s">
        <v>704</v>
      </c>
      <c r="B373">
        <v>87</v>
      </c>
      <c r="C373">
        <v>20</v>
      </c>
      <c r="D373">
        <v>6</v>
      </c>
      <c r="F373">
        <v>20</v>
      </c>
      <c r="G373">
        <v>6</v>
      </c>
      <c r="I373">
        <v>20</v>
      </c>
      <c r="J373">
        <v>6</v>
      </c>
      <c r="L373">
        <v>20</v>
      </c>
      <c r="M373">
        <v>6</v>
      </c>
    </row>
    <row r="374" spans="1:14" x14ac:dyDescent="0.3">
      <c r="A374" t="s">
        <v>705</v>
      </c>
      <c r="B374">
        <v>87</v>
      </c>
      <c r="C374">
        <v>3</v>
      </c>
      <c r="D374">
        <v>3</v>
      </c>
      <c r="F374">
        <v>3</v>
      </c>
      <c r="G374">
        <v>3</v>
      </c>
      <c r="I374">
        <v>3</v>
      </c>
      <c r="J374">
        <v>3</v>
      </c>
      <c r="L374">
        <v>3</v>
      </c>
      <c r="M374">
        <v>3</v>
      </c>
    </row>
    <row r="375" spans="1:14" x14ac:dyDescent="0.3">
      <c r="A375" t="s">
        <v>706</v>
      </c>
      <c r="B375">
        <v>87</v>
      </c>
      <c r="C375">
        <v>0</v>
      </c>
      <c r="D375">
        <v>0</v>
      </c>
      <c r="F375">
        <v>0</v>
      </c>
      <c r="G375">
        <v>0</v>
      </c>
      <c r="I375">
        <v>0</v>
      </c>
      <c r="J375">
        <v>0</v>
      </c>
      <c r="L375">
        <v>0</v>
      </c>
      <c r="M375">
        <v>0</v>
      </c>
    </row>
    <row r="376" spans="1:14" x14ac:dyDescent="0.3">
      <c r="A376" t="s">
        <v>707</v>
      </c>
      <c r="B376">
        <v>87</v>
      </c>
      <c r="C376">
        <v>0</v>
      </c>
      <c r="D376">
        <v>0</v>
      </c>
      <c r="F376">
        <v>0</v>
      </c>
      <c r="G376">
        <v>0</v>
      </c>
      <c r="I376">
        <v>0</v>
      </c>
      <c r="J376">
        <v>0</v>
      </c>
      <c r="L376">
        <v>0</v>
      </c>
      <c r="M376">
        <v>0</v>
      </c>
    </row>
    <row r="377" spans="1:14" x14ac:dyDescent="0.3">
      <c r="A377" t="s">
        <v>708</v>
      </c>
      <c r="B377">
        <v>87</v>
      </c>
      <c r="C377">
        <v>0</v>
      </c>
      <c r="D377">
        <v>0</v>
      </c>
      <c r="F377">
        <v>0</v>
      </c>
      <c r="G377">
        <v>0</v>
      </c>
      <c r="I377">
        <v>0</v>
      </c>
      <c r="J377">
        <v>0</v>
      </c>
      <c r="L377">
        <v>0</v>
      </c>
      <c r="M377">
        <v>0</v>
      </c>
    </row>
    <row r="378" spans="1:14" x14ac:dyDescent="0.3">
      <c r="A378" t="s">
        <v>709</v>
      </c>
      <c r="B378">
        <v>87</v>
      </c>
      <c r="D378">
        <v>94</v>
      </c>
      <c r="G378">
        <v>94</v>
      </c>
      <c r="J378">
        <v>94</v>
      </c>
      <c r="M378">
        <v>94</v>
      </c>
    </row>
    <row r="379" spans="1:14" x14ac:dyDescent="0.3">
      <c r="A379" t="s">
        <v>710</v>
      </c>
      <c r="B379">
        <v>87</v>
      </c>
      <c r="D379">
        <v>6</v>
      </c>
      <c r="G379">
        <v>6</v>
      </c>
      <c r="J379">
        <v>6</v>
      </c>
      <c r="M379">
        <v>6</v>
      </c>
    </row>
    <row r="380" spans="1:14" x14ac:dyDescent="0.3">
      <c r="A380" t="s">
        <v>711</v>
      </c>
      <c r="B380">
        <v>87</v>
      </c>
      <c r="D380">
        <v>3</v>
      </c>
      <c r="G380">
        <v>3</v>
      </c>
      <c r="J380">
        <v>3</v>
      </c>
      <c r="M380">
        <v>3</v>
      </c>
    </row>
    <row r="381" spans="1:14" x14ac:dyDescent="0.3">
      <c r="A381" t="s">
        <v>712</v>
      </c>
      <c r="B381">
        <v>87</v>
      </c>
      <c r="D381">
        <v>0</v>
      </c>
      <c r="G381">
        <v>0</v>
      </c>
      <c r="J381">
        <v>0</v>
      </c>
      <c r="M381">
        <v>0</v>
      </c>
    </row>
    <row r="382" spans="1:14" x14ac:dyDescent="0.3">
      <c r="A382" t="s">
        <v>713</v>
      </c>
      <c r="B382">
        <v>87</v>
      </c>
      <c r="D382">
        <v>0</v>
      </c>
      <c r="G382">
        <v>0</v>
      </c>
      <c r="J382">
        <v>0</v>
      </c>
      <c r="M382">
        <v>0</v>
      </c>
    </row>
    <row r="383" spans="1:14" x14ac:dyDescent="0.3">
      <c r="A383" t="s">
        <v>405</v>
      </c>
      <c r="B383">
        <v>87</v>
      </c>
      <c r="D383">
        <v>0</v>
      </c>
    </row>
    <row r="384" spans="1:14" x14ac:dyDescent="0.3">
      <c r="A384" t="s">
        <v>714</v>
      </c>
      <c r="B384">
        <v>87</v>
      </c>
      <c r="C384">
        <v>18</v>
      </c>
      <c r="D384">
        <v>810</v>
      </c>
      <c r="E384">
        <v>0</v>
      </c>
      <c r="F384">
        <v>23</v>
      </c>
      <c r="G384">
        <v>532</v>
      </c>
      <c r="H384">
        <v>0</v>
      </c>
      <c r="I384">
        <v>25</v>
      </c>
      <c r="J384">
        <v>36</v>
      </c>
      <c r="K384">
        <v>0</v>
      </c>
      <c r="L384">
        <v>84</v>
      </c>
      <c r="M384">
        <v>67</v>
      </c>
      <c r="N384">
        <v>0</v>
      </c>
    </row>
    <row r="385" spans="1:11" x14ac:dyDescent="0.3">
      <c r="A385" t="s">
        <v>34</v>
      </c>
      <c r="B385">
        <v>98</v>
      </c>
      <c r="C385">
        <v>87</v>
      </c>
      <c r="D385">
        <v>87</v>
      </c>
      <c r="G385">
        <v>84</v>
      </c>
      <c r="H385">
        <v>84</v>
      </c>
      <c r="I385">
        <v>97</v>
      </c>
      <c r="K385">
        <v>97</v>
      </c>
    </row>
    <row r="386" spans="1:11" x14ac:dyDescent="0.3">
      <c r="A386" t="s">
        <v>35</v>
      </c>
      <c r="B386">
        <v>98</v>
      </c>
      <c r="C386">
        <v>97</v>
      </c>
      <c r="D386">
        <v>84</v>
      </c>
      <c r="G386">
        <v>87</v>
      </c>
      <c r="H386">
        <v>97</v>
      </c>
      <c r="I386">
        <v>84</v>
      </c>
      <c r="K386">
        <v>87</v>
      </c>
    </row>
    <row r="387" spans="1:11" x14ac:dyDescent="0.3">
      <c r="A387" t="s">
        <v>36</v>
      </c>
      <c r="B387">
        <v>98</v>
      </c>
      <c r="C387">
        <v>1</v>
      </c>
      <c r="D387">
        <v>2</v>
      </c>
      <c r="G387">
        <v>3</v>
      </c>
      <c r="H387">
        <v>0</v>
      </c>
      <c r="I387">
        <v>3</v>
      </c>
      <c r="K387">
        <v>0</v>
      </c>
    </row>
    <row r="388" spans="1:11" x14ac:dyDescent="0.3">
      <c r="A388" t="s">
        <v>37</v>
      </c>
      <c r="B388">
        <v>98</v>
      </c>
      <c r="C388">
        <v>0</v>
      </c>
      <c r="D388">
        <v>0</v>
      </c>
      <c r="G388">
        <v>2</v>
      </c>
      <c r="I388">
        <v>2</v>
      </c>
    </row>
    <row r="389" spans="1:11" x14ac:dyDescent="0.3">
      <c r="A389" t="s">
        <v>38</v>
      </c>
      <c r="B389">
        <v>98</v>
      </c>
      <c r="C389">
        <v>12</v>
      </c>
      <c r="D389">
        <v>12</v>
      </c>
      <c r="G389">
        <v>12</v>
      </c>
      <c r="H389">
        <v>12</v>
      </c>
      <c r="I389">
        <v>12</v>
      </c>
      <c r="K389">
        <v>12</v>
      </c>
    </row>
    <row r="390" spans="1:11" x14ac:dyDescent="0.3">
      <c r="A390" t="s">
        <v>39</v>
      </c>
      <c r="B390">
        <v>98</v>
      </c>
    </row>
    <row r="391" spans="1:11" x14ac:dyDescent="0.3">
      <c r="A391" t="s">
        <v>689</v>
      </c>
      <c r="B391">
        <v>98</v>
      </c>
    </row>
    <row r="392" spans="1:11" x14ac:dyDescent="0.3">
      <c r="A392" t="s">
        <v>40</v>
      </c>
      <c r="B392">
        <v>98</v>
      </c>
    </row>
    <row r="393" spans="1:11" x14ac:dyDescent="0.3">
      <c r="A393" t="s">
        <v>41</v>
      </c>
      <c r="B393">
        <v>98</v>
      </c>
    </row>
    <row r="394" spans="1:11" x14ac:dyDescent="0.3">
      <c r="A394" t="s">
        <v>42</v>
      </c>
      <c r="B394">
        <v>98</v>
      </c>
      <c r="D394">
        <v>45</v>
      </c>
      <c r="G394">
        <v>45</v>
      </c>
      <c r="I394">
        <v>45</v>
      </c>
    </row>
    <row r="395" spans="1:11" x14ac:dyDescent="0.3">
      <c r="A395" t="s">
        <v>45</v>
      </c>
      <c r="B395">
        <v>98</v>
      </c>
      <c r="C395">
        <v>5</v>
      </c>
      <c r="D395">
        <v>2</v>
      </c>
      <c r="G395">
        <v>6</v>
      </c>
      <c r="I395">
        <v>4</v>
      </c>
    </row>
    <row r="396" spans="1:11" x14ac:dyDescent="0.3">
      <c r="A396" t="s">
        <v>49</v>
      </c>
      <c r="B396">
        <v>98</v>
      </c>
      <c r="C396">
        <v>4</v>
      </c>
      <c r="D396">
        <v>6.2</v>
      </c>
      <c r="G396">
        <v>6.2</v>
      </c>
      <c r="H396">
        <v>4</v>
      </c>
      <c r="I396">
        <v>5.8</v>
      </c>
      <c r="K396">
        <v>4</v>
      </c>
    </row>
    <row r="397" spans="1:11" x14ac:dyDescent="0.3">
      <c r="A397" t="s">
        <v>690</v>
      </c>
      <c r="B397">
        <v>98</v>
      </c>
      <c r="C397">
        <v>0</v>
      </c>
      <c r="D397">
        <v>0</v>
      </c>
      <c r="G397">
        <v>0</v>
      </c>
      <c r="H397">
        <v>0</v>
      </c>
      <c r="I397">
        <v>0</v>
      </c>
      <c r="K397">
        <v>0</v>
      </c>
    </row>
    <row r="398" spans="1:11" x14ac:dyDescent="0.3">
      <c r="A398" t="s">
        <v>48</v>
      </c>
      <c r="B398">
        <v>98</v>
      </c>
      <c r="C398">
        <v>1900</v>
      </c>
      <c r="D398">
        <v>1900</v>
      </c>
      <c r="G398">
        <v>1900</v>
      </c>
      <c r="H398">
        <v>1900</v>
      </c>
      <c r="I398">
        <v>1900</v>
      </c>
      <c r="K398">
        <v>1900</v>
      </c>
    </row>
    <row r="399" spans="1:11" x14ac:dyDescent="0.3">
      <c r="A399" t="s">
        <v>691</v>
      </c>
      <c r="B399">
        <v>98</v>
      </c>
      <c r="C399">
        <v>1770</v>
      </c>
      <c r="D399">
        <v>3539</v>
      </c>
      <c r="G399">
        <v>5055</v>
      </c>
      <c r="H399">
        <v>0</v>
      </c>
      <c r="I399">
        <v>4721</v>
      </c>
      <c r="K399">
        <v>0</v>
      </c>
    </row>
    <row r="400" spans="1:11" x14ac:dyDescent="0.3">
      <c r="A400" t="s">
        <v>50</v>
      </c>
      <c r="B400">
        <v>98</v>
      </c>
      <c r="C400">
        <v>1770</v>
      </c>
      <c r="D400">
        <v>3539</v>
      </c>
      <c r="G400">
        <v>5055</v>
      </c>
      <c r="H400">
        <v>0</v>
      </c>
      <c r="I400">
        <v>4721</v>
      </c>
      <c r="K400">
        <v>0</v>
      </c>
    </row>
    <row r="401" spans="1:11" x14ac:dyDescent="0.3">
      <c r="A401" t="s">
        <v>692</v>
      </c>
      <c r="B401">
        <v>98</v>
      </c>
      <c r="C401">
        <v>1</v>
      </c>
      <c r="D401">
        <v>1</v>
      </c>
      <c r="G401">
        <v>1</v>
      </c>
      <c r="H401">
        <v>1</v>
      </c>
      <c r="I401">
        <v>1</v>
      </c>
      <c r="K401">
        <v>1</v>
      </c>
    </row>
    <row r="402" spans="1:11" x14ac:dyDescent="0.3">
      <c r="A402" t="s">
        <v>51</v>
      </c>
      <c r="B402">
        <v>98</v>
      </c>
      <c r="C402">
        <v>0</v>
      </c>
      <c r="D402">
        <v>0</v>
      </c>
      <c r="G402">
        <v>12</v>
      </c>
      <c r="H402">
        <v>0</v>
      </c>
      <c r="I402">
        <v>27</v>
      </c>
      <c r="K402">
        <v>0</v>
      </c>
    </row>
    <row r="403" spans="1:11" x14ac:dyDescent="0.3">
      <c r="A403" t="s">
        <v>53</v>
      </c>
      <c r="B403">
        <v>98</v>
      </c>
      <c r="C403">
        <v>74</v>
      </c>
      <c r="D403">
        <v>730</v>
      </c>
      <c r="G403">
        <v>558</v>
      </c>
      <c r="H403">
        <v>25</v>
      </c>
      <c r="I403">
        <v>21</v>
      </c>
      <c r="K403">
        <v>25</v>
      </c>
    </row>
    <row r="404" spans="1:11" x14ac:dyDescent="0.3">
      <c r="A404" t="s">
        <v>54</v>
      </c>
      <c r="B404">
        <v>98</v>
      </c>
      <c r="C404">
        <v>0</v>
      </c>
      <c r="D404">
        <v>0</v>
      </c>
      <c r="G404">
        <v>0</v>
      </c>
      <c r="H404">
        <v>0</v>
      </c>
      <c r="I404">
        <v>0</v>
      </c>
      <c r="K404">
        <v>0</v>
      </c>
    </row>
    <row r="405" spans="1:11" x14ac:dyDescent="0.3">
      <c r="A405" t="s">
        <v>55</v>
      </c>
      <c r="B405">
        <v>98</v>
      </c>
      <c r="C405">
        <v>0</v>
      </c>
      <c r="D405">
        <v>0</v>
      </c>
      <c r="G405">
        <v>0</v>
      </c>
      <c r="H405">
        <v>0</v>
      </c>
      <c r="I405">
        <v>0</v>
      </c>
      <c r="K405">
        <v>0</v>
      </c>
    </row>
    <row r="406" spans="1:11" x14ac:dyDescent="0.3">
      <c r="A406" t="s">
        <v>56</v>
      </c>
      <c r="B406">
        <v>98</v>
      </c>
      <c r="C406">
        <v>0.92</v>
      </c>
      <c r="D406">
        <v>0.92</v>
      </c>
      <c r="G406">
        <v>0.92</v>
      </c>
      <c r="H406">
        <v>0.92</v>
      </c>
      <c r="I406">
        <v>0.92</v>
      </c>
      <c r="K406">
        <v>0.92</v>
      </c>
    </row>
    <row r="407" spans="1:11" x14ac:dyDescent="0.3">
      <c r="A407" t="s">
        <v>57</v>
      </c>
      <c r="B407">
        <v>98</v>
      </c>
      <c r="C407">
        <v>100</v>
      </c>
      <c r="D407">
        <v>100</v>
      </c>
      <c r="G407">
        <v>100</v>
      </c>
      <c r="H407">
        <v>100</v>
      </c>
      <c r="I407">
        <v>100</v>
      </c>
      <c r="K407">
        <v>100</v>
      </c>
    </row>
    <row r="408" spans="1:11" x14ac:dyDescent="0.3">
      <c r="A408" t="s">
        <v>58</v>
      </c>
      <c r="B408">
        <v>98</v>
      </c>
      <c r="C408">
        <v>2</v>
      </c>
      <c r="D408">
        <v>2</v>
      </c>
      <c r="G408">
        <v>2</v>
      </c>
      <c r="H408">
        <v>2</v>
      </c>
      <c r="I408">
        <v>2</v>
      </c>
      <c r="K408">
        <v>2</v>
      </c>
    </row>
    <row r="409" spans="1:11" x14ac:dyDescent="0.3">
      <c r="A409" t="s">
        <v>59</v>
      </c>
      <c r="B409">
        <v>98</v>
      </c>
      <c r="C409">
        <v>0</v>
      </c>
      <c r="D409">
        <v>0</v>
      </c>
      <c r="G409">
        <v>0</v>
      </c>
      <c r="H409">
        <v>0</v>
      </c>
      <c r="I409">
        <v>0</v>
      </c>
      <c r="K409">
        <v>0</v>
      </c>
    </row>
    <row r="410" spans="1:11" x14ac:dyDescent="0.3">
      <c r="A410" t="s">
        <v>693</v>
      </c>
      <c r="B410">
        <v>98</v>
      </c>
      <c r="D410">
        <v>0</v>
      </c>
      <c r="G410">
        <v>0</v>
      </c>
      <c r="I410">
        <v>0</v>
      </c>
    </row>
    <row r="411" spans="1:11" x14ac:dyDescent="0.3">
      <c r="A411" t="s">
        <v>674</v>
      </c>
      <c r="B411">
        <v>98</v>
      </c>
      <c r="D411">
        <v>3996</v>
      </c>
      <c r="G411">
        <v>1314</v>
      </c>
      <c r="I411">
        <v>285</v>
      </c>
    </row>
    <row r="412" spans="1:11" x14ac:dyDescent="0.3">
      <c r="A412" t="s">
        <v>78</v>
      </c>
      <c r="B412">
        <v>98</v>
      </c>
      <c r="D412">
        <v>60.5</v>
      </c>
      <c r="G412">
        <v>19.899999999999999</v>
      </c>
      <c r="I412">
        <v>4.3</v>
      </c>
    </row>
    <row r="413" spans="1:11" x14ac:dyDescent="0.3">
      <c r="A413" t="s">
        <v>694</v>
      </c>
      <c r="B413">
        <v>98</v>
      </c>
      <c r="D413">
        <v>0</v>
      </c>
      <c r="H413">
        <v>0</v>
      </c>
      <c r="K413">
        <v>0</v>
      </c>
    </row>
    <row r="414" spans="1:11" x14ac:dyDescent="0.3">
      <c r="A414" t="s">
        <v>695</v>
      </c>
      <c r="B414">
        <v>98</v>
      </c>
      <c r="C414">
        <v>0</v>
      </c>
      <c r="D414">
        <v>0</v>
      </c>
      <c r="G414">
        <v>0</v>
      </c>
      <c r="H414">
        <v>1</v>
      </c>
      <c r="I414">
        <v>0</v>
      </c>
      <c r="K414">
        <v>1</v>
      </c>
    </row>
    <row r="415" spans="1:11" x14ac:dyDescent="0.3">
      <c r="A415" t="s">
        <v>696</v>
      </c>
      <c r="B415">
        <v>98</v>
      </c>
      <c r="C415">
        <v>0</v>
      </c>
      <c r="D415">
        <v>0</v>
      </c>
      <c r="G415">
        <v>0</v>
      </c>
      <c r="H415">
        <v>0</v>
      </c>
      <c r="I415">
        <v>0</v>
      </c>
      <c r="K415">
        <v>0</v>
      </c>
    </row>
    <row r="416" spans="1:11" x14ac:dyDescent="0.3">
      <c r="A416" t="s">
        <v>52</v>
      </c>
      <c r="B416">
        <v>98</v>
      </c>
      <c r="C416">
        <v>1</v>
      </c>
      <c r="D416">
        <v>1</v>
      </c>
      <c r="G416">
        <v>1</v>
      </c>
      <c r="H416">
        <v>1</v>
      </c>
      <c r="I416">
        <v>1</v>
      </c>
      <c r="K416">
        <v>1</v>
      </c>
    </row>
    <row r="417" spans="1:11" x14ac:dyDescent="0.3">
      <c r="A417" t="s">
        <v>697</v>
      </c>
      <c r="B417">
        <v>98</v>
      </c>
      <c r="C417">
        <v>15</v>
      </c>
      <c r="D417">
        <v>60</v>
      </c>
      <c r="G417">
        <v>60</v>
      </c>
      <c r="H417">
        <v>9</v>
      </c>
      <c r="I417">
        <v>15</v>
      </c>
      <c r="K417">
        <v>9</v>
      </c>
    </row>
    <row r="418" spans="1:11" x14ac:dyDescent="0.3">
      <c r="A418" t="s">
        <v>43</v>
      </c>
      <c r="B418">
        <v>98</v>
      </c>
      <c r="C418">
        <v>20</v>
      </c>
      <c r="D418">
        <v>100</v>
      </c>
      <c r="G418">
        <v>100</v>
      </c>
      <c r="I418">
        <v>20</v>
      </c>
    </row>
    <row r="419" spans="1:11" x14ac:dyDescent="0.3">
      <c r="A419" t="s">
        <v>44</v>
      </c>
      <c r="B419">
        <v>98</v>
      </c>
      <c r="C419">
        <v>0</v>
      </c>
      <c r="D419">
        <v>0</v>
      </c>
      <c r="G419">
        <v>0</v>
      </c>
      <c r="I419">
        <v>0</v>
      </c>
    </row>
    <row r="420" spans="1:11" x14ac:dyDescent="0.3">
      <c r="A420" t="s">
        <v>47</v>
      </c>
      <c r="B420">
        <v>98</v>
      </c>
      <c r="C420">
        <v>5</v>
      </c>
      <c r="D420">
        <v>2</v>
      </c>
      <c r="G420">
        <v>6</v>
      </c>
      <c r="I420">
        <v>4</v>
      </c>
    </row>
    <row r="421" spans="1:11" x14ac:dyDescent="0.3">
      <c r="A421" t="s">
        <v>698</v>
      </c>
      <c r="B421">
        <v>98</v>
      </c>
      <c r="C421">
        <v>0</v>
      </c>
      <c r="D421">
        <v>0</v>
      </c>
      <c r="G421">
        <v>0</v>
      </c>
      <c r="I421">
        <v>0</v>
      </c>
    </row>
    <row r="422" spans="1:11" x14ac:dyDescent="0.3">
      <c r="A422" t="s">
        <v>699</v>
      </c>
      <c r="B422">
        <v>98</v>
      </c>
      <c r="C422">
        <v>0</v>
      </c>
      <c r="D422">
        <v>0</v>
      </c>
      <c r="G422">
        <v>0</v>
      </c>
      <c r="I422">
        <v>0</v>
      </c>
    </row>
    <row r="423" spans="1:11" x14ac:dyDescent="0.3">
      <c r="A423" t="s">
        <v>700</v>
      </c>
      <c r="B423">
        <v>98</v>
      </c>
      <c r="C423">
        <v>0</v>
      </c>
      <c r="D423">
        <v>0</v>
      </c>
      <c r="G423">
        <v>0</v>
      </c>
      <c r="I423">
        <v>0</v>
      </c>
    </row>
    <row r="424" spans="1:11" x14ac:dyDescent="0.3">
      <c r="A424" t="s">
        <v>701</v>
      </c>
      <c r="B424">
        <v>98</v>
      </c>
      <c r="C424">
        <v>0</v>
      </c>
      <c r="D424">
        <v>0</v>
      </c>
      <c r="G424">
        <v>0</v>
      </c>
      <c r="I424">
        <v>0</v>
      </c>
    </row>
    <row r="425" spans="1:11" x14ac:dyDescent="0.3">
      <c r="A425" t="s">
        <v>702</v>
      </c>
      <c r="B425">
        <v>98</v>
      </c>
      <c r="C425">
        <v>1</v>
      </c>
      <c r="D425">
        <v>2</v>
      </c>
      <c r="G425">
        <v>2</v>
      </c>
      <c r="I425">
        <v>1</v>
      </c>
    </row>
    <row r="426" spans="1:11" x14ac:dyDescent="0.3">
      <c r="A426" t="s">
        <v>703</v>
      </c>
      <c r="B426">
        <v>98</v>
      </c>
      <c r="C426">
        <v>0</v>
      </c>
      <c r="D426">
        <v>0</v>
      </c>
      <c r="G426">
        <v>0</v>
      </c>
      <c r="I426">
        <v>0</v>
      </c>
    </row>
    <row r="427" spans="1:11" x14ac:dyDescent="0.3">
      <c r="A427" t="s">
        <v>704</v>
      </c>
      <c r="B427">
        <v>98</v>
      </c>
      <c r="C427">
        <v>20</v>
      </c>
      <c r="D427">
        <v>6</v>
      </c>
      <c r="G427">
        <v>6</v>
      </c>
      <c r="I427">
        <v>20</v>
      </c>
    </row>
    <row r="428" spans="1:11" x14ac:dyDescent="0.3">
      <c r="A428" t="s">
        <v>705</v>
      </c>
      <c r="B428">
        <v>98</v>
      </c>
      <c r="C428">
        <v>3</v>
      </c>
      <c r="D428">
        <v>3</v>
      </c>
      <c r="G428">
        <v>3</v>
      </c>
      <c r="I428">
        <v>3</v>
      </c>
    </row>
    <row r="429" spans="1:11" x14ac:dyDescent="0.3">
      <c r="A429" t="s">
        <v>706</v>
      </c>
      <c r="B429">
        <v>98</v>
      </c>
      <c r="C429">
        <v>0</v>
      </c>
      <c r="D429">
        <v>0</v>
      </c>
      <c r="G429">
        <v>0</v>
      </c>
      <c r="I429">
        <v>0</v>
      </c>
    </row>
    <row r="430" spans="1:11" x14ac:dyDescent="0.3">
      <c r="A430" t="s">
        <v>707</v>
      </c>
      <c r="B430">
        <v>98</v>
      </c>
      <c r="C430">
        <v>0</v>
      </c>
      <c r="D430">
        <v>0</v>
      </c>
      <c r="G430">
        <v>0</v>
      </c>
      <c r="I430">
        <v>0</v>
      </c>
    </row>
    <row r="431" spans="1:11" x14ac:dyDescent="0.3">
      <c r="A431" t="s">
        <v>708</v>
      </c>
      <c r="B431">
        <v>98</v>
      </c>
      <c r="C431">
        <v>0</v>
      </c>
      <c r="D431">
        <v>0</v>
      </c>
      <c r="G431">
        <v>0</v>
      </c>
      <c r="I431">
        <v>0</v>
      </c>
    </row>
    <row r="432" spans="1:11" x14ac:dyDescent="0.3">
      <c r="A432" t="s">
        <v>709</v>
      </c>
      <c r="B432">
        <v>98</v>
      </c>
      <c r="D432">
        <v>94</v>
      </c>
      <c r="G432">
        <v>94</v>
      </c>
    </row>
    <row r="433" spans="1:11" x14ac:dyDescent="0.3">
      <c r="A433" t="s">
        <v>710</v>
      </c>
      <c r="B433">
        <v>98</v>
      </c>
      <c r="D433">
        <v>6</v>
      </c>
      <c r="G433">
        <v>6</v>
      </c>
    </row>
    <row r="434" spans="1:11" x14ac:dyDescent="0.3">
      <c r="A434" t="s">
        <v>711</v>
      </c>
      <c r="B434">
        <v>98</v>
      </c>
      <c r="D434">
        <v>3</v>
      </c>
      <c r="G434">
        <v>3</v>
      </c>
    </row>
    <row r="435" spans="1:11" x14ac:dyDescent="0.3">
      <c r="A435" t="s">
        <v>712</v>
      </c>
      <c r="B435">
        <v>98</v>
      </c>
      <c r="D435">
        <v>0</v>
      </c>
      <c r="G435">
        <v>0</v>
      </c>
    </row>
    <row r="436" spans="1:11" x14ac:dyDescent="0.3">
      <c r="A436" t="s">
        <v>713</v>
      </c>
      <c r="B436">
        <v>98</v>
      </c>
      <c r="D436">
        <v>0</v>
      </c>
      <c r="G436">
        <v>0</v>
      </c>
      <c r="I436">
        <v>0</v>
      </c>
    </row>
    <row r="437" spans="1:11" x14ac:dyDescent="0.3">
      <c r="A437" t="s">
        <v>405</v>
      </c>
      <c r="B437">
        <v>98</v>
      </c>
      <c r="D437">
        <v>0</v>
      </c>
    </row>
    <row r="438" spans="1:11" x14ac:dyDescent="0.3">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24" sqref="A24:C33"/>
    </sheetView>
  </sheetViews>
  <sheetFormatPr defaultRowHeight="14.4" x14ac:dyDescent="0.3"/>
  <sheetData>
    <row r="1" spans="1:3" x14ac:dyDescent="0.3">
      <c r="A1" t="s">
        <v>565</v>
      </c>
    </row>
    <row r="2" spans="1:3" x14ac:dyDescent="0.3">
      <c r="A2" t="s">
        <v>715</v>
      </c>
    </row>
    <row r="3" spans="1:3" x14ac:dyDescent="0.3">
      <c r="A3" t="s">
        <v>0</v>
      </c>
      <c r="B3" t="s">
        <v>1</v>
      </c>
      <c r="C3" t="s">
        <v>643</v>
      </c>
    </row>
    <row r="4" spans="1:3" x14ac:dyDescent="0.3">
      <c r="A4" t="s">
        <v>716</v>
      </c>
      <c r="B4">
        <v>39</v>
      </c>
      <c r="C4">
        <v>0</v>
      </c>
    </row>
    <row r="5" spans="1:3" x14ac:dyDescent="0.3">
      <c r="A5" t="s">
        <v>717</v>
      </c>
      <c r="B5">
        <v>39</v>
      </c>
      <c r="C5">
        <v>73.2</v>
      </c>
    </row>
    <row r="6" spans="1:3" x14ac:dyDescent="0.3">
      <c r="A6" t="s">
        <v>718</v>
      </c>
      <c r="B6">
        <v>39</v>
      </c>
      <c r="C6">
        <v>0</v>
      </c>
    </row>
    <row r="7" spans="1:3" x14ac:dyDescent="0.3">
      <c r="A7" t="s">
        <v>719</v>
      </c>
      <c r="B7">
        <v>39</v>
      </c>
      <c r="C7">
        <v>0</v>
      </c>
    </row>
    <row r="8" spans="1:3" x14ac:dyDescent="0.3">
      <c r="A8" t="s">
        <v>720</v>
      </c>
      <c r="B8">
        <v>39</v>
      </c>
      <c r="C8">
        <v>206</v>
      </c>
    </row>
    <row r="9" spans="1:3" x14ac:dyDescent="0.3">
      <c r="A9" t="s">
        <v>563</v>
      </c>
      <c r="B9">
        <v>39</v>
      </c>
      <c r="C9">
        <v>54.5</v>
      </c>
    </row>
    <row r="10" spans="1:3" x14ac:dyDescent="0.3">
      <c r="A10" t="s">
        <v>721</v>
      </c>
      <c r="B10">
        <v>39</v>
      </c>
      <c r="C10">
        <v>0</v>
      </c>
    </row>
    <row r="11" spans="1:3" x14ac:dyDescent="0.3">
      <c r="A11" t="s">
        <v>272</v>
      </c>
      <c r="B11">
        <v>39</v>
      </c>
      <c r="C11">
        <v>0</v>
      </c>
    </row>
    <row r="12" spans="1:3" x14ac:dyDescent="0.3">
      <c r="A12" t="s">
        <v>722</v>
      </c>
      <c r="B12">
        <v>39</v>
      </c>
      <c r="C12">
        <v>39</v>
      </c>
    </row>
    <row r="13" spans="1:3" x14ac:dyDescent="0.3">
      <c r="A13" t="s">
        <v>723</v>
      </c>
      <c r="B13">
        <v>39</v>
      </c>
      <c r="C13">
        <v>0</v>
      </c>
    </row>
    <row r="14" spans="1:3" x14ac:dyDescent="0.3">
      <c r="A14" t="s">
        <v>716</v>
      </c>
      <c r="B14">
        <v>75</v>
      </c>
      <c r="C14">
        <v>0</v>
      </c>
    </row>
    <row r="15" spans="1:3" x14ac:dyDescent="0.3">
      <c r="A15" t="s">
        <v>717</v>
      </c>
      <c r="B15">
        <v>75</v>
      </c>
      <c r="C15">
        <v>70.3</v>
      </c>
    </row>
    <row r="16" spans="1:3" x14ac:dyDescent="0.3">
      <c r="A16" t="s">
        <v>718</v>
      </c>
      <c r="B16">
        <v>75</v>
      </c>
      <c r="C16">
        <v>0</v>
      </c>
    </row>
    <row r="17" spans="1:3" x14ac:dyDescent="0.3">
      <c r="A17" t="s">
        <v>719</v>
      </c>
      <c r="B17">
        <v>75</v>
      </c>
      <c r="C17">
        <v>0</v>
      </c>
    </row>
    <row r="18" spans="1:3" x14ac:dyDescent="0.3">
      <c r="A18" t="s">
        <v>720</v>
      </c>
      <c r="B18">
        <v>75</v>
      </c>
      <c r="C18">
        <v>206</v>
      </c>
    </row>
    <row r="19" spans="1:3" x14ac:dyDescent="0.3">
      <c r="A19" t="s">
        <v>563</v>
      </c>
      <c r="B19">
        <v>75</v>
      </c>
      <c r="C19">
        <v>0</v>
      </c>
    </row>
    <row r="20" spans="1:3" x14ac:dyDescent="0.3">
      <c r="A20" t="s">
        <v>721</v>
      </c>
      <c r="B20">
        <v>75</v>
      </c>
      <c r="C20">
        <v>0</v>
      </c>
    </row>
    <row r="21" spans="1:3" x14ac:dyDescent="0.3">
      <c r="A21" t="s">
        <v>272</v>
      </c>
      <c r="B21">
        <v>75</v>
      </c>
      <c r="C21">
        <v>0</v>
      </c>
    </row>
    <row r="22" spans="1:3" x14ac:dyDescent="0.3">
      <c r="A22" t="s">
        <v>722</v>
      </c>
      <c r="B22">
        <v>75</v>
      </c>
      <c r="C22">
        <v>75</v>
      </c>
    </row>
    <row r="23" spans="1:3" x14ac:dyDescent="0.3">
      <c r="A23" t="s">
        <v>723</v>
      </c>
      <c r="B23">
        <v>75</v>
      </c>
      <c r="C23">
        <v>0</v>
      </c>
    </row>
    <row r="24" spans="1:3" x14ac:dyDescent="0.3">
      <c r="A24" t="s">
        <v>716</v>
      </c>
      <c r="B24">
        <v>78</v>
      </c>
      <c r="C24">
        <v>0</v>
      </c>
    </row>
    <row r="25" spans="1:3" x14ac:dyDescent="0.3">
      <c r="A25" t="s">
        <v>717</v>
      </c>
      <c r="B25">
        <v>78</v>
      </c>
      <c r="C25">
        <v>57.1</v>
      </c>
    </row>
    <row r="26" spans="1:3" x14ac:dyDescent="0.3">
      <c r="A26" t="s">
        <v>718</v>
      </c>
      <c r="B26">
        <v>78</v>
      </c>
      <c r="C26">
        <v>0</v>
      </c>
    </row>
    <row r="27" spans="1:3" x14ac:dyDescent="0.3">
      <c r="A27" t="s">
        <v>719</v>
      </c>
      <c r="B27">
        <v>78</v>
      </c>
      <c r="C27">
        <v>0</v>
      </c>
    </row>
    <row r="28" spans="1:3" x14ac:dyDescent="0.3">
      <c r="A28" t="s">
        <v>720</v>
      </c>
      <c r="B28">
        <v>78</v>
      </c>
      <c r="C28">
        <v>206</v>
      </c>
    </row>
    <row r="29" spans="1:3" x14ac:dyDescent="0.3">
      <c r="A29" t="s">
        <v>563</v>
      </c>
      <c r="B29">
        <v>78</v>
      </c>
      <c r="C29">
        <v>0</v>
      </c>
    </row>
    <row r="30" spans="1:3" x14ac:dyDescent="0.3">
      <c r="A30" t="s">
        <v>721</v>
      </c>
      <c r="B30">
        <v>78</v>
      </c>
      <c r="C30">
        <v>0</v>
      </c>
    </row>
    <row r="31" spans="1:3" x14ac:dyDescent="0.3">
      <c r="A31" t="s">
        <v>272</v>
      </c>
      <c r="B31">
        <v>78</v>
      </c>
      <c r="C31">
        <v>0</v>
      </c>
    </row>
    <row r="32" spans="1:3" x14ac:dyDescent="0.3">
      <c r="A32" t="s">
        <v>722</v>
      </c>
      <c r="B32">
        <v>78</v>
      </c>
      <c r="C32">
        <v>78</v>
      </c>
    </row>
    <row r="33" spans="1:3" x14ac:dyDescent="0.3">
      <c r="A33" t="s">
        <v>723</v>
      </c>
      <c r="B33">
        <v>78</v>
      </c>
      <c r="C33">
        <v>0</v>
      </c>
    </row>
    <row r="34" spans="1:3" x14ac:dyDescent="0.3">
      <c r="A34" t="s">
        <v>716</v>
      </c>
      <c r="B34">
        <v>80</v>
      </c>
      <c r="C34">
        <v>0</v>
      </c>
    </row>
    <row r="35" spans="1:3" x14ac:dyDescent="0.3">
      <c r="A35" t="s">
        <v>717</v>
      </c>
      <c r="B35">
        <v>80</v>
      </c>
      <c r="C35">
        <v>45</v>
      </c>
    </row>
    <row r="36" spans="1:3" x14ac:dyDescent="0.3">
      <c r="A36" t="s">
        <v>718</v>
      </c>
      <c r="B36">
        <v>80</v>
      </c>
      <c r="C36">
        <v>0</v>
      </c>
    </row>
    <row r="37" spans="1:3" x14ac:dyDescent="0.3">
      <c r="A37" t="s">
        <v>719</v>
      </c>
      <c r="B37">
        <v>80</v>
      </c>
      <c r="C37">
        <v>0</v>
      </c>
    </row>
    <row r="38" spans="1:3" x14ac:dyDescent="0.3">
      <c r="A38" t="s">
        <v>720</v>
      </c>
      <c r="B38">
        <v>80</v>
      </c>
      <c r="C38">
        <v>206</v>
      </c>
    </row>
    <row r="39" spans="1:3" x14ac:dyDescent="0.3">
      <c r="A39" t="s">
        <v>563</v>
      </c>
      <c r="B39">
        <v>80</v>
      </c>
      <c r="C39">
        <v>0</v>
      </c>
    </row>
    <row r="40" spans="1:3" x14ac:dyDescent="0.3">
      <c r="A40" t="s">
        <v>721</v>
      </c>
      <c r="B40">
        <v>80</v>
      </c>
      <c r="C40">
        <v>0</v>
      </c>
    </row>
    <row r="41" spans="1:3" x14ac:dyDescent="0.3">
      <c r="A41" t="s">
        <v>272</v>
      </c>
      <c r="B41">
        <v>80</v>
      </c>
      <c r="C41">
        <v>0</v>
      </c>
    </row>
    <row r="42" spans="1:3" x14ac:dyDescent="0.3">
      <c r="A42" t="s">
        <v>722</v>
      </c>
      <c r="B42">
        <v>80</v>
      </c>
      <c r="C42">
        <v>80</v>
      </c>
    </row>
    <row r="43" spans="1:3" x14ac:dyDescent="0.3">
      <c r="A43" t="s">
        <v>723</v>
      </c>
      <c r="B43">
        <v>80</v>
      </c>
      <c r="C43">
        <v>0</v>
      </c>
    </row>
    <row r="44" spans="1:3" x14ac:dyDescent="0.3">
      <c r="A44" t="s">
        <v>716</v>
      </c>
      <c r="B44">
        <v>82</v>
      </c>
      <c r="C44">
        <v>0</v>
      </c>
    </row>
    <row r="45" spans="1:3" x14ac:dyDescent="0.3">
      <c r="A45" t="s">
        <v>717</v>
      </c>
      <c r="B45">
        <v>82</v>
      </c>
      <c r="C45">
        <v>76.5</v>
      </c>
    </row>
    <row r="46" spans="1:3" x14ac:dyDescent="0.3">
      <c r="A46" t="s">
        <v>718</v>
      </c>
      <c r="B46">
        <v>82</v>
      </c>
      <c r="C46">
        <v>0</v>
      </c>
    </row>
    <row r="47" spans="1:3" x14ac:dyDescent="0.3">
      <c r="A47" t="s">
        <v>719</v>
      </c>
      <c r="B47">
        <v>82</v>
      </c>
      <c r="C47">
        <v>0</v>
      </c>
    </row>
    <row r="48" spans="1:3" x14ac:dyDescent="0.3">
      <c r="A48" t="s">
        <v>720</v>
      </c>
      <c r="B48">
        <v>82</v>
      </c>
      <c r="C48">
        <v>206</v>
      </c>
    </row>
    <row r="49" spans="1:3" x14ac:dyDescent="0.3">
      <c r="A49" t="s">
        <v>563</v>
      </c>
      <c r="B49">
        <v>82</v>
      </c>
      <c r="C49">
        <v>0</v>
      </c>
    </row>
    <row r="50" spans="1:3" x14ac:dyDescent="0.3">
      <c r="A50" t="s">
        <v>721</v>
      </c>
      <c r="B50">
        <v>82</v>
      </c>
      <c r="C50">
        <v>0</v>
      </c>
    </row>
    <row r="51" spans="1:3" x14ac:dyDescent="0.3">
      <c r="A51" t="s">
        <v>272</v>
      </c>
      <c r="B51">
        <v>82</v>
      </c>
      <c r="C51">
        <v>0</v>
      </c>
    </row>
    <row r="52" spans="1:3" x14ac:dyDescent="0.3">
      <c r="A52" t="s">
        <v>722</v>
      </c>
      <c r="B52">
        <v>82</v>
      </c>
      <c r="C52">
        <v>82</v>
      </c>
    </row>
    <row r="53" spans="1:3" x14ac:dyDescent="0.3">
      <c r="A53" t="s">
        <v>723</v>
      </c>
      <c r="B53">
        <v>82</v>
      </c>
      <c r="C53">
        <v>0</v>
      </c>
    </row>
    <row r="54" spans="1:3" x14ac:dyDescent="0.3">
      <c r="A54" t="s">
        <v>716</v>
      </c>
      <c r="B54">
        <v>84</v>
      </c>
      <c r="C54">
        <v>0</v>
      </c>
    </row>
    <row r="55" spans="1:3" x14ac:dyDescent="0.3">
      <c r="A55" t="s">
        <v>717</v>
      </c>
      <c r="B55">
        <v>84</v>
      </c>
      <c r="C55">
        <v>65.400000000000006</v>
      </c>
    </row>
    <row r="56" spans="1:3" x14ac:dyDescent="0.3">
      <c r="A56" t="s">
        <v>718</v>
      </c>
      <c r="B56">
        <v>84</v>
      </c>
      <c r="C56">
        <v>0</v>
      </c>
    </row>
    <row r="57" spans="1:3" x14ac:dyDescent="0.3">
      <c r="A57" t="s">
        <v>719</v>
      </c>
      <c r="B57">
        <v>84</v>
      </c>
      <c r="C57">
        <v>0</v>
      </c>
    </row>
    <row r="58" spans="1:3" x14ac:dyDescent="0.3">
      <c r="A58" t="s">
        <v>720</v>
      </c>
      <c r="B58">
        <v>84</v>
      </c>
      <c r="C58">
        <v>206</v>
      </c>
    </row>
    <row r="59" spans="1:3" x14ac:dyDescent="0.3">
      <c r="A59" t="s">
        <v>563</v>
      </c>
      <c r="B59">
        <v>84</v>
      </c>
      <c r="C59">
        <v>0</v>
      </c>
    </row>
    <row r="60" spans="1:3" x14ac:dyDescent="0.3">
      <c r="A60" t="s">
        <v>721</v>
      </c>
      <c r="B60">
        <v>84</v>
      </c>
      <c r="C60">
        <v>0</v>
      </c>
    </row>
    <row r="61" spans="1:3" x14ac:dyDescent="0.3">
      <c r="A61" t="s">
        <v>272</v>
      </c>
      <c r="B61">
        <v>84</v>
      </c>
      <c r="C61">
        <v>0</v>
      </c>
    </row>
    <row r="62" spans="1:3" x14ac:dyDescent="0.3">
      <c r="A62" t="s">
        <v>722</v>
      </c>
      <c r="B62">
        <v>84</v>
      </c>
      <c r="C62">
        <v>84</v>
      </c>
    </row>
    <row r="63" spans="1:3" x14ac:dyDescent="0.3">
      <c r="A63" t="s">
        <v>723</v>
      </c>
      <c r="B63">
        <v>84</v>
      </c>
      <c r="C63">
        <v>0</v>
      </c>
    </row>
    <row r="64" spans="1:3" x14ac:dyDescent="0.3">
      <c r="A64" t="s">
        <v>716</v>
      </c>
      <c r="B64">
        <v>87</v>
      </c>
      <c r="C64">
        <v>0</v>
      </c>
    </row>
    <row r="65" spans="1:3" x14ac:dyDescent="0.3">
      <c r="A65" t="s">
        <v>717</v>
      </c>
      <c r="B65">
        <v>87</v>
      </c>
      <c r="C65">
        <v>68.2</v>
      </c>
    </row>
    <row r="66" spans="1:3" x14ac:dyDescent="0.3">
      <c r="A66" t="s">
        <v>718</v>
      </c>
      <c r="B66">
        <v>87</v>
      </c>
      <c r="C66">
        <v>0</v>
      </c>
    </row>
    <row r="67" spans="1:3" x14ac:dyDescent="0.3">
      <c r="A67" t="s">
        <v>719</v>
      </c>
      <c r="B67">
        <v>87</v>
      </c>
      <c r="C67">
        <v>0</v>
      </c>
    </row>
    <row r="68" spans="1:3" x14ac:dyDescent="0.3">
      <c r="A68" t="s">
        <v>720</v>
      </c>
      <c r="B68">
        <v>87</v>
      </c>
      <c r="C68">
        <v>206</v>
      </c>
    </row>
    <row r="69" spans="1:3" x14ac:dyDescent="0.3">
      <c r="A69" t="s">
        <v>563</v>
      </c>
      <c r="B69">
        <v>87</v>
      </c>
      <c r="C69">
        <v>0</v>
      </c>
    </row>
    <row r="70" spans="1:3" x14ac:dyDescent="0.3">
      <c r="A70" t="s">
        <v>721</v>
      </c>
      <c r="B70">
        <v>87</v>
      </c>
      <c r="C70">
        <v>0</v>
      </c>
    </row>
    <row r="71" spans="1:3" x14ac:dyDescent="0.3">
      <c r="A71" t="s">
        <v>272</v>
      </c>
      <c r="B71">
        <v>87</v>
      </c>
      <c r="C71">
        <v>0</v>
      </c>
    </row>
    <row r="72" spans="1:3" x14ac:dyDescent="0.3">
      <c r="A72" t="s">
        <v>722</v>
      </c>
      <c r="B72">
        <v>87</v>
      </c>
      <c r="C72">
        <v>87</v>
      </c>
    </row>
    <row r="73" spans="1:3" x14ac:dyDescent="0.3">
      <c r="A73" t="s">
        <v>723</v>
      </c>
      <c r="B73">
        <v>87</v>
      </c>
      <c r="C73">
        <v>0</v>
      </c>
    </row>
    <row r="74" spans="1:3" x14ac:dyDescent="0.3">
      <c r="A74" t="s">
        <v>716</v>
      </c>
      <c r="B74">
        <v>98</v>
      </c>
      <c r="C74">
        <v>0</v>
      </c>
    </row>
    <row r="75" spans="1:3" x14ac:dyDescent="0.3">
      <c r="A75" t="s">
        <v>717</v>
      </c>
      <c r="B75">
        <v>98</v>
      </c>
      <c r="C75">
        <v>60.5</v>
      </c>
    </row>
    <row r="76" spans="1:3" x14ac:dyDescent="0.3">
      <c r="A76" t="s">
        <v>718</v>
      </c>
      <c r="B76">
        <v>98</v>
      </c>
      <c r="C76">
        <v>0</v>
      </c>
    </row>
    <row r="77" spans="1:3" x14ac:dyDescent="0.3">
      <c r="A77" t="s">
        <v>719</v>
      </c>
      <c r="B77">
        <v>98</v>
      </c>
      <c r="C77">
        <v>0</v>
      </c>
    </row>
    <row r="78" spans="1:3" x14ac:dyDescent="0.3">
      <c r="A78" t="s">
        <v>720</v>
      </c>
      <c r="B78">
        <v>98</v>
      </c>
      <c r="C78">
        <v>206</v>
      </c>
    </row>
    <row r="79" spans="1:3" x14ac:dyDescent="0.3">
      <c r="A79" t="s">
        <v>563</v>
      </c>
      <c r="B79">
        <v>98</v>
      </c>
      <c r="C79">
        <v>0</v>
      </c>
    </row>
    <row r="80" spans="1:3" x14ac:dyDescent="0.3">
      <c r="A80" t="s">
        <v>721</v>
      </c>
      <c r="B80">
        <v>98</v>
      </c>
      <c r="C80">
        <v>0</v>
      </c>
    </row>
    <row r="81" spans="1:3" x14ac:dyDescent="0.3">
      <c r="A81" t="s">
        <v>272</v>
      </c>
      <c r="B81">
        <v>98</v>
      </c>
      <c r="C81">
        <v>0</v>
      </c>
    </row>
    <row r="82" spans="1:3" x14ac:dyDescent="0.3">
      <c r="A82" t="s">
        <v>722</v>
      </c>
      <c r="B82">
        <v>98</v>
      </c>
      <c r="C82">
        <v>98</v>
      </c>
    </row>
    <row r="83" spans="1:3" x14ac:dyDescent="0.3">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27" workbookViewId="0">
      <selection activeCell="A52" sqref="A52:R75"/>
    </sheetView>
  </sheetViews>
  <sheetFormatPr defaultRowHeight="14.4" x14ac:dyDescent="0.3"/>
  <sheetData>
    <row r="1" spans="1:10" x14ac:dyDescent="0.3">
      <c r="A1" t="s">
        <v>566</v>
      </c>
    </row>
    <row r="2" spans="1:10" x14ac:dyDescent="0.3">
      <c r="A2" t="s">
        <v>724</v>
      </c>
    </row>
    <row r="3" spans="1:10" x14ac:dyDescent="0.3">
      <c r="A3" t="s">
        <v>0</v>
      </c>
      <c r="B3" t="s">
        <v>1</v>
      </c>
      <c r="C3" t="s">
        <v>246</v>
      </c>
      <c r="D3" t="s">
        <v>247</v>
      </c>
      <c r="E3" t="s">
        <v>248</v>
      </c>
      <c r="F3" t="s">
        <v>249</v>
      </c>
      <c r="G3" t="s">
        <v>250</v>
      </c>
      <c r="H3" t="s">
        <v>251</v>
      </c>
      <c r="I3" t="s">
        <v>252</v>
      </c>
      <c r="J3" t="s">
        <v>253</v>
      </c>
    </row>
    <row r="4" spans="1:10" x14ac:dyDescent="0.3">
      <c r="A4" t="s">
        <v>254</v>
      </c>
      <c r="B4">
        <v>39</v>
      </c>
      <c r="C4">
        <v>111</v>
      </c>
      <c r="D4">
        <v>112</v>
      </c>
      <c r="E4">
        <v>211</v>
      </c>
      <c r="F4">
        <v>212</v>
      </c>
      <c r="G4">
        <v>121</v>
      </c>
      <c r="H4">
        <v>122</v>
      </c>
      <c r="I4">
        <v>221</v>
      </c>
      <c r="J4">
        <v>222</v>
      </c>
    </row>
    <row r="5" spans="1:10" x14ac:dyDescent="0.3">
      <c r="A5" t="s">
        <v>255</v>
      </c>
      <c r="B5">
        <v>39</v>
      </c>
      <c r="C5">
        <v>6</v>
      </c>
      <c r="D5">
        <v>20</v>
      </c>
      <c r="E5">
        <v>6</v>
      </c>
      <c r="F5">
        <v>6</v>
      </c>
      <c r="G5">
        <v>6</v>
      </c>
      <c r="H5">
        <v>20</v>
      </c>
      <c r="I5">
        <v>6</v>
      </c>
      <c r="J5">
        <v>6</v>
      </c>
    </row>
    <row r="6" spans="1:10" x14ac:dyDescent="0.3">
      <c r="A6" t="s">
        <v>256</v>
      </c>
      <c r="B6">
        <v>39</v>
      </c>
      <c r="C6">
        <v>6</v>
      </c>
      <c r="D6">
        <v>20</v>
      </c>
      <c r="E6">
        <v>6</v>
      </c>
      <c r="F6">
        <v>18</v>
      </c>
      <c r="G6">
        <v>6</v>
      </c>
      <c r="H6">
        <v>20</v>
      </c>
      <c r="I6">
        <v>6</v>
      </c>
      <c r="J6">
        <v>18</v>
      </c>
    </row>
    <row r="7" spans="1:10" x14ac:dyDescent="0.3">
      <c r="A7" t="s">
        <v>257</v>
      </c>
      <c r="B7">
        <v>39</v>
      </c>
      <c r="C7">
        <v>3</v>
      </c>
      <c r="D7">
        <v>3</v>
      </c>
      <c r="E7">
        <v>3</v>
      </c>
      <c r="F7">
        <v>3</v>
      </c>
      <c r="G7">
        <v>3</v>
      </c>
      <c r="H7">
        <v>3</v>
      </c>
      <c r="I7">
        <v>3</v>
      </c>
      <c r="J7">
        <v>3</v>
      </c>
    </row>
    <row r="8" spans="1:10" x14ac:dyDescent="0.3">
      <c r="A8" t="s">
        <v>258</v>
      </c>
      <c r="B8">
        <v>39</v>
      </c>
      <c r="C8">
        <v>0</v>
      </c>
      <c r="D8">
        <v>0</v>
      </c>
      <c r="E8">
        <v>0</v>
      </c>
      <c r="F8">
        <v>0</v>
      </c>
      <c r="G8">
        <v>0</v>
      </c>
      <c r="H8">
        <v>0</v>
      </c>
      <c r="I8">
        <v>0</v>
      </c>
      <c r="J8">
        <v>0</v>
      </c>
    </row>
    <row r="9" spans="1:10" x14ac:dyDescent="0.3">
      <c r="A9" t="s">
        <v>259</v>
      </c>
      <c r="B9">
        <v>39</v>
      </c>
      <c r="C9">
        <v>0</v>
      </c>
      <c r="D9">
        <v>0</v>
      </c>
      <c r="E9">
        <v>0</v>
      </c>
      <c r="F9">
        <v>0</v>
      </c>
      <c r="G9">
        <v>0</v>
      </c>
      <c r="H9">
        <v>0</v>
      </c>
      <c r="I9">
        <v>0</v>
      </c>
      <c r="J9">
        <v>0</v>
      </c>
    </row>
    <row r="10" spans="1:10" x14ac:dyDescent="0.3">
      <c r="A10" t="s">
        <v>260</v>
      </c>
      <c r="B10">
        <v>39</v>
      </c>
      <c r="C10">
        <v>3</v>
      </c>
      <c r="D10">
        <v>3</v>
      </c>
      <c r="E10">
        <v>3</v>
      </c>
      <c r="F10">
        <v>3</v>
      </c>
      <c r="G10">
        <v>3</v>
      </c>
      <c r="H10">
        <v>3</v>
      </c>
      <c r="I10">
        <v>3</v>
      </c>
      <c r="J10">
        <v>3</v>
      </c>
    </row>
    <row r="11" spans="1:10" x14ac:dyDescent="0.3">
      <c r="A11" t="s">
        <v>261</v>
      </c>
      <c r="B11">
        <v>39</v>
      </c>
      <c r="C11">
        <v>3</v>
      </c>
      <c r="D11">
        <v>4.3</v>
      </c>
      <c r="E11">
        <v>3</v>
      </c>
      <c r="F11">
        <v>3.6</v>
      </c>
      <c r="G11">
        <v>3</v>
      </c>
      <c r="H11">
        <v>4.3</v>
      </c>
      <c r="I11">
        <v>3</v>
      </c>
      <c r="J11">
        <v>3.6</v>
      </c>
    </row>
    <row r="12" spans="1:10" x14ac:dyDescent="0.3">
      <c r="A12" t="s">
        <v>262</v>
      </c>
      <c r="B12">
        <v>39</v>
      </c>
      <c r="C12">
        <v>3</v>
      </c>
      <c r="D12">
        <v>1</v>
      </c>
      <c r="E12">
        <v>3</v>
      </c>
      <c r="F12">
        <v>2.2999999999999998</v>
      </c>
      <c r="G12">
        <v>3</v>
      </c>
      <c r="H12">
        <v>1</v>
      </c>
      <c r="I12">
        <v>2.9</v>
      </c>
      <c r="J12">
        <v>1.5</v>
      </c>
    </row>
    <row r="13" spans="1:10" x14ac:dyDescent="0.3">
      <c r="A13" t="s">
        <v>263</v>
      </c>
      <c r="B13">
        <v>39</v>
      </c>
      <c r="C13">
        <v>3</v>
      </c>
      <c r="D13">
        <v>3</v>
      </c>
      <c r="E13">
        <v>3</v>
      </c>
      <c r="F13">
        <v>3</v>
      </c>
      <c r="G13">
        <v>3</v>
      </c>
      <c r="H13">
        <v>3</v>
      </c>
      <c r="I13">
        <v>3</v>
      </c>
      <c r="J13">
        <v>3</v>
      </c>
    </row>
    <row r="14" spans="1:10" x14ac:dyDescent="0.3">
      <c r="A14" t="s">
        <v>264</v>
      </c>
      <c r="B14">
        <v>39</v>
      </c>
      <c r="D14">
        <v>7</v>
      </c>
      <c r="F14">
        <v>7</v>
      </c>
      <c r="H14">
        <v>7</v>
      </c>
      <c r="J14">
        <v>7</v>
      </c>
    </row>
    <row r="15" spans="1:10" x14ac:dyDescent="0.3">
      <c r="A15" t="s">
        <v>265</v>
      </c>
      <c r="B15">
        <v>39</v>
      </c>
      <c r="D15">
        <v>11</v>
      </c>
      <c r="F15">
        <v>11</v>
      </c>
      <c r="H15">
        <v>11</v>
      </c>
      <c r="J15">
        <v>11</v>
      </c>
    </row>
    <row r="16" spans="1:10" x14ac:dyDescent="0.3">
      <c r="A16" t="s">
        <v>266</v>
      </c>
      <c r="B16">
        <v>39</v>
      </c>
      <c r="D16">
        <v>0</v>
      </c>
      <c r="F16">
        <v>0</v>
      </c>
      <c r="H16">
        <v>0</v>
      </c>
      <c r="J16">
        <v>0</v>
      </c>
    </row>
    <row r="17" spans="1:10" x14ac:dyDescent="0.3">
      <c r="A17" t="s">
        <v>267</v>
      </c>
      <c r="B17">
        <v>39</v>
      </c>
      <c r="C17">
        <v>12</v>
      </c>
      <c r="D17">
        <v>25.3</v>
      </c>
      <c r="E17">
        <v>12</v>
      </c>
      <c r="F17">
        <v>23.9</v>
      </c>
      <c r="G17">
        <v>12</v>
      </c>
      <c r="H17">
        <v>25.3</v>
      </c>
      <c r="I17">
        <v>11.9</v>
      </c>
      <c r="J17">
        <v>23.1</v>
      </c>
    </row>
    <row r="18" spans="1:10" x14ac:dyDescent="0.3">
      <c r="A18" t="s">
        <v>268</v>
      </c>
      <c r="B18">
        <v>39</v>
      </c>
      <c r="C18">
        <v>0</v>
      </c>
      <c r="D18">
        <v>1</v>
      </c>
      <c r="E18">
        <v>0</v>
      </c>
      <c r="F18">
        <v>1</v>
      </c>
      <c r="G18">
        <v>0</v>
      </c>
      <c r="H18">
        <v>1</v>
      </c>
      <c r="I18">
        <v>0</v>
      </c>
      <c r="J18">
        <v>1</v>
      </c>
    </row>
    <row r="19" spans="1:10" x14ac:dyDescent="0.3">
      <c r="A19" t="s">
        <v>269</v>
      </c>
      <c r="B19">
        <v>39</v>
      </c>
      <c r="C19">
        <v>1</v>
      </c>
      <c r="D19">
        <v>1</v>
      </c>
      <c r="E19">
        <v>1</v>
      </c>
      <c r="F19">
        <v>1</v>
      </c>
      <c r="G19">
        <v>1</v>
      </c>
      <c r="H19">
        <v>1</v>
      </c>
      <c r="I19">
        <v>1</v>
      </c>
      <c r="J19">
        <v>1</v>
      </c>
    </row>
    <row r="20" spans="1:10" x14ac:dyDescent="0.3">
      <c r="A20" t="s">
        <v>270</v>
      </c>
      <c r="B20">
        <v>39</v>
      </c>
      <c r="C20">
        <v>42.5</v>
      </c>
      <c r="D20">
        <v>54.5</v>
      </c>
      <c r="E20">
        <v>6.6</v>
      </c>
      <c r="F20">
        <v>18.600000000000001</v>
      </c>
      <c r="G20">
        <v>42.5</v>
      </c>
      <c r="H20">
        <v>54.5</v>
      </c>
      <c r="I20">
        <v>6.6</v>
      </c>
      <c r="J20">
        <v>18.5</v>
      </c>
    </row>
    <row r="21" spans="1:10" x14ac:dyDescent="0.3">
      <c r="A21" t="s">
        <v>271</v>
      </c>
      <c r="B21">
        <v>39</v>
      </c>
      <c r="C21">
        <v>54.5</v>
      </c>
      <c r="D21">
        <v>6.6</v>
      </c>
      <c r="E21">
        <v>18.600000000000001</v>
      </c>
      <c r="F21">
        <v>42.5</v>
      </c>
      <c r="G21">
        <v>54.5</v>
      </c>
      <c r="H21">
        <v>6.6</v>
      </c>
      <c r="I21">
        <v>18.5</v>
      </c>
      <c r="J21">
        <v>42.5</v>
      </c>
    </row>
    <row r="22" spans="1:10" x14ac:dyDescent="0.3">
      <c r="A22" t="s">
        <v>272</v>
      </c>
      <c r="B22">
        <v>39</v>
      </c>
      <c r="C22">
        <v>48.5</v>
      </c>
      <c r="D22">
        <v>1.3</v>
      </c>
      <c r="E22">
        <v>12.6</v>
      </c>
      <c r="F22">
        <v>36.6</v>
      </c>
      <c r="G22">
        <v>48.5</v>
      </c>
      <c r="H22">
        <v>1.3</v>
      </c>
      <c r="I22">
        <v>12.6</v>
      </c>
      <c r="J22">
        <v>37.4</v>
      </c>
    </row>
    <row r="23" spans="1:10" x14ac:dyDescent="0.3">
      <c r="A23" t="s">
        <v>273</v>
      </c>
      <c r="B23">
        <v>39</v>
      </c>
      <c r="C23">
        <v>48.5</v>
      </c>
      <c r="D23">
        <v>63.5</v>
      </c>
      <c r="E23">
        <v>12.6</v>
      </c>
      <c r="F23">
        <v>25.6</v>
      </c>
      <c r="G23">
        <v>48.5</v>
      </c>
      <c r="H23">
        <v>63.5</v>
      </c>
      <c r="I23">
        <v>12.6</v>
      </c>
      <c r="J23">
        <v>26.4</v>
      </c>
    </row>
    <row r="24" spans="1:10" x14ac:dyDescent="0.3">
      <c r="A24" t="s">
        <v>274</v>
      </c>
      <c r="B24">
        <v>39</v>
      </c>
      <c r="C24">
        <v>61.2</v>
      </c>
      <c r="D24">
        <v>0</v>
      </c>
      <c r="E24">
        <v>25.3</v>
      </c>
      <c r="F24">
        <v>37.299999999999997</v>
      </c>
      <c r="G24">
        <v>61.2</v>
      </c>
      <c r="H24">
        <v>0</v>
      </c>
      <c r="I24">
        <v>25.3</v>
      </c>
      <c r="J24">
        <v>37.200000000000003</v>
      </c>
    </row>
    <row r="25" spans="1:10" x14ac:dyDescent="0.3">
      <c r="A25" t="s">
        <v>275</v>
      </c>
      <c r="B25">
        <v>39</v>
      </c>
      <c r="C25">
        <v>67.2</v>
      </c>
      <c r="D25">
        <v>20</v>
      </c>
      <c r="E25">
        <v>31.3</v>
      </c>
      <c r="F25">
        <v>55.3</v>
      </c>
      <c r="G25">
        <v>67.2</v>
      </c>
      <c r="H25">
        <v>20</v>
      </c>
      <c r="I25">
        <v>31.3</v>
      </c>
      <c r="J25">
        <v>56.1</v>
      </c>
    </row>
    <row r="26" spans="1:10" x14ac:dyDescent="0.3">
      <c r="A26" t="s">
        <v>276</v>
      </c>
      <c r="B26">
        <v>39</v>
      </c>
      <c r="C26">
        <v>67.2</v>
      </c>
      <c r="D26">
        <v>9</v>
      </c>
      <c r="E26">
        <v>31.3</v>
      </c>
      <c r="F26">
        <v>44.3</v>
      </c>
      <c r="G26">
        <v>67.2</v>
      </c>
      <c r="H26">
        <v>9</v>
      </c>
      <c r="I26">
        <v>31.3</v>
      </c>
      <c r="J26">
        <v>45.1</v>
      </c>
    </row>
    <row r="27" spans="1:10" x14ac:dyDescent="0.3">
      <c r="A27" t="s">
        <v>567</v>
      </c>
      <c r="B27">
        <v>39</v>
      </c>
      <c r="C27">
        <v>6</v>
      </c>
      <c r="D27">
        <v>20</v>
      </c>
      <c r="E27">
        <v>6</v>
      </c>
      <c r="F27">
        <v>18</v>
      </c>
      <c r="G27">
        <v>6</v>
      </c>
      <c r="H27">
        <v>20</v>
      </c>
      <c r="I27">
        <v>6</v>
      </c>
      <c r="J27">
        <v>18.899999999999999</v>
      </c>
    </row>
    <row r="28" spans="1:10" x14ac:dyDescent="0.3">
      <c r="A28" t="s">
        <v>254</v>
      </c>
      <c r="B28">
        <v>75</v>
      </c>
      <c r="C28">
        <v>111</v>
      </c>
      <c r="D28">
        <v>112</v>
      </c>
      <c r="E28">
        <v>211</v>
      </c>
      <c r="F28">
        <v>212</v>
      </c>
      <c r="G28">
        <v>121</v>
      </c>
      <c r="H28">
        <v>122</v>
      </c>
      <c r="I28">
        <v>221</v>
      </c>
      <c r="J28">
        <v>222</v>
      </c>
    </row>
    <row r="29" spans="1:10" x14ac:dyDescent="0.3">
      <c r="A29" t="s">
        <v>255</v>
      </c>
      <c r="B29">
        <v>75</v>
      </c>
      <c r="C29">
        <v>6</v>
      </c>
      <c r="D29">
        <v>20</v>
      </c>
      <c r="E29">
        <v>6</v>
      </c>
      <c r="F29">
        <v>6</v>
      </c>
      <c r="G29">
        <v>6</v>
      </c>
      <c r="H29">
        <v>20</v>
      </c>
      <c r="I29">
        <v>6</v>
      </c>
      <c r="J29">
        <v>6</v>
      </c>
    </row>
    <row r="30" spans="1:10" x14ac:dyDescent="0.3">
      <c r="A30" t="s">
        <v>256</v>
      </c>
      <c r="B30">
        <v>75</v>
      </c>
      <c r="C30">
        <v>6.5</v>
      </c>
      <c r="D30">
        <v>20</v>
      </c>
      <c r="E30">
        <v>6.5</v>
      </c>
      <c r="F30">
        <v>18</v>
      </c>
      <c r="G30">
        <v>6.5</v>
      </c>
      <c r="H30">
        <v>20</v>
      </c>
      <c r="I30">
        <v>6.5</v>
      </c>
      <c r="J30">
        <v>18</v>
      </c>
    </row>
    <row r="31" spans="1:10" x14ac:dyDescent="0.3">
      <c r="A31" t="s">
        <v>257</v>
      </c>
      <c r="B31">
        <v>75</v>
      </c>
      <c r="C31">
        <v>3</v>
      </c>
      <c r="D31">
        <v>3</v>
      </c>
      <c r="E31">
        <v>3</v>
      </c>
      <c r="F31">
        <v>3</v>
      </c>
      <c r="G31">
        <v>3</v>
      </c>
      <c r="H31">
        <v>3</v>
      </c>
      <c r="I31">
        <v>3</v>
      </c>
      <c r="J31">
        <v>3</v>
      </c>
    </row>
    <row r="32" spans="1:10" x14ac:dyDescent="0.3">
      <c r="A32" t="s">
        <v>258</v>
      </c>
      <c r="B32">
        <v>75</v>
      </c>
      <c r="C32">
        <v>0</v>
      </c>
      <c r="D32">
        <v>0</v>
      </c>
      <c r="E32">
        <v>0</v>
      </c>
      <c r="F32">
        <v>0</v>
      </c>
      <c r="G32">
        <v>0</v>
      </c>
      <c r="H32">
        <v>0</v>
      </c>
      <c r="I32">
        <v>0</v>
      </c>
      <c r="J32">
        <v>0</v>
      </c>
    </row>
    <row r="33" spans="1:10" x14ac:dyDescent="0.3">
      <c r="A33" t="s">
        <v>259</v>
      </c>
      <c r="B33">
        <v>75</v>
      </c>
      <c r="C33">
        <v>0</v>
      </c>
      <c r="D33">
        <v>0</v>
      </c>
      <c r="E33">
        <v>0</v>
      </c>
      <c r="F33">
        <v>0</v>
      </c>
      <c r="G33">
        <v>0</v>
      </c>
      <c r="H33">
        <v>0</v>
      </c>
      <c r="I33">
        <v>0</v>
      </c>
      <c r="J33">
        <v>0</v>
      </c>
    </row>
    <row r="34" spans="1:10" x14ac:dyDescent="0.3">
      <c r="A34" t="s">
        <v>260</v>
      </c>
      <c r="B34">
        <v>75</v>
      </c>
      <c r="C34">
        <v>3</v>
      </c>
      <c r="D34">
        <v>3</v>
      </c>
      <c r="E34">
        <v>3</v>
      </c>
      <c r="F34">
        <v>3</v>
      </c>
      <c r="G34">
        <v>3</v>
      </c>
      <c r="H34">
        <v>3</v>
      </c>
      <c r="I34">
        <v>3</v>
      </c>
      <c r="J34">
        <v>3</v>
      </c>
    </row>
    <row r="35" spans="1:10" x14ac:dyDescent="0.3">
      <c r="A35" t="s">
        <v>261</v>
      </c>
      <c r="B35">
        <v>75</v>
      </c>
      <c r="C35">
        <v>3</v>
      </c>
      <c r="D35">
        <v>4.3</v>
      </c>
      <c r="E35">
        <v>3</v>
      </c>
      <c r="F35">
        <v>3</v>
      </c>
      <c r="G35">
        <v>3</v>
      </c>
      <c r="H35">
        <v>4.3</v>
      </c>
      <c r="I35">
        <v>3</v>
      </c>
      <c r="J35">
        <v>3</v>
      </c>
    </row>
    <row r="36" spans="1:10" x14ac:dyDescent="0.3">
      <c r="A36" t="s">
        <v>262</v>
      </c>
      <c r="B36">
        <v>75</v>
      </c>
      <c r="C36">
        <v>1</v>
      </c>
      <c r="D36">
        <v>1</v>
      </c>
      <c r="E36">
        <v>1</v>
      </c>
      <c r="F36">
        <v>2.9</v>
      </c>
      <c r="G36">
        <v>1</v>
      </c>
      <c r="H36">
        <v>1.1000000000000001</v>
      </c>
      <c r="I36">
        <v>1</v>
      </c>
      <c r="J36">
        <v>2.8</v>
      </c>
    </row>
    <row r="37" spans="1:10" x14ac:dyDescent="0.3">
      <c r="A37" t="s">
        <v>263</v>
      </c>
      <c r="B37">
        <v>75</v>
      </c>
      <c r="C37">
        <v>3</v>
      </c>
      <c r="D37">
        <v>3</v>
      </c>
      <c r="E37">
        <v>3</v>
      </c>
      <c r="F37">
        <v>3</v>
      </c>
      <c r="G37">
        <v>3</v>
      </c>
      <c r="H37">
        <v>3</v>
      </c>
      <c r="I37">
        <v>3</v>
      </c>
      <c r="J37">
        <v>3</v>
      </c>
    </row>
    <row r="38" spans="1:10" x14ac:dyDescent="0.3">
      <c r="A38" t="s">
        <v>264</v>
      </c>
      <c r="B38">
        <v>75</v>
      </c>
      <c r="D38">
        <v>7</v>
      </c>
      <c r="F38">
        <v>7</v>
      </c>
      <c r="H38">
        <v>7</v>
      </c>
      <c r="J38">
        <v>7</v>
      </c>
    </row>
    <row r="39" spans="1:10" x14ac:dyDescent="0.3">
      <c r="A39" t="s">
        <v>265</v>
      </c>
      <c r="B39">
        <v>75</v>
      </c>
      <c r="D39">
        <v>11</v>
      </c>
      <c r="F39">
        <v>11</v>
      </c>
      <c r="H39">
        <v>11</v>
      </c>
      <c r="J39">
        <v>11</v>
      </c>
    </row>
    <row r="40" spans="1:10" x14ac:dyDescent="0.3">
      <c r="A40" t="s">
        <v>266</v>
      </c>
      <c r="B40">
        <v>75</v>
      </c>
      <c r="D40">
        <v>0</v>
      </c>
      <c r="F40">
        <v>0</v>
      </c>
      <c r="H40">
        <v>0</v>
      </c>
      <c r="J40">
        <v>0</v>
      </c>
    </row>
    <row r="41" spans="1:10" x14ac:dyDescent="0.3">
      <c r="A41" t="s">
        <v>267</v>
      </c>
      <c r="B41">
        <v>75</v>
      </c>
      <c r="C41">
        <v>10.5</v>
      </c>
      <c r="D41">
        <v>25.3</v>
      </c>
      <c r="E41">
        <v>10.5</v>
      </c>
      <c r="F41">
        <v>23.9</v>
      </c>
      <c r="G41">
        <v>10.5</v>
      </c>
      <c r="H41">
        <v>25.4</v>
      </c>
      <c r="I41">
        <v>10.5</v>
      </c>
      <c r="J41">
        <v>23.8</v>
      </c>
    </row>
    <row r="42" spans="1:10" x14ac:dyDescent="0.3">
      <c r="A42" t="s">
        <v>268</v>
      </c>
      <c r="B42">
        <v>75</v>
      </c>
      <c r="C42">
        <v>0</v>
      </c>
      <c r="D42">
        <v>1</v>
      </c>
      <c r="E42">
        <v>0</v>
      </c>
      <c r="F42">
        <v>1</v>
      </c>
      <c r="G42">
        <v>0</v>
      </c>
      <c r="H42">
        <v>1</v>
      </c>
      <c r="I42">
        <v>0</v>
      </c>
      <c r="J42">
        <v>1</v>
      </c>
    </row>
    <row r="43" spans="1:10" x14ac:dyDescent="0.3">
      <c r="A43" t="s">
        <v>269</v>
      </c>
      <c r="B43">
        <v>75</v>
      </c>
      <c r="C43">
        <v>1</v>
      </c>
      <c r="D43">
        <v>1</v>
      </c>
      <c r="E43">
        <v>1</v>
      </c>
      <c r="F43">
        <v>1</v>
      </c>
      <c r="G43">
        <v>1</v>
      </c>
      <c r="H43">
        <v>1</v>
      </c>
      <c r="I43">
        <v>1</v>
      </c>
      <c r="J43">
        <v>1</v>
      </c>
    </row>
    <row r="44" spans="1:10" x14ac:dyDescent="0.3">
      <c r="A44" t="s">
        <v>270</v>
      </c>
      <c r="B44">
        <v>75</v>
      </c>
      <c r="C44">
        <v>59.8</v>
      </c>
      <c r="D44">
        <v>0</v>
      </c>
      <c r="E44">
        <v>25.4</v>
      </c>
      <c r="F44">
        <v>35.9</v>
      </c>
      <c r="G44">
        <v>59.8</v>
      </c>
      <c r="H44">
        <v>0</v>
      </c>
      <c r="I44">
        <v>25.4</v>
      </c>
      <c r="J44">
        <v>35.9</v>
      </c>
    </row>
    <row r="45" spans="1:10" x14ac:dyDescent="0.3">
      <c r="A45" t="s">
        <v>271</v>
      </c>
      <c r="B45">
        <v>75</v>
      </c>
      <c r="C45">
        <v>0</v>
      </c>
      <c r="D45">
        <v>25.4</v>
      </c>
      <c r="E45">
        <v>35.9</v>
      </c>
      <c r="F45">
        <v>59.8</v>
      </c>
      <c r="G45">
        <v>0</v>
      </c>
      <c r="H45">
        <v>25.4</v>
      </c>
      <c r="I45">
        <v>35.9</v>
      </c>
      <c r="J45">
        <v>59.8</v>
      </c>
    </row>
    <row r="46" spans="1:10" x14ac:dyDescent="0.3">
      <c r="A46" t="s">
        <v>272</v>
      </c>
      <c r="B46">
        <v>75</v>
      </c>
      <c r="C46">
        <v>66.3</v>
      </c>
      <c r="D46">
        <v>20.100000000000001</v>
      </c>
      <c r="E46">
        <v>31.9</v>
      </c>
      <c r="F46">
        <v>53.9</v>
      </c>
      <c r="G46">
        <v>66.3</v>
      </c>
      <c r="H46">
        <v>20</v>
      </c>
      <c r="I46">
        <v>31.9</v>
      </c>
      <c r="J46">
        <v>54</v>
      </c>
    </row>
    <row r="47" spans="1:10" x14ac:dyDescent="0.3">
      <c r="A47" t="s">
        <v>273</v>
      </c>
      <c r="B47">
        <v>75</v>
      </c>
      <c r="C47">
        <v>66.3</v>
      </c>
      <c r="D47">
        <v>9.1</v>
      </c>
      <c r="E47">
        <v>31.9</v>
      </c>
      <c r="F47">
        <v>42.9</v>
      </c>
      <c r="G47">
        <v>66.3</v>
      </c>
      <c r="H47">
        <v>9</v>
      </c>
      <c r="I47">
        <v>31.9</v>
      </c>
      <c r="J47">
        <v>43</v>
      </c>
    </row>
    <row r="48" spans="1:10" x14ac:dyDescent="0.3">
      <c r="A48" t="s">
        <v>274</v>
      </c>
      <c r="B48">
        <v>75</v>
      </c>
      <c r="C48">
        <v>59.8</v>
      </c>
      <c r="D48">
        <v>0</v>
      </c>
      <c r="E48">
        <v>25.4</v>
      </c>
      <c r="F48">
        <v>35.9</v>
      </c>
      <c r="G48">
        <v>59.8</v>
      </c>
      <c r="H48">
        <v>0</v>
      </c>
      <c r="I48">
        <v>25.4</v>
      </c>
      <c r="J48">
        <v>35.9</v>
      </c>
    </row>
    <row r="49" spans="1:10" x14ac:dyDescent="0.3">
      <c r="A49" t="s">
        <v>275</v>
      </c>
      <c r="B49">
        <v>75</v>
      </c>
      <c r="C49">
        <v>66.3</v>
      </c>
      <c r="D49">
        <v>20.100000000000001</v>
      </c>
      <c r="E49">
        <v>31.9</v>
      </c>
      <c r="F49">
        <v>53.9</v>
      </c>
      <c r="G49">
        <v>66.3</v>
      </c>
      <c r="H49">
        <v>20</v>
      </c>
      <c r="I49">
        <v>31.9</v>
      </c>
      <c r="J49">
        <v>54</v>
      </c>
    </row>
    <row r="50" spans="1:10" x14ac:dyDescent="0.3">
      <c r="A50" t="s">
        <v>276</v>
      </c>
      <c r="B50">
        <v>75</v>
      </c>
      <c r="C50">
        <v>66.3</v>
      </c>
      <c r="D50">
        <v>9.1</v>
      </c>
      <c r="E50">
        <v>31.9</v>
      </c>
      <c r="F50">
        <v>42.9</v>
      </c>
      <c r="G50">
        <v>66.3</v>
      </c>
      <c r="H50">
        <v>9</v>
      </c>
      <c r="I50">
        <v>31.9</v>
      </c>
      <c r="J50">
        <v>43</v>
      </c>
    </row>
    <row r="51" spans="1:10" x14ac:dyDescent="0.3">
      <c r="A51" t="s">
        <v>567</v>
      </c>
      <c r="B51">
        <v>75</v>
      </c>
      <c r="C51">
        <v>6.5</v>
      </c>
      <c r="D51">
        <v>20.100000000000001</v>
      </c>
      <c r="E51">
        <v>6.5</v>
      </c>
      <c r="F51">
        <v>18</v>
      </c>
      <c r="G51">
        <v>6.5</v>
      </c>
      <c r="H51">
        <v>20</v>
      </c>
      <c r="I51">
        <v>6.5</v>
      </c>
      <c r="J51">
        <v>18.100000000000001</v>
      </c>
    </row>
    <row r="52" spans="1:10" x14ac:dyDescent="0.3">
      <c r="A52" t="s">
        <v>254</v>
      </c>
      <c r="B52">
        <v>78</v>
      </c>
      <c r="C52">
        <v>111</v>
      </c>
      <c r="D52">
        <v>112</v>
      </c>
      <c r="E52">
        <v>211</v>
      </c>
      <c r="F52">
        <v>212</v>
      </c>
      <c r="G52">
        <v>121</v>
      </c>
      <c r="H52">
        <v>122</v>
      </c>
      <c r="I52">
        <v>221</v>
      </c>
      <c r="J52">
        <v>222</v>
      </c>
    </row>
    <row r="53" spans="1:10" x14ac:dyDescent="0.3">
      <c r="A53" t="s">
        <v>255</v>
      </c>
      <c r="B53">
        <v>78</v>
      </c>
      <c r="C53">
        <v>6</v>
      </c>
      <c r="D53">
        <v>15</v>
      </c>
      <c r="F53">
        <v>6</v>
      </c>
      <c r="H53">
        <v>15</v>
      </c>
      <c r="J53">
        <v>5</v>
      </c>
    </row>
    <row r="54" spans="1:10" x14ac:dyDescent="0.3">
      <c r="A54" t="s">
        <v>256</v>
      </c>
      <c r="B54">
        <v>78</v>
      </c>
      <c r="C54">
        <v>6.5</v>
      </c>
      <c r="D54">
        <v>18</v>
      </c>
      <c r="F54">
        <v>18</v>
      </c>
      <c r="H54">
        <v>18</v>
      </c>
      <c r="J54">
        <v>18</v>
      </c>
    </row>
    <row r="55" spans="1:10" x14ac:dyDescent="0.3">
      <c r="A55" t="s">
        <v>257</v>
      </c>
      <c r="B55">
        <v>78</v>
      </c>
      <c r="C55">
        <v>3</v>
      </c>
      <c r="D55">
        <v>3</v>
      </c>
      <c r="F55">
        <v>3</v>
      </c>
      <c r="H55">
        <v>3</v>
      </c>
      <c r="J55">
        <v>3</v>
      </c>
    </row>
    <row r="56" spans="1:10" x14ac:dyDescent="0.3">
      <c r="A56" t="s">
        <v>258</v>
      </c>
      <c r="B56">
        <v>78</v>
      </c>
      <c r="C56">
        <v>0</v>
      </c>
      <c r="D56">
        <v>0</v>
      </c>
      <c r="F56">
        <v>0</v>
      </c>
      <c r="H56">
        <v>0</v>
      </c>
      <c r="J56">
        <v>0</v>
      </c>
    </row>
    <row r="57" spans="1:10" x14ac:dyDescent="0.3">
      <c r="A57" t="s">
        <v>259</v>
      </c>
      <c r="B57">
        <v>78</v>
      </c>
      <c r="C57">
        <v>0</v>
      </c>
      <c r="D57">
        <v>0</v>
      </c>
      <c r="F57">
        <v>0</v>
      </c>
      <c r="H57">
        <v>0</v>
      </c>
      <c r="J57">
        <v>0</v>
      </c>
    </row>
    <row r="58" spans="1:10" x14ac:dyDescent="0.3">
      <c r="A58" t="s">
        <v>260</v>
      </c>
      <c r="B58">
        <v>78</v>
      </c>
      <c r="C58">
        <v>3</v>
      </c>
      <c r="D58">
        <v>3</v>
      </c>
      <c r="F58">
        <v>3</v>
      </c>
      <c r="H58">
        <v>3</v>
      </c>
      <c r="J58">
        <v>3</v>
      </c>
    </row>
    <row r="59" spans="1:10" x14ac:dyDescent="0.3">
      <c r="A59" t="s">
        <v>261</v>
      </c>
      <c r="B59">
        <v>78</v>
      </c>
      <c r="C59">
        <v>3</v>
      </c>
      <c r="D59">
        <v>4.3</v>
      </c>
      <c r="F59">
        <v>3.6</v>
      </c>
      <c r="H59">
        <v>4.3</v>
      </c>
      <c r="J59">
        <v>3.5</v>
      </c>
    </row>
    <row r="60" spans="1:10" x14ac:dyDescent="0.3">
      <c r="A60" t="s">
        <v>262</v>
      </c>
      <c r="B60">
        <v>78</v>
      </c>
      <c r="C60">
        <v>1</v>
      </c>
      <c r="D60">
        <v>1</v>
      </c>
      <c r="F60">
        <v>1.7</v>
      </c>
      <c r="H60">
        <v>1</v>
      </c>
      <c r="J60">
        <v>1</v>
      </c>
    </row>
    <row r="61" spans="1:10" x14ac:dyDescent="0.3">
      <c r="A61" t="s">
        <v>263</v>
      </c>
      <c r="B61">
        <v>78</v>
      </c>
      <c r="C61">
        <v>3</v>
      </c>
      <c r="D61">
        <v>3</v>
      </c>
      <c r="F61">
        <v>3</v>
      </c>
      <c r="H61">
        <v>3</v>
      </c>
      <c r="J61">
        <v>3</v>
      </c>
    </row>
    <row r="62" spans="1:10" x14ac:dyDescent="0.3">
      <c r="A62" t="s">
        <v>264</v>
      </c>
      <c r="B62">
        <v>78</v>
      </c>
      <c r="D62">
        <v>7</v>
      </c>
      <c r="F62">
        <v>7</v>
      </c>
      <c r="H62">
        <v>7</v>
      </c>
      <c r="J62">
        <v>7</v>
      </c>
    </row>
    <row r="63" spans="1:10" x14ac:dyDescent="0.3">
      <c r="A63" t="s">
        <v>265</v>
      </c>
      <c r="B63">
        <v>78</v>
      </c>
      <c r="D63">
        <v>11</v>
      </c>
      <c r="F63">
        <v>11</v>
      </c>
      <c r="H63">
        <v>11</v>
      </c>
      <c r="J63">
        <v>11</v>
      </c>
    </row>
    <row r="64" spans="1:10" x14ac:dyDescent="0.3">
      <c r="A64" t="s">
        <v>266</v>
      </c>
      <c r="B64">
        <v>78</v>
      </c>
      <c r="D64">
        <v>0</v>
      </c>
      <c r="F64">
        <v>0</v>
      </c>
      <c r="H64">
        <v>0</v>
      </c>
      <c r="J64">
        <v>0</v>
      </c>
    </row>
    <row r="65" spans="1:10" x14ac:dyDescent="0.3">
      <c r="A65" t="s">
        <v>267</v>
      </c>
      <c r="B65">
        <v>78</v>
      </c>
      <c r="C65">
        <v>10.5</v>
      </c>
      <c r="D65">
        <v>23.3</v>
      </c>
      <c r="F65">
        <v>23.3</v>
      </c>
      <c r="H65">
        <v>23.3</v>
      </c>
      <c r="J65">
        <v>22.5</v>
      </c>
    </row>
    <row r="66" spans="1:10" x14ac:dyDescent="0.3">
      <c r="A66" t="s">
        <v>268</v>
      </c>
      <c r="B66">
        <v>78</v>
      </c>
      <c r="C66">
        <v>0</v>
      </c>
      <c r="D66">
        <v>1</v>
      </c>
      <c r="F66">
        <v>1</v>
      </c>
      <c r="H66">
        <v>1</v>
      </c>
      <c r="J66">
        <v>1</v>
      </c>
    </row>
    <row r="67" spans="1:10" x14ac:dyDescent="0.3">
      <c r="A67" t="s">
        <v>269</v>
      </c>
      <c r="B67">
        <v>78</v>
      </c>
      <c r="C67">
        <v>1</v>
      </c>
      <c r="D67">
        <v>1</v>
      </c>
      <c r="F67">
        <v>1</v>
      </c>
      <c r="H67">
        <v>1</v>
      </c>
      <c r="J67">
        <v>1</v>
      </c>
    </row>
    <row r="68" spans="1:10" x14ac:dyDescent="0.3">
      <c r="A68" t="s">
        <v>270</v>
      </c>
      <c r="B68">
        <v>78</v>
      </c>
      <c r="C68">
        <v>46.6</v>
      </c>
      <c r="D68">
        <v>0</v>
      </c>
      <c r="F68">
        <v>23.3</v>
      </c>
      <c r="H68">
        <v>46.6</v>
      </c>
      <c r="J68">
        <v>23.3</v>
      </c>
    </row>
    <row r="69" spans="1:10" x14ac:dyDescent="0.3">
      <c r="A69" t="s">
        <v>271</v>
      </c>
      <c r="B69">
        <v>78</v>
      </c>
      <c r="C69">
        <v>0</v>
      </c>
      <c r="D69">
        <v>23.3</v>
      </c>
      <c r="F69">
        <v>46.6</v>
      </c>
      <c r="H69">
        <v>23.3</v>
      </c>
      <c r="J69">
        <v>46.6</v>
      </c>
    </row>
    <row r="70" spans="1:10" x14ac:dyDescent="0.3">
      <c r="A70" t="s">
        <v>272</v>
      </c>
      <c r="B70">
        <v>78</v>
      </c>
      <c r="C70">
        <v>53.1</v>
      </c>
      <c r="D70">
        <v>18</v>
      </c>
      <c r="F70">
        <v>41.3</v>
      </c>
      <c r="H70">
        <v>18</v>
      </c>
      <c r="J70">
        <v>42.1</v>
      </c>
    </row>
    <row r="71" spans="1:10" x14ac:dyDescent="0.3">
      <c r="A71" t="s">
        <v>273</v>
      </c>
      <c r="B71">
        <v>78</v>
      </c>
      <c r="C71">
        <v>53.1</v>
      </c>
      <c r="D71">
        <v>7</v>
      </c>
      <c r="F71">
        <v>30.3</v>
      </c>
      <c r="H71">
        <v>7</v>
      </c>
      <c r="J71">
        <v>31.1</v>
      </c>
    </row>
    <row r="72" spans="1:10" x14ac:dyDescent="0.3">
      <c r="A72" t="s">
        <v>274</v>
      </c>
      <c r="B72">
        <v>78</v>
      </c>
      <c r="C72">
        <v>46.6</v>
      </c>
      <c r="D72">
        <v>0</v>
      </c>
      <c r="F72">
        <v>23.3</v>
      </c>
      <c r="H72">
        <v>46.6</v>
      </c>
      <c r="J72">
        <v>23.3</v>
      </c>
    </row>
    <row r="73" spans="1:10" x14ac:dyDescent="0.3">
      <c r="A73" t="s">
        <v>275</v>
      </c>
      <c r="B73">
        <v>78</v>
      </c>
      <c r="C73">
        <v>53.1</v>
      </c>
      <c r="D73">
        <v>18</v>
      </c>
      <c r="F73">
        <v>41.3</v>
      </c>
      <c r="H73">
        <v>18</v>
      </c>
      <c r="J73">
        <v>42.1</v>
      </c>
    </row>
    <row r="74" spans="1:10" x14ac:dyDescent="0.3">
      <c r="A74" t="s">
        <v>276</v>
      </c>
      <c r="B74">
        <v>78</v>
      </c>
      <c r="C74">
        <v>53.1</v>
      </c>
      <c r="D74">
        <v>7</v>
      </c>
      <c r="F74">
        <v>30.3</v>
      </c>
      <c r="H74">
        <v>7</v>
      </c>
      <c r="J74">
        <v>31.1</v>
      </c>
    </row>
    <row r="75" spans="1:10" x14ac:dyDescent="0.3">
      <c r="A75" t="s">
        <v>567</v>
      </c>
      <c r="B75">
        <v>78</v>
      </c>
      <c r="C75">
        <v>6.5</v>
      </c>
      <c r="D75">
        <v>18</v>
      </c>
      <c r="F75">
        <v>18</v>
      </c>
      <c r="H75">
        <v>28.5</v>
      </c>
      <c r="J75">
        <v>18.8</v>
      </c>
    </row>
    <row r="76" spans="1:10" x14ac:dyDescent="0.3">
      <c r="A76" t="s">
        <v>254</v>
      </c>
      <c r="B76">
        <v>80</v>
      </c>
      <c r="C76">
        <v>111</v>
      </c>
      <c r="D76">
        <v>112</v>
      </c>
      <c r="E76">
        <v>211</v>
      </c>
      <c r="F76">
        <v>212</v>
      </c>
      <c r="G76">
        <v>121</v>
      </c>
      <c r="H76">
        <v>122</v>
      </c>
      <c r="I76">
        <v>221</v>
      </c>
      <c r="J76">
        <v>222</v>
      </c>
    </row>
    <row r="77" spans="1:10" x14ac:dyDescent="0.3">
      <c r="A77" t="s">
        <v>255</v>
      </c>
      <c r="B77">
        <v>80</v>
      </c>
      <c r="D77">
        <v>5</v>
      </c>
      <c r="H77">
        <v>5</v>
      </c>
      <c r="J77">
        <v>5</v>
      </c>
    </row>
    <row r="78" spans="1:10" x14ac:dyDescent="0.3">
      <c r="A78" t="s">
        <v>256</v>
      </c>
      <c r="B78">
        <v>80</v>
      </c>
      <c r="D78">
        <v>18</v>
      </c>
      <c r="H78">
        <v>18</v>
      </c>
      <c r="J78">
        <v>18</v>
      </c>
    </row>
    <row r="79" spans="1:10" x14ac:dyDescent="0.3">
      <c r="A79" t="s">
        <v>257</v>
      </c>
      <c r="B79">
        <v>80</v>
      </c>
      <c r="D79">
        <v>3</v>
      </c>
      <c r="H79">
        <v>3</v>
      </c>
      <c r="J79">
        <v>3</v>
      </c>
    </row>
    <row r="80" spans="1:10" x14ac:dyDescent="0.3">
      <c r="A80" t="s">
        <v>258</v>
      </c>
      <c r="B80">
        <v>80</v>
      </c>
      <c r="D80">
        <v>0</v>
      </c>
      <c r="H80">
        <v>0</v>
      </c>
      <c r="J80">
        <v>0</v>
      </c>
    </row>
    <row r="81" spans="1:10" x14ac:dyDescent="0.3">
      <c r="A81" t="s">
        <v>259</v>
      </c>
      <c r="B81">
        <v>80</v>
      </c>
      <c r="D81">
        <v>0</v>
      </c>
      <c r="H81">
        <v>0</v>
      </c>
      <c r="J81">
        <v>0</v>
      </c>
    </row>
    <row r="82" spans="1:10" x14ac:dyDescent="0.3">
      <c r="A82" t="s">
        <v>260</v>
      </c>
      <c r="B82">
        <v>80</v>
      </c>
      <c r="D82">
        <v>3</v>
      </c>
      <c r="H82">
        <v>3</v>
      </c>
      <c r="J82">
        <v>3</v>
      </c>
    </row>
    <row r="83" spans="1:10" x14ac:dyDescent="0.3">
      <c r="A83" t="s">
        <v>261</v>
      </c>
      <c r="B83">
        <v>80</v>
      </c>
      <c r="D83">
        <v>3.5</v>
      </c>
      <c r="H83">
        <v>3.5</v>
      </c>
      <c r="J83">
        <v>3.5</v>
      </c>
    </row>
    <row r="84" spans="1:10" x14ac:dyDescent="0.3">
      <c r="A84" t="s">
        <v>262</v>
      </c>
      <c r="B84">
        <v>80</v>
      </c>
      <c r="D84">
        <v>1</v>
      </c>
      <c r="H84">
        <v>1</v>
      </c>
      <c r="J84">
        <v>1</v>
      </c>
    </row>
    <row r="85" spans="1:10" x14ac:dyDescent="0.3">
      <c r="A85" t="s">
        <v>263</v>
      </c>
      <c r="B85">
        <v>80</v>
      </c>
      <c r="D85">
        <v>3</v>
      </c>
      <c r="H85">
        <v>3</v>
      </c>
      <c r="J85">
        <v>3</v>
      </c>
    </row>
    <row r="86" spans="1:10" x14ac:dyDescent="0.3">
      <c r="A86" t="s">
        <v>264</v>
      </c>
      <c r="B86">
        <v>80</v>
      </c>
      <c r="D86">
        <v>7</v>
      </c>
      <c r="H86">
        <v>7</v>
      </c>
      <c r="J86">
        <v>7</v>
      </c>
    </row>
    <row r="87" spans="1:10" x14ac:dyDescent="0.3">
      <c r="A87" t="s">
        <v>265</v>
      </c>
      <c r="B87">
        <v>80</v>
      </c>
      <c r="D87">
        <v>11</v>
      </c>
      <c r="H87">
        <v>11</v>
      </c>
      <c r="J87">
        <v>11</v>
      </c>
    </row>
    <row r="88" spans="1:10" x14ac:dyDescent="0.3">
      <c r="A88" t="s">
        <v>266</v>
      </c>
      <c r="B88">
        <v>80</v>
      </c>
      <c r="D88">
        <v>0</v>
      </c>
      <c r="H88">
        <v>0</v>
      </c>
      <c r="J88">
        <v>0</v>
      </c>
    </row>
    <row r="89" spans="1:10" x14ac:dyDescent="0.3">
      <c r="A89" t="s">
        <v>267</v>
      </c>
      <c r="B89">
        <v>80</v>
      </c>
      <c r="D89">
        <v>22.5</v>
      </c>
      <c r="H89">
        <v>22.5</v>
      </c>
      <c r="J89">
        <v>22.5</v>
      </c>
    </row>
    <row r="90" spans="1:10" x14ac:dyDescent="0.3">
      <c r="A90" t="s">
        <v>268</v>
      </c>
      <c r="B90">
        <v>80</v>
      </c>
      <c r="D90">
        <v>1</v>
      </c>
      <c r="H90">
        <v>1</v>
      </c>
      <c r="J90">
        <v>1</v>
      </c>
    </row>
    <row r="91" spans="1:10" x14ac:dyDescent="0.3">
      <c r="A91" t="s">
        <v>269</v>
      </c>
      <c r="B91">
        <v>80</v>
      </c>
      <c r="D91">
        <v>1</v>
      </c>
      <c r="H91">
        <v>1</v>
      </c>
      <c r="J91">
        <v>1</v>
      </c>
    </row>
    <row r="92" spans="1:10" x14ac:dyDescent="0.3">
      <c r="A92" t="s">
        <v>270</v>
      </c>
      <c r="B92">
        <v>80</v>
      </c>
      <c r="D92">
        <v>0</v>
      </c>
      <c r="H92">
        <v>0</v>
      </c>
      <c r="J92">
        <v>22.5</v>
      </c>
    </row>
    <row r="93" spans="1:10" x14ac:dyDescent="0.3">
      <c r="A93" t="s">
        <v>271</v>
      </c>
      <c r="B93">
        <v>80</v>
      </c>
      <c r="D93">
        <v>22.5</v>
      </c>
      <c r="H93">
        <v>22.5</v>
      </c>
      <c r="J93">
        <v>0</v>
      </c>
    </row>
    <row r="94" spans="1:10" x14ac:dyDescent="0.3">
      <c r="A94" t="s">
        <v>272</v>
      </c>
      <c r="B94">
        <v>80</v>
      </c>
      <c r="D94">
        <v>18</v>
      </c>
      <c r="H94">
        <v>18</v>
      </c>
      <c r="J94">
        <v>40.5</v>
      </c>
    </row>
    <row r="95" spans="1:10" x14ac:dyDescent="0.3">
      <c r="A95" t="s">
        <v>273</v>
      </c>
      <c r="B95">
        <v>80</v>
      </c>
      <c r="D95">
        <v>7</v>
      </c>
      <c r="H95">
        <v>7</v>
      </c>
      <c r="J95">
        <v>29.5</v>
      </c>
    </row>
    <row r="96" spans="1:10" x14ac:dyDescent="0.3">
      <c r="A96" t="s">
        <v>274</v>
      </c>
      <c r="B96">
        <v>80</v>
      </c>
      <c r="D96">
        <v>0</v>
      </c>
      <c r="H96">
        <v>0</v>
      </c>
      <c r="J96">
        <v>22.5</v>
      </c>
    </row>
    <row r="97" spans="1:10" x14ac:dyDescent="0.3">
      <c r="A97" t="s">
        <v>275</v>
      </c>
      <c r="B97">
        <v>80</v>
      </c>
      <c r="D97">
        <v>18</v>
      </c>
      <c r="H97">
        <v>18</v>
      </c>
      <c r="J97">
        <v>40.5</v>
      </c>
    </row>
    <row r="98" spans="1:10" x14ac:dyDescent="0.3">
      <c r="A98" t="s">
        <v>276</v>
      </c>
      <c r="B98">
        <v>80</v>
      </c>
      <c r="D98">
        <v>7</v>
      </c>
      <c r="H98">
        <v>7</v>
      </c>
      <c r="J98">
        <v>29.5</v>
      </c>
    </row>
    <row r="99" spans="1:10" x14ac:dyDescent="0.3">
      <c r="A99" t="s">
        <v>567</v>
      </c>
      <c r="B99">
        <v>80</v>
      </c>
      <c r="D99">
        <v>18</v>
      </c>
      <c r="H99">
        <v>18</v>
      </c>
      <c r="J99">
        <v>18</v>
      </c>
    </row>
    <row r="100" spans="1:10" x14ac:dyDescent="0.3">
      <c r="A100" t="s">
        <v>254</v>
      </c>
      <c r="B100">
        <v>82</v>
      </c>
      <c r="C100">
        <v>111</v>
      </c>
      <c r="D100">
        <v>112</v>
      </c>
      <c r="E100">
        <v>211</v>
      </c>
      <c r="F100">
        <v>212</v>
      </c>
      <c r="G100">
        <v>121</v>
      </c>
      <c r="H100">
        <v>122</v>
      </c>
      <c r="I100">
        <v>221</v>
      </c>
      <c r="J100">
        <v>222</v>
      </c>
    </row>
    <row r="101" spans="1:10" x14ac:dyDescent="0.3">
      <c r="A101" t="s">
        <v>255</v>
      </c>
      <c r="B101">
        <v>82</v>
      </c>
      <c r="C101">
        <v>6</v>
      </c>
      <c r="D101">
        <v>20</v>
      </c>
      <c r="F101">
        <v>6</v>
      </c>
      <c r="H101">
        <v>20</v>
      </c>
    </row>
    <row r="102" spans="1:10" x14ac:dyDescent="0.3">
      <c r="A102" t="s">
        <v>256</v>
      </c>
      <c r="B102">
        <v>82</v>
      </c>
      <c r="C102">
        <v>36</v>
      </c>
      <c r="D102">
        <v>20</v>
      </c>
      <c r="F102">
        <v>6</v>
      </c>
      <c r="H102">
        <v>20</v>
      </c>
    </row>
    <row r="103" spans="1:10" x14ac:dyDescent="0.3">
      <c r="A103" t="s">
        <v>257</v>
      </c>
      <c r="B103">
        <v>82</v>
      </c>
      <c r="C103">
        <v>3</v>
      </c>
      <c r="D103">
        <v>3</v>
      </c>
      <c r="F103">
        <v>3</v>
      </c>
      <c r="H103">
        <v>3</v>
      </c>
    </row>
    <row r="104" spans="1:10" x14ac:dyDescent="0.3">
      <c r="A104" t="s">
        <v>258</v>
      </c>
      <c r="B104">
        <v>82</v>
      </c>
      <c r="C104">
        <v>0</v>
      </c>
      <c r="D104">
        <v>0</v>
      </c>
      <c r="F104">
        <v>0</v>
      </c>
      <c r="H104">
        <v>0</v>
      </c>
    </row>
    <row r="105" spans="1:10" x14ac:dyDescent="0.3">
      <c r="A105" t="s">
        <v>259</v>
      </c>
      <c r="B105">
        <v>82</v>
      </c>
      <c r="C105">
        <v>0</v>
      </c>
      <c r="D105">
        <v>0</v>
      </c>
      <c r="F105">
        <v>0</v>
      </c>
      <c r="H105">
        <v>0</v>
      </c>
    </row>
    <row r="106" spans="1:10" x14ac:dyDescent="0.3">
      <c r="A106" t="s">
        <v>260</v>
      </c>
      <c r="B106">
        <v>82</v>
      </c>
      <c r="C106">
        <v>3</v>
      </c>
      <c r="D106">
        <v>3</v>
      </c>
      <c r="F106">
        <v>3</v>
      </c>
      <c r="H106">
        <v>3</v>
      </c>
    </row>
    <row r="107" spans="1:10" x14ac:dyDescent="0.3">
      <c r="A107" t="s">
        <v>261</v>
      </c>
      <c r="B107">
        <v>82</v>
      </c>
      <c r="C107">
        <v>3</v>
      </c>
      <c r="D107">
        <v>4.3</v>
      </c>
      <c r="F107">
        <v>3.6</v>
      </c>
      <c r="H107">
        <v>4.3</v>
      </c>
    </row>
    <row r="108" spans="1:10" x14ac:dyDescent="0.3">
      <c r="A108" t="s">
        <v>262</v>
      </c>
      <c r="B108">
        <v>82</v>
      </c>
      <c r="C108">
        <v>1</v>
      </c>
      <c r="D108">
        <v>1</v>
      </c>
      <c r="F108">
        <v>1.6</v>
      </c>
      <c r="H108">
        <v>1</v>
      </c>
    </row>
    <row r="109" spans="1:10" x14ac:dyDescent="0.3">
      <c r="A109" t="s">
        <v>263</v>
      </c>
      <c r="B109">
        <v>82</v>
      </c>
      <c r="C109">
        <v>3</v>
      </c>
      <c r="D109">
        <v>3</v>
      </c>
      <c r="F109">
        <v>3</v>
      </c>
      <c r="H109">
        <v>3</v>
      </c>
    </row>
    <row r="110" spans="1:10" x14ac:dyDescent="0.3">
      <c r="A110" t="s">
        <v>264</v>
      </c>
      <c r="B110">
        <v>82</v>
      </c>
      <c r="D110">
        <v>7</v>
      </c>
      <c r="H110">
        <v>7</v>
      </c>
    </row>
    <row r="111" spans="1:10" x14ac:dyDescent="0.3">
      <c r="A111" t="s">
        <v>265</v>
      </c>
      <c r="B111">
        <v>82</v>
      </c>
      <c r="D111">
        <v>11</v>
      </c>
      <c r="H111">
        <v>11</v>
      </c>
    </row>
    <row r="112" spans="1:10" x14ac:dyDescent="0.3">
      <c r="A112" t="s">
        <v>266</v>
      </c>
      <c r="B112">
        <v>82</v>
      </c>
      <c r="D112">
        <v>0</v>
      </c>
      <c r="H112">
        <v>0</v>
      </c>
    </row>
    <row r="113" spans="1:10" x14ac:dyDescent="0.3">
      <c r="A113" t="s">
        <v>267</v>
      </c>
      <c r="B113">
        <v>82</v>
      </c>
      <c r="C113">
        <v>40</v>
      </c>
      <c r="D113">
        <v>25.3</v>
      </c>
      <c r="F113">
        <v>11.2</v>
      </c>
      <c r="H113">
        <v>25.3</v>
      </c>
    </row>
    <row r="114" spans="1:10" x14ac:dyDescent="0.3">
      <c r="A114" t="s">
        <v>268</v>
      </c>
      <c r="B114">
        <v>82</v>
      </c>
      <c r="C114">
        <v>0</v>
      </c>
      <c r="D114">
        <v>1</v>
      </c>
      <c r="F114">
        <v>0</v>
      </c>
      <c r="H114">
        <v>1</v>
      </c>
    </row>
    <row r="115" spans="1:10" x14ac:dyDescent="0.3">
      <c r="A115" t="s">
        <v>269</v>
      </c>
      <c r="B115">
        <v>82</v>
      </c>
      <c r="C115">
        <v>1</v>
      </c>
      <c r="D115">
        <v>1</v>
      </c>
      <c r="F115">
        <v>1</v>
      </c>
      <c r="H115">
        <v>1</v>
      </c>
    </row>
    <row r="116" spans="1:10" x14ac:dyDescent="0.3">
      <c r="A116" t="s">
        <v>270</v>
      </c>
      <c r="B116">
        <v>82</v>
      </c>
      <c r="C116">
        <v>36.5</v>
      </c>
      <c r="D116">
        <v>0</v>
      </c>
      <c r="F116">
        <v>25.3</v>
      </c>
      <c r="H116">
        <v>36.5</v>
      </c>
    </row>
    <row r="117" spans="1:10" x14ac:dyDescent="0.3">
      <c r="A117" t="s">
        <v>271</v>
      </c>
      <c r="B117">
        <v>82</v>
      </c>
      <c r="C117">
        <v>0</v>
      </c>
      <c r="D117">
        <v>25.3</v>
      </c>
      <c r="F117">
        <v>36.5</v>
      </c>
      <c r="H117">
        <v>25.3</v>
      </c>
    </row>
    <row r="118" spans="1:10" x14ac:dyDescent="0.3">
      <c r="A118" t="s">
        <v>272</v>
      </c>
      <c r="B118">
        <v>82</v>
      </c>
      <c r="C118">
        <v>72.5</v>
      </c>
      <c r="D118">
        <v>20</v>
      </c>
      <c r="F118">
        <v>31.3</v>
      </c>
      <c r="H118">
        <v>20</v>
      </c>
    </row>
    <row r="119" spans="1:10" x14ac:dyDescent="0.3">
      <c r="A119" t="s">
        <v>273</v>
      </c>
      <c r="B119">
        <v>82</v>
      </c>
      <c r="C119">
        <v>72.5</v>
      </c>
      <c r="D119">
        <v>9</v>
      </c>
      <c r="F119">
        <v>31.3</v>
      </c>
      <c r="H119">
        <v>9</v>
      </c>
    </row>
    <row r="120" spans="1:10" x14ac:dyDescent="0.3">
      <c r="A120" t="s">
        <v>274</v>
      </c>
      <c r="B120">
        <v>82</v>
      </c>
      <c r="C120">
        <v>36.5</v>
      </c>
      <c r="D120">
        <v>0</v>
      </c>
      <c r="F120">
        <v>25.3</v>
      </c>
      <c r="H120">
        <v>36.5</v>
      </c>
    </row>
    <row r="121" spans="1:10" x14ac:dyDescent="0.3">
      <c r="A121" t="s">
        <v>275</v>
      </c>
      <c r="B121">
        <v>82</v>
      </c>
      <c r="C121">
        <v>72.5</v>
      </c>
      <c r="D121">
        <v>20</v>
      </c>
      <c r="F121">
        <v>31.3</v>
      </c>
      <c r="H121">
        <v>20</v>
      </c>
    </row>
    <row r="122" spans="1:10" x14ac:dyDescent="0.3">
      <c r="A122" t="s">
        <v>276</v>
      </c>
      <c r="B122">
        <v>82</v>
      </c>
      <c r="C122">
        <v>72.5</v>
      </c>
      <c r="D122">
        <v>9</v>
      </c>
      <c r="F122">
        <v>31.3</v>
      </c>
      <c r="H122">
        <v>9</v>
      </c>
    </row>
    <row r="123" spans="1:10" x14ac:dyDescent="0.3">
      <c r="A123" t="s">
        <v>567</v>
      </c>
      <c r="B123">
        <v>82</v>
      </c>
      <c r="C123">
        <v>36</v>
      </c>
      <c r="D123">
        <v>20</v>
      </c>
      <c r="F123">
        <v>6</v>
      </c>
      <c r="H123">
        <v>60</v>
      </c>
    </row>
    <row r="124" spans="1:10" x14ac:dyDescent="0.3">
      <c r="A124" t="s">
        <v>254</v>
      </c>
      <c r="B124">
        <v>84</v>
      </c>
      <c r="C124">
        <v>111</v>
      </c>
      <c r="D124">
        <v>112</v>
      </c>
      <c r="E124">
        <v>211</v>
      </c>
      <c r="F124">
        <v>212</v>
      </c>
      <c r="G124">
        <v>121</v>
      </c>
      <c r="H124">
        <v>122</v>
      </c>
      <c r="I124">
        <v>221</v>
      </c>
      <c r="J124">
        <v>222</v>
      </c>
    </row>
    <row r="125" spans="1:10" x14ac:dyDescent="0.3">
      <c r="A125" t="s">
        <v>255</v>
      </c>
      <c r="B125">
        <v>84</v>
      </c>
      <c r="C125">
        <v>6</v>
      </c>
      <c r="D125">
        <v>25</v>
      </c>
      <c r="F125">
        <v>6</v>
      </c>
      <c r="G125">
        <v>6</v>
      </c>
      <c r="H125">
        <v>25</v>
      </c>
      <c r="J125">
        <v>6</v>
      </c>
    </row>
    <row r="126" spans="1:10" x14ac:dyDescent="0.3">
      <c r="A126" t="s">
        <v>256</v>
      </c>
      <c r="B126">
        <v>84</v>
      </c>
      <c r="C126">
        <v>6.5</v>
      </c>
      <c r="D126">
        <v>25</v>
      </c>
      <c r="F126">
        <v>18</v>
      </c>
      <c r="G126">
        <v>6.5</v>
      </c>
      <c r="H126">
        <v>25</v>
      </c>
      <c r="J126">
        <v>18</v>
      </c>
    </row>
    <row r="127" spans="1:10" x14ac:dyDescent="0.3">
      <c r="A127" t="s">
        <v>257</v>
      </c>
      <c r="B127">
        <v>84</v>
      </c>
      <c r="C127">
        <v>3</v>
      </c>
      <c r="D127">
        <v>3</v>
      </c>
      <c r="F127">
        <v>3</v>
      </c>
      <c r="G127">
        <v>3</v>
      </c>
      <c r="H127">
        <v>3</v>
      </c>
      <c r="J127">
        <v>3</v>
      </c>
    </row>
    <row r="128" spans="1:10" x14ac:dyDescent="0.3">
      <c r="A128" t="s">
        <v>258</v>
      </c>
      <c r="B128">
        <v>84</v>
      </c>
      <c r="C128">
        <v>0</v>
      </c>
      <c r="D128">
        <v>0</v>
      </c>
      <c r="F128">
        <v>0</v>
      </c>
      <c r="G128">
        <v>0</v>
      </c>
      <c r="H128">
        <v>0</v>
      </c>
      <c r="J128">
        <v>0</v>
      </c>
    </row>
    <row r="129" spans="1:10" x14ac:dyDescent="0.3">
      <c r="A129" t="s">
        <v>259</v>
      </c>
      <c r="B129">
        <v>84</v>
      </c>
      <c r="C129">
        <v>0</v>
      </c>
      <c r="D129">
        <v>0</v>
      </c>
      <c r="F129">
        <v>0</v>
      </c>
      <c r="G129">
        <v>0</v>
      </c>
      <c r="H129">
        <v>0</v>
      </c>
      <c r="J129">
        <v>0</v>
      </c>
    </row>
    <row r="130" spans="1:10" x14ac:dyDescent="0.3">
      <c r="A130" t="s">
        <v>260</v>
      </c>
      <c r="B130">
        <v>84</v>
      </c>
      <c r="C130">
        <v>3</v>
      </c>
      <c r="D130">
        <v>3</v>
      </c>
      <c r="F130">
        <v>3</v>
      </c>
      <c r="G130">
        <v>3</v>
      </c>
      <c r="H130">
        <v>3</v>
      </c>
      <c r="J130">
        <v>3</v>
      </c>
    </row>
    <row r="131" spans="1:10" x14ac:dyDescent="0.3">
      <c r="A131" t="s">
        <v>261</v>
      </c>
      <c r="B131">
        <v>84</v>
      </c>
      <c r="C131">
        <v>3</v>
      </c>
      <c r="D131">
        <v>5</v>
      </c>
      <c r="F131">
        <v>3.6</v>
      </c>
      <c r="G131">
        <v>3</v>
      </c>
      <c r="H131">
        <v>5</v>
      </c>
      <c r="J131">
        <v>3.6</v>
      </c>
    </row>
    <row r="132" spans="1:10" x14ac:dyDescent="0.3">
      <c r="A132" t="s">
        <v>262</v>
      </c>
      <c r="B132">
        <v>84</v>
      </c>
      <c r="C132">
        <v>1</v>
      </c>
      <c r="D132">
        <v>1</v>
      </c>
      <c r="F132">
        <v>2.2999999999999998</v>
      </c>
      <c r="G132">
        <v>1</v>
      </c>
      <c r="H132">
        <v>1</v>
      </c>
      <c r="J132">
        <v>2.2999999999999998</v>
      </c>
    </row>
    <row r="133" spans="1:10" x14ac:dyDescent="0.3">
      <c r="A133" t="s">
        <v>263</v>
      </c>
      <c r="B133">
        <v>84</v>
      </c>
      <c r="C133">
        <v>3</v>
      </c>
      <c r="D133">
        <v>3</v>
      </c>
      <c r="F133">
        <v>3</v>
      </c>
      <c r="G133">
        <v>3</v>
      </c>
      <c r="H133">
        <v>3</v>
      </c>
      <c r="J133">
        <v>3</v>
      </c>
    </row>
    <row r="134" spans="1:10" x14ac:dyDescent="0.3">
      <c r="A134" t="s">
        <v>264</v>
      </c>
      <c r="B134">
        <v>84</v>
      </c>
      <c r="D134">
        <v>7</v>
      </c>
      <c r="F134">
        <v>7</v>
      </c>
      <c r="H134">
        <v>7</v>
      </c>
      <c r="J134">
        <v>7</v>
      </c>
    </row>
    <row r="135" spans="1:10" x14ac:dyDescent="0.3">
      <c r="A135" t="s">
        <v>265</v>
      </c>
      <c r="B135">
        <v>84</v>
      </c>
      <c r="D135">
        <v>11</v>
      </c>
      <c r="F135">
        <v>11</v>
      </c>
      <c r="H135">
        <v>11</v>
      </c>
      <c r="J135">
        <v>11</v>
      </c>
    </row>
    <row r="136" spans="1:10" x14ac:dyDescent="0.3">
      <c r="A136" t="s">
        <v>266</v>
      </c>
      <c r="B136">
        <v>84</v>
      </c>
      <c r="D136">
        <v>0</v>
      </c>
      <c r="F136">
        <v>0</v>
      </c>
      <c r="H136">
        <v>0</v>
      </c>
      <c r="J136">
        <v>0</v>
      </c>
    </row>
    <row r="137" spans="1:10" x14ac:dyDescent="0.3">
      <c r="A137" t="s">
        <v>267</v>
      </c>
      <c r="B137">
        <v>84</v>
      </c>
      <c r="C137">
        <v>10.5</v>
      </c>
      <c r="D137">
        <v>31</v>
      </c>
      <c r="F137">
        <v>23.9</v>
      </c>
      <c r="G137">
        <v>10.5</v>
      </c>
      <c r="H137">
        <v>31</v>
      </c>
      <c r="J137">
        <v>23.9</v>
      </c>
    </row>
    <row r="138" spans="1:10" x14ac:dyDescent="0.3">
      <c r="A138" t="s">
        <v>268</v>
      </c>
      <c r="B138">
        <v>84</v>
      </c>
      <c r="C138">
        <v>0</v>
      </c>
      <c r="D138">
        <v>1</v>
      </c>
      <c r="F138">
        <v>1</v>
      </c>
      <c r="G138">
        <v>0</v>
      </c>
      <c r="H138">
        <v>1</v>
      </c>
      <c r="J138">
        <v>1</v>
      </c>
    </row>
    <row r="139" spans="1:10" x14ac:dyDescent="0.3">
      <c r="A139" t="s">
        <v>269</v>
      </c>
      <c r="B139">
        <v>84</v>
      </c>
      <c r="C139">
        <v>1</v>
      </c>
      <c r="D139">
        <v>1</v>
      </c>
      <c r="F139">
        <v>1</v>
      </c>
      <c r="G139">
        <v>1</v>
      </c>
      <c r="H139">
        <v>1</v>
      </c>
      <c r="J139">
        <v>1</v>
      </c>
    </row>
    <row r="140" spans="1:10" x14ac:dyDescent="0.3">
      <c r="A140" t="s">
        <v>270</v>
      </c>
      <c r="B140">
        <v>84</v>
      </c>
      <c r="C140">
        <v>54.9</v>
      </c>
      <c r="D140">
        <v>0</v>
      </c>
      <c r="F140">
        <v>31</v>
      </c>
      <c r="G140">
        <v>54.9</v>
      </c>
      <c r="H140">
        <v>0</v>
      </c>
      <c r="J140">
        <v>31</v>
      </c>
    </row>
    <row r="141" spans="1:10" x14ac:dyDescent="0.3">
      <c r="A141" t="s">
        <v>271</v>
      </c>
      <c r="B141">
        <v>84</v>
      </c>
      <c r="C141">
        <v>0</v>
      </c>
      <c r="D141">
        <v>31</v>
      </c>
      <c r="F141">
        <v>54.9</v>
      </c>
      <c r="G141">
        <v>0</v>
      </c>
      <c r="H141">
        <v>31</v>
      </c>
      <c r="J141">
        <v>54.9</v>
      </c>
    </row>
    <row r="142" spans="1:10" x14ac:dyDescent="0.3">
      <c r="A142" t="s">
        <v>272</v>
      </c>
      <c r="B142">
        <v>84</v>
      </c>
      <c r="C142">
        <v>61.4</v>
      </c>
      <c r="D142">
        <v>25</v>
      </c>
      <c r="F142">
        <v>49</v>
      </c>
      <c r="G142">
        <v>61.4</v>
      </c>
      <c r="H142">
        <v>25</v>
      </c>
      <c r="J142">
        <v>49</v>
      </c>
    </row>
    <row r="143" spans="1:10" x14ac:dyDescent="0.3">
      <c r="A143" t="s">
        <v>273</v>
      </c>
      <c r="B143">
        <v>84</v>
      </c>
      <c r="C143">
        <v>61.4</v>
      </c>
      <c r="D143">
        <v>14</v>
      </c>
      <c r="F143">
        <v>38</v>
      </c>
      <c r="G143">
        <v>61.4</v>
      </c>
      <c r="H143">
        <v>14</v>
      </c>
      <c r="J143">
        <v>38</v>
      </c>
    </row>
    <row r="144" spans="1:10" x14ac:dyDescent="0.3">
      <c r="A144" t="s">
        <v>274</v>
      </c>
      <c r="B144">
        <v>84</v>
      </c>
      <c r="C144">
        <v>54.9</v>
      </c>
      <c r="D144">
        <v>0</v>
      </c>
      <c r="F144">
        <v>31</v>
      </c>
      <c r="G144">
        <v>54.9</v>
      </c>
      <c r="H144">
        <v>0</v>
      </c>
      <c r="J144">
        <v>31</v>
      </c>
    </row>
    <row r="145" spans="1:10" x14ac:dyDescent="0.3">
      <c r="A145" t="s">
        <v>275</v>
      </c>
      <c r="B145">
        <v>84</v>
      </c>
      <c r="C145">
        <v>61.4</v>
      </c>
      <c r="D145">
        <v>25</v>
      </c>
      <c r="F145">
        <v>49</v>
      </c>
      <c r="G145">
        <v>61.4</v>
      </c>
      <c r="H145">
        <v>25</v>
      </c>
      <c r="J145">
        <v>49</v>
      </c>
    </row>
    <row r="146" spans="1:10" x14ac:dyDescent="0.3">
      <c r="A146" t="s">
        <v>276</v>
      </c>
      <c r="B146">
        <v>84</v>
      </c>
      <c r="C146">
        <v>61.4</v>
      </c>
      <c r="D146">
        <v>14</v>
      </c>
      <c r="F146">
        <v>38</v>
      </c>
      <c r="G146">
        <v>61.4</v>
      </c>
      <c r="H146">
        <v>14</v>
      </c>
      <c r="J146">
        <v>38</v>
      </c>
    </row>
    <row r="147" spans="1:10" x14ac:dyDescent="0.3">
      <c r="A147" t="s">
        <v>567</v>
      </c>
      <c r="B147">
        <v>84</v>
      </c>
      <c r="C147">
        <v>6.5</v>
      </c>
      <c r="D147">
        <v>25</v>
      </c>
      <c r="F147">
        <v>18</v>
      </c>
      <c r="G147">
        <v>6.5</v>
      </c>
      <c r="H147">
        <v>25</v>
      </c>
      <c r="J147">
        <v>18</v>
      </c>
    </row>
    <row r="148" spans="1:10" x14ac:dyDescent="0.3">
      <c r="A148" t="s">
        <v>254</v>
      </c>
      <c r="B148">
        <v>87</v>
      </c>
      <c r="C148">
        <v>111</v>
      </c>
      <c r="D148">
        <v>112</v>
      </c>
      <c r="E148">
        <v>211</v>
      </c>
      <c r="F148">
        <v>212</v>
      </c>
      <c r="G148">
        <v>121</v>
      </c>
      <c r="H148">
        <v>122</v>
      </c>
      <c r="I148">
        <v>221</v>
      </c>
      <c r="J148">
        <v>222</v>
      </c>
    </row>
    <row r="149" spans="1:10" x14ac:dyDescent="0.3">
      <c r="A149" t="s">
        <v>255</v>
      </c>
      <c r="B149">
        <v>87</v>
      </c>
      <c r="C149">
        <v>6</v>
      </c>
      <c r="D149">
        <v>15</v>
      </c>
      <c r="E149">
        <v>6</v>
      </c>
      <c r="F149">
        <v>6</v>
      </c>
      <c r="G149">
        <v>6</v>
      </c>
      <c r="H149">
        <v>15</v>
      </c>
      <c r="I149">
        <v>6</v>
      </c>
      <c r="J149">
        <v>6</v>
      </c>
    </row>
    <row r="150" spans="1:10" x14ac:dyDescent="0.3">
      <c r="A150" t="s">
        <v>256</v>
      </c>
      <c r="B150">
        <v>87</v>
      </c>
      <c r="C150">
        <v>6.5</v>
      </c>
      <c r="D150">
        <v>18</v>
      </c>
      <c r="E150">
        <v>6.5</v>
      </c>
      <c r="F150">
        <v>18.3</v>
      </c>
      <c r="G150">
        <v>6.5</v>
      </c>
      <c r="H150">
        <v>18</v>
      </c>
      <c r="I150">
        <v>6.5</v>
      </c>
      <c r="J150">
        <v>18</v>
      </c>
    </row>
    <row r="151" spans="1:10" x14ac:dyDescent="0.3">
      <c r="A151" t="s">
        <v>257</v>
      </c>
      <c r="B151">
        <v>87</v>
      </c>
      <c r="C151">
        <v>3</v>
      </c>
      <c r="D151">
        <v>3</v>
      </c>
      <c r="E151">
        <v>3</v>
      </c>
      <c r="F151">
        <v>3</v>
      </c>
      <c r="G151">
        <v>3</v>
      </c>
      <c r="H151">
        <v>3</v>
      </c>
      <c r="I151">
        <v>3</v>
      </c>
      <c r="J151">
        <v>3</v>
      </c>
    </row>
    <row r="152" spans="1:10" x14ac:dyDescent="0.3">
      <c r="A152" t="s">
        <v>258</v>
      </c>
      <c r="B152">
        <v>87</v>
      </c>
      <c r="C152">
        <v>0</v>
      </c>
      <c r="D152">
        <v>0</v>
      </c>
      <c r="E152">
        <v>0</v>
      </c>
      <c r="F152">
        <v>0</v>
      </c>
      <c r="G152">
        <v>0</v>
      </c>
      <c r="H152">
        <v>0</v>
      </c>
      <c r="I152">
        <v>0</v>
      </c>
      <c r="J152">
        <v>0</v>
      </c>
    </row>
    <row r="153" spans="1:10" x14ac:dyDescent="0.3">
      <c r="A153" t="s">
        <v>259</v>
      </c>
      <c r="B153">
        <v>87</v>
      </c>
      <c r="C153">
        <v>0</v>
      </c>
      <c r="D153">
        <v>0</v>
      </c>
      <c r="E153">
        <v>0</v>
      </c>
      <c r="F153">
        <v>0</v>
      </c>
      <c r="G153">
        <v>0</v>
      </c>
      <c r="H153">
        <v>0</v>
      </c>
      <c r="I153">
        <v>0</v>
      </c>
      <c r="J153">
        <v>0</v>
      </c>
    </row>
    <row r="154" spans="1:10" x14ac:dyDescent="0.3">
      <c r="A154" t="s">
        <v>260</v>
      </c>
      <c r="B154">
        <v>87</v>
      </c>
      <c r="C154">
        <v>3</v>
      </c>
      <c r="D154">
        <v>3</v>
      </c>
      <c r="E154">
        <v>3</v>
      </c>
      <c r="F154">
        <v>3</v>
      </c>
      <c r="G154">
        <v>3</v>
      </c>
      <c r="H154">
        <v>3</v>
      </c>
      <c r="I154">
        <v>3</v>
      </c>
      <c r="J154">
        <v>3</v>
      </c>
    </row>
    <row r="155" spans="1:10" x14ac:dyDescent="0.3">
      <c r="A155" t="s">
        <v>261</v>
      </c>
      <c r="B155">
        <v>87</v>
      </c>
      <c r="C155">
        <v>3</v>
      </c>
      <c r="D155">
        <v>4.7</v>
      </c>
      <c r="E155">
        <v>3</v>
      </c>
      <c r="F155">
        <v>3</v>
      </c>
      <c r="G155">
        <v>3</v>
      </c>
      <c r="H155">
        <v>4.7</v>
      </c>
      <c r="I155">
        <v>3</v>
      </c>
      <c r="J155">
        <v>4.3</v>
      </c>
    </row>
    <row r="156" spans="1:10" x14ac:dyDescent="0.3">
      <c r="A156" t="s">
        <v>262</v>
      </c>
      <c r="B156">
        <v>87</v>
      </c>
      <c r="C156">
        <v>1</v>
      </c>
      <c r="D156">
        <v>1</v>
      </c>
      <c r="E156">
        <v>1</v>
      </c>
      <c r="F156">
        <v>1.2</v>
      </c>
      <c r="G156">
        <v>1</v>
      </c>
      <c r="H156">
        <v>1</v>
      </c>
      <c r="I156">
        <v>1</v>
      </c>
      <c r="J156">
        <v>1.2</v>
      </c>
    </row>
    <row r="157" spans="1:10" x14ac:dyDescent="0.3">
      <c r="A157" t="s">
        <v>263</v>
      </c>
      <c r="B157">
        <v>87</v>
      </c>
      <c r="C157">
        <v>3</v>
      </c>
      <c r="D157">
        <v>3</v>
      </c>
      <c r="E157">
        <v>3</v>
      </c>
      <c r="F157">
        <v>3</v>
      </c>
      <c r="G157">
        <v>3</v>
      </c>
      <c r="H157">
        <v>3</v>
      </c>
      <c r="I157">
        <v>3</v>
      </c>
      <c r="J157">
        <v>3</v>
      </c>
    </row>
    <row r="158" spans="1:10" x14ac:dyDescent="0.3">
      <c r="A158" t="s">
        <v>264</v>
      </c>
      <c r="B158">
        <v>87</v>
      </c>
      <c r="D158">
        <v>7</v>
      </c>
      <c r="F158">
        <v>7</v>
      </c>
      <c r="H158">
        <v>7</v>
      </c>
      <c r="J158">
        <v>7</v>
      </c>
    </row>
    <row r="159" spans="1:10" x14ac:dyDescent="0.3">
      <c r="A159" t="s">
        <v>265</v>
      </c>
      <c r="B159">
        <v>87</v>
      </c>
      <c r="D159">
        <v>11</v>
      </c>
      <c r="F159">
        <v>11</v>
      </c>
      <c r="H159">
        <v>11</v>
      </c>
      <c r="J159">
        <v>11</v>
      </c>
    </row>
    <row r="160" spans="1:10" x14ac:dyDescent="0.3">
      <c r="A160" t="s">
        <v>266</v>
      </c>
      <c r="B160">
        <v>87</v>
      </c>
      <c r="D160">
        <v>0</v>
      </c>
      <c r="F160">
        <v>0</v>
      </c>
      <c r="H160">
        <v>0</v>
      </c>
      <c r="J160">
        <v>0</v>
      </c>
    </row>
    <row r="161" spans="1:10" x14ac:dyDescent="0.3">
      <c r="A161" t="s">
        <v>267</v>
      </c>
      <c r="B161">
        <v>87</v>
      </c>
      <c r="C161">
        <v>10.5</v>
      </c>
      <c r="D161">
        <v>23.7</v>
      </c>
      <c r="E161">
        <v>10.5</v>
      </c>
      <c r="F161">
        <v>22.5</v>
      </c>
      <c r="G161">
        <v>10.5</v>
      </c>
      <c r="H161">
        <v>23.7</v>
      </c>
      <c r="I161">
        <v>10.5</v>
      </c>
      <c r="J161">
        <v>23.5</v>
      </c>
    </row>
    <row r="162" spans="1:10" x14ac:dyDescent="0.3">
      <c r="A162" t="s">
        <v>268</v>
      </c>
      <c r="B162">
        <v>87</v>
      </c>
      <c r="C162">
        <v>0</v>
      </c>
      <c r="D162">
        <v>1</v>
      </c>
      <c r="E162">
        <v>0</v>
      </c>
      <c r="F162">
        <v>1</v>
      </c>
      <c r="G162">
        <v>0</v>
      </c>
      <c r="H162">
        <v>1</v>
      </c>
      <c r="I162">
        <v>0</v>
      </c>
      <c r="J162">
        <v>1</v>
      </c>
    </row>
    <row r="163" spans="1:10" x14ac:dyDescent="0.3">
      <c r="A163" t="s">
        <v>269</v>
      </c>
      <c r="B163">
        <v>87</v>
      </c>
      <c r="C163">
        <v>1</v>
      </c>
      <c r="D163">
        <v>1</v>
      </c>
      <c r="E163">
        <v>1</v>
      </c>
      <c r="F163">
        <v>1</v>
      </c>
      <c r="G163">
        <v>1</v>
      </c>
      <c r="H163">
        <v>1</v>
      </c>
      <c r="I163">
        <v>1</v>
      </c>
      <c r="J163">
        <v>1</v>
      </c>
    </row>
    <row r="164" spans="1:10" x14ac:dyDescent="0.3">
      <c r="A164" t="s">
        <v>270</v>
      </c>
      <c r="B164">
        <v>87</v>
      </c>
      <c r="C164">
        <v>57.7</v>
      </c>
      <c r="D164">
        <v>0</v>
      </c>
      <c r="E164">
        <v>23.7</v>
      </c>
      <c r="F164">
        <v>34.200000000000003</v>
      </c>
      <c r="G164">
        <v>57.7</v>
      </c>
      <c r="H164">
        <v>0</v>
      </c>
      <c r="I164">
        <v>23.7</v>
      </c>
      <c r="J164">
        <v>34.200000000000003</v>
      </c>
    </row>
    <row r="165" spans="1:10" x14ac:dyDescent="0.3">
      <c r="A165" t="s">
        <v>271</v>
      </c>
      <c r="B165">
        <v>87</v>
      </c>
      <c r="C165">
        <v>0</v>
      </c>
      <c r="D165">
        <v>23.7</v>
      </c>
      <c r="E165">
        <v>34.200000000000003</v>
      </c>
      <c r="F165">
        <v>57.7</v>
      </c>
      <c r="G165">
        <v>0</v>
      </c>
      <c r="H165">
        <v>23.7</v>
      </c>
      <c r="I165">
        <v>34.200000000000003</v>
      </c>
      <c r="J165">
        <v>57.7</v>
      </c>
    </row>
    <row r="166" spans="1:10" x14ac:dyDescent="0.3">
      <c r="A166" t="s">
        <v>272</v>
      </c>
      <c r="B166">
        <v>87</v>
      </c>
      <c r="C166">
        <v>64.2</v>
      </c>
      <c r="D166">
        <v>18</v>
      </c>
      <c r="E166">
        <v>30.2</v>
      </c>
      <c r="F166">
        <v>53.5</v>
      </c>
      <c r="G166">
        <v>64.2</v>
      </c>
      <c r="H166">
        <v>18</v>
      </c>
      <c r="I166">
        <v>30.2</v>
      </c>
      <c r="J166">
        <v>52.2</v>
      </c>
    </row>
    <row r="167" spans="1:10" x14ac:dyDescent="0.3">
      <c r="A167" t="s">
        <v>273</v>
      </c>
      <c r="B167">
        <v>87</v>
      </c>
      <c r="C167">
        <v>64.2</v>
      </c>
      <c r="D167">
        <v>7</v>
      </c>
      <c r="E167">
        <v>30.2</v>
      </c>
      <c r="F167">
        <v>42.5</v>
      </c>
      <c r="G167">
        <v>64.2</v>
      </c>
      <c r="H167">
        <v>7</v>
      </c>
      <c r="I167">
        <v>30.2</v>
      </c>
      <c r="J167">
        <v>41.2</v>
      </c>
    </row>
    <row r="168" spans="1:10" x14ac:dyDescent="0.3">
      <c r="A168" t="s">
        <v>274</v>
      </c>
      <c r="B168">
        <v>87</v>
      </c>
      <c r="C168">
        <v>57.7</v>
      </c>
      <c r="D168">
        <v>0</v>
      </c>
      <c r="E168">
        <v>23.7</v>
      </c>
      <c r="F168">
        <v>34.200000000000003</v>
      </c>
      <c r="G168">
        <v>57.7</v>
      </c>
      <c r="H168">
        <v>0</v>
      </c>
      <c r="I168">
        <v>23.7</v>
      </c>
      <c r="J168">
        <v>34.200000000000003</v>
      </c>
    </row>
    <row r="169" spans="1:10" x14ac:dyDescent="0.3">
      <c r="A169" t="s">
        <v>275</v>
      </c>
      <c r="B169">
        <v>87</v>
      </c>
      <c r="C169">
        <v>64.2</v>
      </c>
      <c r="D169">
        <v>18</v>
      </c>
      <c r="E169">
        <v>30.2</v>
      </c>
      <c r="F169">
        <v>53.5</v>
      </c>
      <c r="G169">
        <v>64.2</v>
      </c>
      <c r="H169">
        <v>18</v>
      </c>
      <c r="I169">
        <v>30.2</v>
      </c>
      <c r="J169">
        <v>52.2</v>
      </c>
    </row>
    <row r="170" spans="1:10" x14ac:dyDescent="0.3">
      <c r="A170" t="s">
        <v>276</v>
      </c>
      <c r="B170">
        <v>87</v>
      </c>
      <c r="C170">
        <v>64.2</v>
      </c>
      <c r="D170">
        <v>7</v>
      </c>
      <c r="E170">
        <v>30.2</v>
      </c>
      <c r="F170">
        <v>42.5</v>
      </c>
      <c r="G170">
        <v>64.2</v>
      </c>
      <c r="H170">
        <v>7</v>
      </c>
      <c r="I170">
        <v>30.2</v>
      </c>
      <c r="J170">
        <v>41.2</v>
      </c>
    </row>
    <row r="171" spans="1:10" x14ac:dyDescent="0.3">
      <c r="A171" t="s">
        <v>567</v>
      </c>
      <c r="B171">
        <v>87</v>
      </c>
      <c r="C171">
        <v>6.5</v>
      </c>
      <c r="D171">
        <v>18</v>
      </c>
      <c r="E171">
        <v>6.5</v>
      </c>
      <c r="F171">
        <v>19.3</v>
      </c>
      <c r="G171">
        <v>6.5</v>
      </c>
      <c r="H171">
        <v>18</v>
      </c>
      <c r="I171">
        <v>6.5</v>
      </c>
      <c r="J171">
        <v>18</v>
      </c>
    </row>
    <row r="172" spans="1:10" x14ac:dyDescent="0.3">
      <c r="A172" t="s">
        <v>254</v>
      </c>
      <c r="B172">
        <v>98</v>
      </c>
      <c r="C172">
        <v>111</v>
      </c>
      <c r="D172">
        <v>112</v>
      </c>
      <c r="E172">
        <v>211</v>
      </c>
      <c r="F172">
        <v>212</v>
      </c>
      <c r="G172">
        <v>121</v>
      </c>
      <c r="H172">
        <v>122</v>
      </c>
      <c r="I172">
        <v>221</v>
      </c>
      <c r="J172">
        <v>222</v>
      </c>
    </row>
    <row r="173" spans="1:10" x14ac:dyDescent="0.3">
      <c r="A173" t="s">
        <v>255</v>
      </c>
      <c r="B173">
        <v>98</v>
      </c>
      <c r="D173">
        <v>20</v>
      </c>
      <c r="F173">
        <v>6</v>
      </c>
      <c r="G173">
        <v>6</v>
      </c>
      <c r="H173">
        <v>20</v>
      </c>
    </row>
    <row r="174" spans="1:10" x14ac:dyDescent="0.3">
      <c r="A174" t="s">
        <v>256</v>
      </c>
      <c r="B174">
        <v>98</v>
      </c>
      <c r="D174">
        <v>20</v>
      </c>
      <c r="F174">
        <v>18</v>
      </c>
      <c r="G174">
        <v>6.5</v>
      </c>
      <c r="H174">
        <v>20</v>
      </c>
    </row>
    <row r="175" spans="1:10" x14ac:dyDescent="0.3">
      <c r="A175" t="s">
        <v>257</v>
      </c>
      <c r="B175">
        <v>98</v>
      </c>
      <c r="D175">
        <v>3</v>
      </c>
      <c r="F175">
        <v>3</v>
      </c>
      <c r="G175">
        <v>3</v>
      </c>
      <c r="H175">
        <v>3</v>
      </c>
    </row>
    <row r="176" spans="1:10" x14ac:dyDescent="0.3">
      <c r="A176" t="s">
        <v>258</v>
      </c>
      <c r="B176">
        <v>98</v>
      </c>
      <c r="D176">
        <v>0</v>
      </c>
      <c r="F176">
        <v>0</v>
      </c>
      <c r="G176">
        <v>0</v>
      </c>
      <c r="H176">
        <v>0</v>
      </c>
    </row>
    <row r="177" spans="1:8" x14ac:dyDescent="0.3">
      <c r="A177" t="s">
        <v>259</v>
      </c>
      <c r="B177">
        <v>98</v>
      </c>
      <c r="D177">
        <v>0</v>
      </c>
      <c r="F177">
        <v>0</v>
      </c>
      <c r="G177">
        <v>0</v>
      </c>
      <c r="H177">
        <v>0</v>
      </c>
    </row>
    <row r="178" spans="1:8" x14ac:dyDescent="0.3">
      <c r="A178" t="s">
        <v>260</v>
      </c>
      <c r="B178">
        <v>98</v>
      </c>
      <c r="D178">
        <v>3</v>
      </c>
      <c r="F178">
        <v>3</v>
      </c>
      <c r="G178">
        <v>3</v>
      </c>
      <c r="H178">
        <v>3</v>
      </c>
    </row>
    <row r="179" spans="1:8" x14ac:dyDescent="0.3">
      <c r="A179" t="s">
        <v>261</v>
      </c>
      <c r="B179">
        <v>98</v>
      </c>
      <c r="D179">
        <v>5</v>
      </c>
      <c r="F179">
        <v>3</v>
      </c>
      <c r="G179">
        <v>3</v>
      </c>
      <c r="H179">
        <v>5</v>
      </c>
    </row>
    <row r="180" spans="1:8" x14ac:dyDescent="0.3">
      <c r="A180" t="s">
        <v>262</v>
      </c>
      <c r="B180">
        <v>98</v>
      </c>
      <c r="D180">
        <v>1.2</v>
      </c>
      <c r="F180">
        <v>2.8</v>
      </c>
      <c r="G180">
        <v>1</v>
      </c>
      <c r="H180">
        <v>1.2</v>
      </c>
    </row>
    <row r="181" spans="1:8" x14ac:dyDescent="0.3">
      <c r="A181" t="s">
        <v>263</v>
      </c>
      <c r="B181">
        <v>98</v>
      </c>
      <c r="D181">
        <v>3</v>
      </c>
      <c r="F181">
        <v>3</v>
      </c>
      <c r="G181">
        <v>3</v>
      </c>
      <c r="H181">
        <v>3</v>
      </c>
    </row>
    <row r="182" spans="1:8" x14ac:dyDescent="0.3">
      <c r="A182" t="s">
        <v>264</v>
      </c>
      <c r="B182">
        <v>98</v>
      </c>
      <c r="D182">
        <v>7</v>
      </c>
      <c r="F182">
        <v>7</v>
      </c>
      <c r="H182">
        <v>7</v>
      </c>
    </row>
    <row r="183" spans="1:8" x14ac:dyDescent="0.3">
      <c r="A183" t="s">
        <v>265</v>
      </c>
      <c r="B183">
        <v>98</v>
      </c>
      <c r="D183">
        <v>11</v>
      </c>
      <c r="F183">
        <v>11</v>
      </c>
      <c r="H183">
        <v>11</v>
      </c>
    </row>
    <row r="184" spans="1:8" x14ac:dyDescent="0.3">
      <c r="A184" t="s">
        <v>266</v>
      </c>
      <c r="B184">
        <v>98</v>
      </c>
      <c r="D184">
        <v>0</v>
      </c>
      <c r="F184">
        <v>0</v>
      </c>
      <c r="H184">
        <v>0</v>
      </c>
    </row>
    <row r="185" spans="1:8" x14ac:dyDescent="0.3">
      <c r="A185" t="s">
        <v>267</v>
      </c>
      <c r="B185">
        <v>98</v>
      </c>
      <c r="D185">
        <v>26.2</v>
      </c>
      <c r="F185">
        <v>23.8</v>
      </c>
      <c r="G185">
        <v>10.5</v>
      </c>
      <c r="H185">
        <v>26.2</v>
      </c>
    </row>
    <row r="186" spans="1:8" x14ac:dyDescent="0.3">
      <c r="A186" t="s">
        <v>268</v>
      </c>
      <c r="B186">
        <v>98</v>
      </c>
      <c r="D186">
        <v>1</v>
      </c>
      <c r="F186">
        <v>1</v>
      </c>
      <c r="G186">
        <v>0</v>
      </c>
      <c r="H186">
        <v>1</v>
      </c>
    </row>
    <row r="187" spans="1:8" x14ac:dyDescent="0.3">
      <c r="A187" t="s">
        <v>269</v>
      </c>
      <c r="B187">
        <v>98</v>
      </c>
      <c r="D187">
        <v>1</v>
      </c>
      <c r="F187">
        <v>1</v>
      </c>
      <c r="G187">
        <v>1</v>
      </c>
      <c r="H187">
        <v>1</v>
      </c>
    </row>
    <row r="188" spans="1:8" x14ac:dyDescent="0.3">
      <c r="A188" t="s">
        <v>270</v>
      </c>
      <c r="B188">
        <v>98</v>
      </c>
      <c r="D188">
        <v>50</v>
      </c>
      <c r="F188">
        <v>26.2</v>
      </c>
      <c r="G188">
        <v>50</v>
      </c>
      <c r="H188">
        <v>0</v>
      </c>
    </row>
    <row r="189" spans="1:8" x14ac:dyDescent="0.3">
      <c r="A189" t="s">
        <v>271</v>
      </c>
      <c r="B189">
        <v>98</v>
      </c>
      <c r="D189">
        <v>26.2</v>
      </c>
      <c r="F189">
        <v>50</v>
      </c>
      <c r="G189">
        <v>0</v>
      </c>
      <c r="H189">
        <v>26.2</v>
      </c>
    </row>
    <row r="190" spans="1:8" x14ac:dyDescent="0.3">
      <c r="A190" t="s">
        <v>272</v>
      </c>
      <c r="B190">
        <v>98</v>
      </c>
      <c r="D190">
        <v>20</v>
      </c>
      <c r="F190">
        <v>44.2</v>
      </c>
      <c r="G190">
        <v>56.5</v>
      </c>
      <c r="H190">
        <v>20</v>
      </c>
    </row>
    <row r="191" spans="1:8" x14ac:dyDescent="0.3">
      <c r="A191" t="s">
        <v>273</v>
      </c>
      <c r="B191">
        <v>98</v>
      </c>
      <c r="D191">
        <v>9</v>
      </c>
      <c r="F191">
        <v>33.200000000000003</v>
      </c>
      <c r="G191">
        <v>56.5</v>
      </c>
      <c r="H191">
        <v>9</v>
      </c>
    </row>
    <row r="192" spans="1:8" x14ac:dyDescent="0.3">
      <c r="A192" t="s">
        <v>274</v>
      </c>
      <c r="B192">
        <v>98</v>
      </c>
      <c r="D192">
        <v>50</v>
      </c>
      <c r="F192">
        <v>26.2</v>
      </c>
      <c r="G192">
        <v>50</v>
      </c>
      <c r="H192">
        <v>0</v>
      </c>
    </row>
    <row r="193" spans="1:8" x14ac:dyDescent="0.3">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4.4" x14ac:dyDescent="0.3"/>
  <sheetData>
    <row r="4" spans="1:6" x14ac:dyDescent="0.3">
      <c r="A4" t="s">
        <v>673</v>
      </c>
      <c r="B4">
        <v>78</v>
      </c>
      <c r="C4">
        <v>80</v>
      </c>
      <c r="D4">
        <v>75</v>
      </c>
      <c r="F4">
        <v>79</v>
      </c>
    </row>
    <row r="5" spans="1:6" x14ac:dyDescent="0.3">
      <c r="A5" t="s">
        <v>36</v>
      </c>
      <c r="B5">
        <v>78</v>
      </c>
      <c r="C5">
        <v>3</v>
      </c>
      <c r="D5">
        <v>3</v>
      </c>
      <c r="F5">
        <v>2</v>
      </c>
    </row>
    <row r="6" spans="1:6" x14ac:dyDescent="0.3">
      <c r="A6" t="s">
        <v>503</v>
      </c>
      <c r="B6">
        <v>78</v>
      </c>
      <c r="C6" t="s">
        <v>735</v>
      </c>
      <c r="D6" t="s">
        <v>735</v>
      </c>
      <c r="F6" t="s">
        <v>738</v>
      </c>
    </row>
    <row r="7" spans="1:6" x14ac:dyDescent="0.3">
      <c r="A7" t="s">
        <v>674</v>
      </c>
      <c r="B7">
        <v>78</v>
      </c>
      <c r="C7">
        <v>2660</v>
      </c>
      <c r="D7">
        <v>2307</v>
      </c>
      <c r="F7">
        <v>248</v>
      </c>
    </row>
    <row r="8" spans="1:6" x14ac:dyDescent="0.3">
      <c r="A8" t="s">
        <v>42</v>
      </c>
      <c r="B8">
        <v>78</v>
      </c>
      <c r="C8">
        <v>45</v>
      </c>
      <c r="D8">
        <v>45</v>
      </c>
      <c r="F8">
        <v>45</v>
      </c>
    </row>
    <row r="9" spans="1:6" x14ac:dyDescent="0.3">
      <c r="A9" t="s">
        <v>675</v>
      </c>
      <c r="B9">
        <v>78</v>
      </c>
      <c r="C9">
        <v>40.299999999999997</v>
      </c>
      <c r="D9">
        <v>35</v>
      </c>
      <c r="F9">
        <v>3.8</v>
      </c>
    </row>
    <row r="10" spans="1:6" x14ac:dyDescent="0.3">
      <c r="A10" t="s">
        <v>41</v>
      </c>
      <c r="B10">
        <v>78</v>
      </c>
      <c r="C10">
        <v>0</v>
      </c>
      <c r="D10">
        <v>0</v>
      </c>
      <c r="F10">
        <v>0</v>
      </c>
    </row>
    <row r="11" spans="1:6" x14ac:dyDescent="0.3">
      <c r="A11" t="s">
        <v>676</v>
      </c>
      <c r="B11">
        <v>78</v>
      </c>
      <c r="C11">
        <v>12</v>
      </c>
      <c r="D11">
        <v>12</v>
      </c>
      <c r="F11">
        <v>24</v>
      </c>
    </row>
    <row r="12" spans="1:6" x14ac:dyDescent="0.3">
      <c r="A12" t="s">
        <v>563</v>
      </c>
      <c r="B12">
        <v>78</v>
      </c>
      <c r="C12">
        <v>0</v>
      </c>
      <c r="D12">
        <v>0</v>
      </c>
      <c r="F12">
        <v>0</v>
      </c>
    </row>
    <row r="13" spans="1:6" x14ac:dyDescent="0.3">
      <c r="A13" t="s">
        <v>677</v>
      </c>
      <c r="B13">
        <v>78</v>
      </c>
      <c r="C13">
        <v>0</v>
      </c>
      <c r="D13">
        <v>0</v>
      </c>
      <c r="F13">
        <v>0</v>
      </c>
    </row>
    <row r="14" spans="1:6" x14ac:dyDescent="0.3">
      <c r="A14" t="s">
        <v>678</v>
      </c>
      <c r="B14">
        <v>78</v>
      </c>
      <c r="C14">
        <v>16</v>
      </c>
      <c r="D14">
        <v>16</v>
      </c>
      <c r="F14">
        <v>16</v>
      </c>
    </row>
    <row r="15" spans="1:6" x14ac:dyDescent="0.3">
      <c r="A15" t="s">
        <v>679</v>
      </c>
      <c r="B15">
        <v>78</v>
      </c>
      <c r="C15">
        <v>237</v>
      </c>
      <c r="D15">
        <v>237</v>
      </c>
      <c r="F15">
        <v>237</v>
      </c>
    </row>
    <row r="16" spans="1:6" x14ac:dyDescent="0.3">
      <c r="A16" t="s">
        <v>680</v>
      </c>
      <c r="B16">
        <v>78</v>
      </c>
      <c r="C16">
        <v>1980</v>
      </c>
      <c r="D16">
        <v>1980</v>
      </c>
      <c r="F16">
        <v>1980</v>
      </c>
    </row>
    <row r="17" spans="1:16" x14ac:dyDescent="0.3">
      <c r="A17" t="s">
        <v>681</v>
      </c>
      <c r="B17">
        <v>78</v>
      </c>
      <c r="C17">
        <v>1320</v>
      </c>
      <c r="D17">
        <v>1320</v>
      </c>
      <c r="F17">
        <v>1320</v>
      </c>
    </row>
    <row r="18" spans="1:16" x14ac:dyDescent="0.3">
      <c r="A18" t="s">
        <v>682</v>
      </c>
      <c r="B18">
        <v>78</v>
      </c>
      <c r="C18">
        <v>2640</v>
      </c>
      <c r="D18">
        <v>2640</v>
      </c>
      <c r="F18">
        <v>2640</v>
      </c>
    </row>
    <row r="19" spans="1:16" x14ac:dyDescent="0.3">
      <c r="A19" t="s">
        <v>683</v>
      </c>
      <c r="B19">
        <v>78</v>
      </c>
    </row>
    <row r="20" spans="1:16" x14ac:dyDescent="0.3">
      <c r="A20" t="s">
        <v>684</v>
      </c>
      <c r="B20">
        <v>78</v>
      </c>
    </row>
    <row r="21" spans="1:16" x14ac:dyDescent="0.3">
      <c r="A21" t="s">
        <v>685</v>
      </c>
      <c r="B21">
        <v>78</v>
      </c>
    </row>
    <row r="22" spans="1:16" x14ac:dyDescent="0.3">
      <c r="A22" t="s">
        <v>686</v>
      </c>
      <c r="B22">
        <v>78</v>
      </c>
      <c r="C22" t="b">
        <v>0</v>
      </c>
      <c r="D22" t="b">
        <v>0</v>
      </c>
      <c r="F22" t="b">
        <v>0</v>
      </c>
    </row>
    <row r="23" spans="1:16" x14ac:dyDescent="0.3">
      <c r="A23" t="s">
        <v>687</v>
      </c>
      <c r="B23">
        <v>78</v>
      </c>
      <c r="C23" t="b">
        <v>0</v>
      </c>
      <c r="D23" t="b">
        <v>0</v>
      </c>
      <c r="F23" t="b">
        <v>0</v>
      </c>
    </row>
    <row r="26" spans="1:16" x14ac:dyDescent="0.3">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3">
      <c r="A27" t="s">
        <v>34</v>
      </c>
      <c r="B27">
        <v>78</v>
      </c>
      <c r="D27">
        <v>80</v>
      </c>
      <c r="E27">
        <v>80</v>
      </c>
      <c r="F27">
        <v>75</v>
      </c>
      <c r="G27">
        <v>75</v>
      </c>
      <c r="L27">
        <v>79</v>
      </c>
      <c r="N27">
        <v>79</v>
      </c>
    </row>
    <row r="28" spans="1:16" x14ac:dyDescent="0.3">
      <c r="A28" t="s">
        <v>35</v>
      </c>
      <c r="B28">
        <v>78</v>
      </c>
      <c r="D28">
        <v>75</v>
      </c>
      <c r="E28">
        <v>79</v>
      </c>
      <c r="F28">
        <v>79</v>
      </c>
      <c r="G28">
        <v>80</v>
      </c>
      <c r="L28">
        <v>80</v>
      </c>
      <c r="N28">
        <v>75</v>
      </c>
    </row>
    <row r="29" spans="1:16" x14ac:dyDescent="0.3">
      <c r="A29" t="s">
        <v>36</v>
      </c>
      <c r="B29">
        <v>78</v>
      </c>
      <c r="D29">
        <v>3</v>
      </c>
      <c r="E29">
        <v>0</v>
      </c>
      <c r="F29">
        <v>1</v>
      </c>
      <c r="G29">
        <v>2</v>
      </c>
      <c r="L29">
        <v>2</v>
      </c>
      <c r="N29">
        <v>0</v>
      </c>
    </row>
    <row r="30" spans="1:16" x14ac:dyDescent="0.3">
      <c r="A30" t="s">
        <v>37</v>
      </c>
      <c r="B30">
        <v>78</v>
      </c>
      <c r="D30">
        <v>2</v>
      </c>
      <c r="F30">
        <v>0</v>
      </c>
      <c r="G30">
        <v>0</v>
      </c>
      <c r="L30">
        <v>2</v>
      </c>
    </row>
    <row r="31" spans="1:16" x14ac:dyDescent="0.3">
      <c r="A31" t="s">
        <v>38</v>
      </c>
      <c r="B31">
        <v>78</v>
      </c>
      <c r="D31">
        <v>12</v>
      </c>
      <c r="E31">
        <v>12</v>
      </c>
      <c r="F31">
        <v>12</v>
      </c>
      <c r="G31">
        <v>12</v>
      </c>
      <c r="L31">
        <v>12</v>
      </c>
      <c r="N31">
        <v>12</v>
      </c>
    </row>
    <row r="32" spans="1:16" x14ac:dyDescent="0.3">
      <c r="A32" t="s">
        <v>39</v>
      </c>
      <c r="B32">
        <v>78</v>
      </c>
    </row>
    <row r="33" spans="1:14" x14ac:dyDescent="0.3">
      <c r="A33" t="s">
        <v>689</v>
      </c>
      <c r="B33">
        <v>78</v>
      </c>
    </row>
    <row r="34" spans="1:14" x14ac:dyDescent="0.3">
      <c r="A34" t="s">
        <v>40</v>
      </c>
      <c r="B34">
        <v>78</v>
      </c>
    </row>
    <row r="35" spans="1:14" x14ac:dyDescent="0.3">
      <c r="A35" t="s">
        <v>41</v>
      </c>
      <c r="B35">
        <v>78</v>
      </c>
    </row>
    <row r="36" spans="1:14" x14ac:dyDescent="0.3">
      <c r="A36" t="s">
        <v>42</v>
      </c>
      <c r="B36">
        <v>78</v>
      </c>
      <c r="D36">
        <v>45</v>
      </c>
      <c r="G36">
        <v>45</v>
      </c>
      <c r="L36">
        <v>45</v>
      </c>
    </row>
    <row r="37" spans="1:14" x14ac:dyDescent="0.3">
      <c r="A37" t="s">
        <v>45</v>
      </c>
      <c r="B37">
        <v>78</v>
      </c>
      <c r="D37">
        <v>2</v>
      </c>
      <c r="F37">
        <v>1</v>
      </c>
      <c r="G37">
        <v>6</v>
      </c>
      <c r="L37">
        <v>4</v>
      </c>
    </row>
    <row r="38" spans="1:14" x14ac:dyDescent="0.3">
      <c r="A38" t="s">
        <v>46</v>
      </c>
      <c r="B38">
        <v>78</v>
      </c>
      <c r="L38">
        <v>8</v>
      </c>
    </row>
    <row r="39" spans="1:14" x14ac:dyDescent="0.3">
      <c r="A39" t="s">
        <v>49</v>
      </c>
      <c r="B39">
        <v>78</v>
      </c>
      <c r="D39">
        <v>5.3</v>
      </c>
      <c r="E39">
        <v>4</v>
      </c>
      <c r="F39">
        <v>4</v>
      </c>
      <c r="G39">
        <v>5.3</v>
      </c>
      <c r="L39">
        <v>5.3</v>
      </c>
      <c r="N39">
        <v>4</v>
      </c>
    </row>
    <row r="40" spans="1:14" x14ac:dyDescent="0.3">
      <c r="A40" t="s">
        <v>690</v>
      </c>
      <c r="B40">
        <v>78</v>
      </c>
      <c r="D40">
        <v>0</v>
      </c>
      <c r="E40">
        <v>0</v>
      </c>
      <c r="F40">
        <v>0</v>
      </c>
      <c r="G40">
        <v>0</v>
      </c>
      <c r="L40">
        <v>0</v>
      </c>
      <c r="N40">
        <v>0</v>
      </c>
    </row>
    <row r="41" spans="1:14" x14ac:dyDescent="0.3">
      <c r="A41" t="s">
        <v>48</v>
      </c>
      <c r="B41">
        <v>78</v>
      </c>
      <c r="D41">
        <v>1900</v>
      </c>
      <c r="E41">
        <v>1900</v>
      </c>
      <c r="F41">
        <v>1900</v>
      </c>
      <c r="G41">
        <v>1900</v>
      </c>
      <c r="L41">
        <v>1900</v>
      </c>
      <c r="N41">
        <v>1900</v>
      </c>
    </row>
    <row r="42" spans="1:14" x14ac:dyDescent="0.3">
      <c r="A42" t="s">
        <v>691</v>
      </c>
      <c r="B42">
        <v>78</v>
      </c>
      <c r="D42">
        <v>5055</v>
      </c>
      <c r="E42">
        <v>0</v>
      </c>
      <c r="F42">
        <v>1770</v>
      </c>
      <c r="G42">
        <v>3539</v>
      </c>
      <c r="L42">
        <v>3204</v>
      </c>
      <c r="N42">
        <v>0</v>
      </c>
    </row>
    <row r="43" spans="1:14" x14ac:dyDescent="0.3">
      <c r="A43" t="s">
        <v>50</v>
      </c>
      <c r="B43">
        <v>78</v>
      </c>
      <c r="D43">
        <v>5055</v>
      </c>
      <c r="E43">
        <v>0</v>
      </c>
      <c r="F43">
        <v>1770</v>
      </c>
      <c r="G43">
        <v>3539</v>
      </c>
      <c r="L43">
        <v>3204</v>
      </c>
      <c r="N43">
        <v>0</v>
      </c>
    </row>
    <row r="44" spans="1:14" x14ac:dyDescent="0.3">
      <c r="A44" t="s">
        <v>692</v>
      </c>
      <c r="B44">
        <v>78</v>
      </c>
      <c r="D44">
        <v>1</v>
      </c>
      <c r="E44">
        <v>1</v>
      </c>
      <c r="F44">
        <v>1</v>
      </c>
      <c r="G44">
        <v>1</v>
      </c>
      <c r="L44">
        <v>1</v>
      </c>
      <c r="N44">
        <v>1</v>
      </c>
    </row>
    <row r="45" spans="1:14" x14ac:dyDescent="0.3">
      <c r="A45" t="s">
        <v>51</v>
      </c>
      <c r="B45">
        <v>78</v>
      </c>
      <c r="D45">
        <v>11</v>
      </c>
      <c r="E45">
        <v>0</v>
      </c>
      <c r="F45">
        <v>0</v>
      </c>
      <c r="G45">
        <v>0</v>
      </c>
      <c r="L45">
        <v>190</v>
      </c>
      <c r="N45">
        <v>0</v>
      </c>
    </row>
    <row r="46" spans="1:14" x14ac:dyDescent="0.3">
      <c r="A46" t="s">
        <v>53</v>
      </c>
      <c r="B46">
        <v>78</v>
      </c>
      <c r="D46">
        <v>1536</v>
      </c>
      <c r="E46">
        <v>61</v>
      </c>
      <c r="F46">
        <v>79</v>
      </c>
      <c r="G46">
        <v>1175</v>
      </c>
      <c r="L46">
        <v>93</v>
      </c>
      <c r="N46">
        <v>175</v>
      </c>
    </row>
    <row r="47" spans="1:14" x14ac:dyDescent="0.3">
      <c r="A47" t="s">
        <v>54</v>
      </c>
      <c r="B47">
        <v>78</v>
      </c>
      <c r="D47">
        <v>0</v>
      </c>
      <c r="E47">
        <v>0</v>
      </c>
      <c r="F47">
        <v>0</v>
      </c>
      <c r="G47">
        <v>0</v>
      </c>
      <c r="L47">
        <v>0</v>
      </c>
      <c r="N47">
        <v>0</v>
      </c>
    </row>
    <row r="48" spans="1:14" x14ac:dyDescent="0.3">
      <c r="A48" t="s">
        <v>55</v>
      </c>
      <c r="B48">
        <v>78</v>
      </c>
      <c r="D48">
        <v>0</v>
      </c>
      <c r="E48">
        <v>0</v>
      </c>
      <c r="F48">
        <v>0</v>
      </c>
      <c r="G48">
        <v>0</v>
      </c>
      <c r="L48">
        <v>0</v>
      </c>
      <c r="N48">
        <v>0</v>
      </c>
    </row>
    <row r="49" spans="1:14" x14ac:dyDescent="0.3">
      <c r="A49" t="s">
        <v>56</v>
      </c>
      <c r="B49">
        <v>78</v>
      </c>
      <c r="D49">
        <v>0.92</v>
      </c>
      <c r="E49">
        <v>0.92</v>
      </c>
      <c r="F49">
        <v>0.92</v>
      </c>
      <c r="G49">
        <v>0.92</v>
      </c>
      <c r="L49">
        <v>0.92</v>
      </c>
      <c r="N49">
        <v>0.92</v>
      </c>
    </row>
    <row r="50" spans="1:14" x14ac:dyDescent="0.3">
      <c r="A50" t="s">
        <v>57</v>
      </c>
      <c r="B50">
        <v>78</v>
      </c>
      <c r="D50">
        <v>100</v>
      </c>
      <c r="E50">
        <v>100</v>
      </c>
      <c r="F50">
        <v>100</v>
      </c>
      <c r="G50">
        <v>100</v>
      </c>
      <c r="L50">
        <v>100</v>
      </c>
      <c r="N50">
        <v>100</v>
      </c>
    </row>
    <row r="51" spans="1:14" x14ac:dyDescent="0.3">
      <c r="A51" t="s">
        <v>58</v>
      </c>
      <c r="B51">
        <v>78</v>
      </c>
      <c r="D51">
        <v>2</v>
      </c>
      <c r="E51">
        <v>2</v>
      </c>
      <c r="F51">
        <v>2</v>
      </c>
      <c r="G51">
        <v>2</v>
      </c>
      <c r="L51">
        <v>2</v>
      </c>
      <c r="N51">
        <v>2</v>
      </c>
    </row>
    <row r="52" spans="1:14" x14ac:dyDescent="0.3">
      <c r="A52" t="s">
        <v>59</v>
      </c>
      <c r="B52">
        <v>78</v>
      </c>
      <c r="D52">
        <v>0</v>
      </c>
      <c r="E52">
        <v>0</v>
      </c>
      <c r="F52">
        <v>0</v>
      </c>
      <c r="G52">
        <v>0</v>
      </c>
      <c r="L52">
        <v>0</v>
      </c>
      <c r="N52">
        <v>0</v>
      </c>
    </row>
    <row r="53" spans="1:14" x14ac:dyDescent="0.3">
      <c r="A53" t="s">
        <v>693</v>
      </c>
      <c r="B53">
        <v>78</v>
      </c>
      <c r="D53">
        <v>0</v>
      </c>
      <c r="G53">
        <v>0</v>
      </c>
      <c r="L53">
        <v>0</v>
      </c>
    </row>
    <row r="54" spans="1:14" x14ac:dyDescent="0.3">
      <c r="A54" t="s">
        <v>674</v>
      </c>
      <c r="B54">
        <v>78</v>
      </c>
      <c r="D54">
        <v>2660</v>
      </c>
      <c r="G54">
        <v>2307</v>
      </c>
      <c r="L54">
        <v>248</v>
      </c>
    </row>
    <row r="55" spans="1:14" x14ac:dyDescent="0.3">
      <c r="A55" t="s">
        <v>78</v>
      </c>
      <c r="B55">
        <v>78</v>
      </c>
      <c r="D55">
        <v>40.299999999999997</v>
      </c>
      <c r="G55">
        <v>35</v>
      </c>
      <c r="L55">
        <v>3.8</v>
      </c>
    </row>
    <row r="56" spans="1:14" x14ac:dyDescent="0.3">
      <c r="A56" t="s">
        <v>694</v>
      </c>
      <c r="B56">
        <v>78</v>
      </c>
      <c r="E56">
        <v>0</v>
      </c>
      <c r="G56">
        <v>0</v>
      </c>
      <c r="N56">
        <v>0</v>
      </c>
    </row>
    <row r="57" spans="1:14" x14ac:dyDescent="0.3">
      <c r="A57" t="s">
        <v>695</v>
      </c>
      <c r="B57">
        <v>78</v>
      </c>
      <c r="D57">
        <v>0</v>
      </c>
      <c r="E57">
        <v>1</v>
      </c>
      <c r="F57">
        <v>0</v>
      </c>
      <c r="G57">
        <v>0</v>
      </c>
      <c r="L57">
        <v>0</v>
      </c>
      <c r="N57">
        <v>1</v>
      </c>
    </row>
    <row r="58" spans="1:14" x14ac:dyDescent="0.3">
      <c r="A58" t="s">
        <v>696</v>
      </c>
      <c r="B58">
        <v>78</v>
      </c>
      <c r="D58">
        <v>0</v>
      </c>
      <c r="E58">
        <v>0</v>
      </c>
      <c r="F58">
        <v>0</v>
      </c>
      <c r="G58">
        <v>0</v>
      </c>
      <c r="L58">
        <v>0</v>
      </c>
      <c r="N58">
        <v>0</v>
      </c>
    </row>
    <row r="59" spans="1:14" x14ac:dyDescent="0.3">
      <c r="A59" t="s">
        <v>52</v>
      </c>
      <c r="B59">
        <v>78</v>
      </c>
      <c r="D59">
        <v>1</v>
      </c>
      <c r="E59">
        <v>1</v>
      </c>
      <c r="F59">
        <v>1</v>
      </c>
      <c r="G59">
        <v>1</v>
      </c>
      <c r="L59">
        <v>1</v>
      </c>
      <c r="N59">
        <v>1</v>
      </c>
    </row>
    <row r="60" spans="1:14" x14ac:dyDescent="0.3">
      <c r="A60" t="s">
        <v>697</v>
      </c>
      <c r="B60">
        <v>78</v>
      </c>
      <c r="D60">
        <v>60</v>
      </c>
      <c r="E60">
        <v>9</v>
      </c>
      <c r="F60">
        <v>15</v>
      </c>
      <c r="G60">
        <v>60</v>
      </c>
      <c r="L60">
        <v>15</v>
      </c>
      <c r="N60">
        <v>9</v>
      </c>
    </row>
    <row r="61" spans="1:14" x14ac:dyDescent="0.3">
      <c r="A61" t="s">
        <v>43</v>
      </c>
      <c r="B61">
        <v>78</v>
      </c>
      <c r="D61">
        <v>100</v>
      </c>
      <c r="F61">
        <v>20</v>
      </c>
      <c r="G61">
        <v>100</v>
      </c>
      <c r="L61">
        <v>20</v>
      </c>
    </row>
    <row r="62" spans="1:14" x14ac:dyDescent="0.3">
      <c r="A62" t="s">
        <v>44</v>
      </c>
      <c r="B62">
        <v>78</v>
      </c>
      <c r="D62">
        <v>0</v>
      </c>
      <c r="F62">
        <v>0</v>
      </c>
      <c r="G62">
        <v>0</v>
      </c>
      <c r="L62">
        <v>0</v>
      </c>
    </row>
    <row r="63" spans="1:14" x14ac:dyDescent="0.3">
      <c r="A63" t="s">
        <v>47</v>
      </c>
      <c r="B63">
        <v>78</v>
      </c>
      <c r="D63">
        <v>2</v>
      </c>
      <c r="F63">
        <v>1</v>
      </c>
      <c r="G63">
        <v>6</v>
      </c>
      <c r="L63">
        <v>4</v>
      </c>
    </row>
    <row r="64" spans="1:14" x14ac:dyDescent="0.3">
      <c r="A64" t="s">
        <v>698</v>
      </c>
      <c r="B64">
        <v>78</v>
      </c>
      <c r="D64">
        <v>0</v>
      </c>
      <c r="F64">
        <v>0</v>
      </c>
      <c r="G64">
        <v>0</v>
      </c>
      <c r="L64">
        <v>0</v>
      </c>
    </row>
    <row r="65" spans="1:12" x14ac:dyDescent="0.3">
      <c r="A65" t="s">
        <v>699</v>
      </c>
      <c r="B65">
        <v>78</v>
      </c>
      <c r="D65">
        <v>0</v>
      </c>
      <c r="F65">
        <v>0</v>
      </c>
      <c r="G65">
        <v>0</v>
      </c>
      <c r="L65">
        <v>0</v>
      </c>
    </row>
    <row r="66" spans="1:12" x14ac:dyDescent="0.3">
      <c r="A66" t="s">
        <v>700</v>
      </c>
      <c r="B66">
        <v>78</v>
      </c>
      <c r="D66">
        <v>0</v>
      </c>
      <c r="F66">
        <v>0</v>
      </c>
      <c r="G66">
        <v>0</v>
      </c>
      <c r="L66">
        <v>0</v>
      </c>
    </row>
    <row r="67" spans="1:12" x14ac:dyDescent="0.3">
      <c r="A67" t="s">
        <v>701</v>
      </c>
      <c r="B67">
        <v>78</v>
      </c>
      <c r="D67">
        <v>0</v>
      </c>
      <c r="F67">
        <v>0</v>
      </c>
      <c r="G67">
        <v>0</v>
      </c>
      <c r="L67">
        <v>0</v>
      </c>
    </row>
    <row r="68" spans="1:12" x14ac:dyDescent="0.3">
      <c r="A68" t="s">
        <v>702</v>
      </c>
      <c r="B68">
        <v>78</v>
      </c>
      <c r="D68">
        <v>2</v>
      </c>
      <c r="F68">
        <v>1</v>
      </c>
      <c r="G68">
        <v>2</v>
      </c>
      <c r="L68">
        <v>1</v>
      </c>
    </row>
    <row r="69" spans="1:12" x14ac:dyDescent="0.3">
      <c r="A69" t="s">
        <v>703</v>
      </c>
      <c r="B69">
        <v>78</v>
      </c>
      <c r="D69">
        <v>0</v>
      </c>
      <c r="F69">
        <v>0</v>
      </c>
      <c r="G69">
        <v>0</v>
      </c>
      <c r="L69">
        <v>0</v>
      </c>
    </row>
    <row r="70" spans="1:12" x14ac:dyDescent="0.3">
      <c r="A70" t="s">
        <v>704</v>
      </c>
      <c r="B70">
        <v>78</v>
      </c>
      <c r="D70">
        <v>6</v>
      </c>
      <c r="F70">
        <v>20</v>
      </c>
      <c r="G70">
        <v>6</v>
      </c>
      <c r="L70">
        <v>20</v>
      </c>
    </row>
    <row r="71" spans="1:12" x14ac:dyDescent="0.3">
      <c r="A71" t="s">
        <v>705</v>
      </c>
      <c r="B71">
        <v>78</v>
      </c>
      <c r="D71">
        <v>3</v>
      </c>
      <c r="F71">
        <v>3</v>
      </c>
      <c r="G71">
        <v>3</v>
      </c>
      <c r="L71">
        <v>3</v>
      </c>
    </row>
    <row r="72" spans="1:12" x14ac:dyDescent="0.3">
      <c r="A72" t="s">
        <v>706</v>
      </c>
      <c r="B72">
        <v>78</v>
      </c>
      <c r="D72">
        <v>0</v>
      </c>
      <c r="F72">
        <v>0</v>
      </c>
      <c r="G72">
        <v>0</v>
      </c>
      <c r="L72">
        <v>0</v>
      </c>
    </row>
    <row r="73" spans="1:12" x14ac:dyDescent="0.3">
      <c r="A73" t="s">
        <v>707</v>
      </c>
      <c r="B73">
        <v>78</v>
      </c>
      <c r="D73">
        <v>0</v>
      </c>
      <c r="F73">
        <v>0</v>
      </c>
      <c r="G73">
        <v>0</v>
      </c>
      <c r="L73">
        <v>0</v>
      </c>
    </row>
    <row r="74" spans="1:12" x14ac:dyDescent="0.3">
      <c r="A74" t="s">
        <v>708</v>
      </c>
      <c r="B74">
        <v>78</v>
      </c>
      <c r="D74">
        <v>0</v>
      </c>
      <c r="F74">
        <v>0</v>
      </c>
      <c r="G74">
        <v>0</v>
      </c>
      <c r="L74">
        <v>0</v>
      </c>
    </row>
    <row r="75" spans="1:12" x14ac:dyDescent="0.3">
      <c r="A75" t="s">
        <v>709</v>
      </c>
      <c r="B75">
        <v>78</v>
      </c>
      <c r="D75">
        <v>94</v>
      </c>
      <c r="G75">
        <v>94</v>
      </c>
    </row>
    <row r="76" spans="1:12" x14ac:dyDescent="0.3">
      <c r="A76" t="s">
        <v>710</v>
      </c>
      <c r="B76">
        <v>78</v>
      </c>
      <c r="D76">
        <v>6</v>
      </c>
      <c r="G76">
        <v>6</v>
      </c>
    </row>
    <row r="77" spans="1:12" x14ac:dyDescent="0.3">
      <c r="A77" t="s">
        <v>711</v>
      </c>
      <c r="B77">
        <v>78</v>
      </c>
      <c r="D77">
        <v>3</v>
      </c>
      <c r="G77">
        <v>3</v>
      </c>
    </row>
    <row r="78" spans="1:12" x14ac:dyDescent="0.3">
      <c r="A78" t="s">
        <v>712</v>
      </c>
      <c r="B78">
        <v>78</v>
      </c>
      <c r="D78">
        <v>0</v>
      </c>
      <c r="G78">
        <v>0</v>
      </c>
    </row>
    <row r="79" spans="1:12" x14ac:dyDescent="0.3">
      <c r="A79" t="s">
        <v>713</v>
      </c>
      <c r="B79">
        <v>78</v>
      </c>
      <c r="D79">
        <v>0</v>
      </c>
      <c r="G79">
        <v>0</v>
      </c>
      <c r="L79">
        <v>0</v>
      </c>
    </row>
    <row r="80" spans="1:12" x14ac:dyDescent="0.3">
      <c r="A80" t="s">
        <v>405</v>
      </c>
      <c r="B80">
        <v>78</v>
      </c>
      <c r="D80">
        <v>0</v>
      </c>
    </row>
    <row r="81" spans="1:14" x14ac:dyDescent="0.3">
      <c r="A81" t="s">
        <v>714</v>
      </c>
      <c r="B81">
        <v>78</v>
      </c>
      <c r="D81">
        <v>1736</v>
      </c>
      <c r="E81">
        <v>0</v>
      </c>
      <c r="F81">
        <v>86</v>
      </c>
      <c r="G81">
        <v>1277</v>
      </c>
      <c r="L81">
        <v>291</v>
      </c>
      <c r="N81">
        <v>0</v>
      </c>
    </row>
    <row r="82" spans="1:14" x14ac:dyDescent="0.3">
      <c r="A82" t="s">
        <v>34</v>
      </c>
      <c r="B82">
        <v>80</v>
      </c>
      <c r="D82">
        <v>82</v>
      </c>
      <c r="E82">
        <v>82</v>
      </c>
      <c r="F82">
        <v>78</v>
      </c>
      <c r="G82">
        <v>78</v>
      </c>
      <c r="L82">
        <v>81</v>
      </c>
      <c r="N82">
        <v>81</v>
      </c>
    </row>
    <row r="83" spans="1:14" x14ac:dyDescent="0.3">
      <c r="A83" t="s">
        <v>35</v>
      </c>
      <c r="B83">
        <v>80</v>
      </c>
      <c r="D83">
        <v>78</v>
      </c>
      <c r="E83">
        <v>81</v>
      </c>
      <c r="F83">
        <v>81</v>
      </c>
      <c r="G83">
        <v>82</v>
      </c>
      <c r="L83">
        <v>82</v>
      </c>
      <c r="N83">
        <v>78</v>
      </c>
    </row>
    <row r="87" spans="1:14" x14ac:dyDescent="0.3">
      <c r="A87" t="s">
        <v>716</v>
      </c>
      <c r="B87">
        <v>78</v>
      </c>
      <c r="C87">
        <v>0</v>
      </c>
    </row>
    <row r="88" spans="1:14" x14ac:dyDescent="0.3">
      <c r="A88" t="s">
        <v>717</v>
      </c>
      <c r="B88">
        <v>78</v>
      </c>
      <c r="C88">
        <v>57.1</v>
      </c>
    </row>
    <row r="89" spans="1:14" x14ac:dyDescent="0.3">
      <c r="A89" t="s">
        <v>718</v>
      </c>
      <c r="B89">
        <v>78</v>
      </c>
      <c r="C89">
        <v>0</v>
      </c>
    </row>
    <row r="90" spans="1:14" x14ac:dyDescent="0.3">
      <c r="A90" t="s">
        <v>719</v>
      </c>
      <c r="B90">
        <v>78</v>
      </c>
      <c r="C90">
        <v>0</v>
      </c>
    </row>
    <row r="91" spans="1:14" x14ac:dyDescent="0.3">
      <c r="A91" t="s">
        <v>720</v>
      </c>
      <c r="B91">
        <v>78</v>
      </c>
      <c r="C91">
        <v>206</v>
      </c>
    </row>
    <row r="92" spans="1:14" x14ac:dyDescent="0.3">
      <c r="A92" t="s">
        <v>563</v>
      </c>
      <c r="B92">
        <v>78</v>
      </c>
      <c r="C92">
        <v>0</v>
      </c>
    </row>
    <row r="93" spans="1:14" x14ac:dyDescent="0.3">
      <c r="A93" t="s">
        <v>721</v>
      </c>
      <c r="B93">
        <v>78</v>
      </c>
      <c r="C93">
        <v>0</v>
      </c>
    </row>
    <row r="94" spans="1:14" x14ac:dyDescent="0.3">
      <c r="A94" t="s">
        <v>272</v>
      </c>
      <c r="B94">
        <v>78</v>
      </c>
      <c r="C94">
        <v>0</v>
      </c>
    </row>
    <row r="95" spans="1:14" x14ac:dyDescent="0.3">
      <c r="A95" t="s">
        <v>722</v>
      </c>
      <c r="B95">
        <v>78</v>
      </c>
      <c r="C95">
        <v>78</v>
      </c>
    </row>
    <row r="96" spans="1:14" x14ac:dyDescent="0.3">
      <c r="A96" t="s">
        <v>723</v>
      </c>
      <c r="B96">
        <v>78</v>
      </c>
      <c r="C96">
        <v>0</v>
      </c>
    </row>
    <row r="100" spans="1:10" x14ac:dyDescent="0.3">
      <c r="A100" t="s">
        <v>254</v>
      </c>
      <c r="B100">
        <v>78</v>
      </c>
      <c r="C100">
        <v>111</v>
      </c>
      <c r="D100">
        <v>112</v>
      </c>
      <c r="E100">
        <v>211</v>
      </c>
      <c r="F100">
        <v>212</v>
      </c>
      <c r="G100">
        <v>121</v>
      </c>
      <c r="H100">
        <v>122</v>
      </c>
      <c r="I100">
        <v>221</v>
      </c>
      <c r="J100">
        <v>222</v>
      </c>
    </row>
    <row r="101" spans="1:10" x14ac:dyDescent="0.3">
      <c r="A101" t="s">
        <v>255</v>
      </c>
      <c r="B101">
        <v>78</v>
      </c>
      <c r="C101">
        <v>6</v>
      </c>
      <c r="D101">
        <v>15</v>
      </c>
      <c r="F101">
        <v>6</v>
      </c>
      <c r="H101">
        <v>15</v>
      </c>
      <c r="J101">
        <v>5</v>
      </c>
    </row>
    <row r="102" spans="1:10" x14ac:dyDescent="0.3">
      <c r="A102" t="s">
        <v>256</v>
      </c>
      <c r="B102">
        <v>78</v>
      </c>
      <c r="C102">
        <v>6.5</v>
      </c>
      <c r="D102">
        <v>18</v>
      </c>
      <c r="F102">
        <v>18</v>
      </c>
      <c r="H102">
        <v>18</v>
      </c>
      <c r="J102">
        <v>18</v>
      </c>
    </row>
    <row r="103" spans="1:10" x14ac:dyDescent="0.3">
      <c r="A103" t="s">
        <v>257</v>
      </c>
      <c r="B103">
        <v>78</v>
      </c>
      <c r="C103">
        <v>3</v>
      </c>
      <c r="D103">
        <v>3</v>
      </c>
      <c r="F103">
        <v>3</v>
      </c>
      <c r="H103">
        <v>3</v>
      </c>
      <c r="J103">
        <v>3</v>
      </c>
    </row>
    <row r="104" spans="1:10" x14ac:dyDescent="0.3">
      <c r="A104" t="s">
        <v>258</v>
      </c>
      <c r="B104">
        <v>78</v>
      </c>
      <c r="C104">
        <v>0</v>
      </c>
      <c r="D104">
        <v>0</v>
      </c>
      <c r="F104">
        <v>0</v>
      </c>
      <c r="H104">
        <v>0</v>
      </c>
      <c r="J104">
        <v>0</v>
      </c>
    </row>
    <row r="105" spans="1:10" x14ac:dyDescent="0.3">
      <c r="A105" t="s">
        <v>259</v>
      </c>
      <c r="B105">
        <v>78</v>
      </c>
      <c r="C105">
        <v>0</v>
      </c>
      <c r="D105">
        <v>0</v>
      </c>
      <c r="F105">
        <v>0</v>
      </c>
      <c r="H105">
        <v>0</v>
      </c>
      <c r="J105">
        <v>0</v>
      </c>
    </row>
    <row r="106" spans="1:10" x14ac:dyDescent="0.3">
      <c r="A106" t="s">
        <v>260</v>
      </c>
      <c r="B106">
        <v>78</v>
      </c>
      <c r="C106">
        <v>3</v>
      </c>
      <c r="D106">
        <v>3</v>
      </c>
      <c r="F106">
        <v>3</v>
      </c>
      <c r="H106">
        <v>3</v>
      </c>
      <c r="J106">
        <v>3</v>
      </c>
    </row>
    <row r="107" spans="1:10" x14ac:dyDescent="0.3">
      <c r="A107" t="s">
        <v>261</v>
      </c>
      <c r="B107">
        <v>78</v>
      </c>
      <c r="C107">
        <v>3</v>
      </c>
      <c r="D107">
        <v>4.3</v>
      </c>
      <c r="F107">
        <v>3.6</v>
      </c>
      <c r="H107">
        <v>4.3</v>
      </c>
      <c r="J107">
        <v>3.5</v>
      </c>
    </row>
    <row r="108" spans="1:10" x14ac:dyDescent="0.3">
      <c r="A108" t="s">
        <v>262</v>
      </c>
      <c r="B108">
        <v>78</v>
      </c>
      <c r="C108">
        <v>1</v>
      </c>
      <c r="D108">
        <v>1</v>
      </c>
      <c r="F108">
        <v>1.7</v>
      </c>
      <c r="H108">
        <v>1</v>
      </c>
      <c r="J108">
        <v>1</v>
      </c>
    </row>
    <row r="109" spans="1:10" x14ac:dyDescent="0.3">
      <c r="A109" t="s">
        <v>263</v>
      </c>
      <c r="B109">
        <v>78</v>
      </c>
      <c r="C109">
        <v>3</v>
      </c>
      <c r="D109">
        <v>3</v>
      </c>
      <c r="F109">
        <v>3</v>
      </c>
      <c r="H109">
        <v>3</v>
      </c>
      <c r="J109">
        <v>3</v>
      </c>
    </row>
    <row r="110" spans="1:10" x14ac:dyDescent="0.3">
      <c r="A110" t="s">
        <v>264</v>
      </c>
      <c r="B110">
        <v>78</v>
      </c>
      <c r="D110">
        <v>7</v>
      </c>
      <c r="F110">
        <v>7</v>
      </c>
      <c r="H110">
        <v>7</v>
      </c>
      <c r="J110">
        <v>7</v>
      </c>
    </row>
    <row r="111" spans="1:10" x14ac:dyDescent="0.3">
      <c r="A111" t="s">
        <v>265</v>
      </c>
      <c r="B111">
        <v>78</v>
      </c>
      <c r="D111">
        <v>11</v>
      </c>
      <c r="F111">
        <v>11</v>
      </c>
      <c r="H111">
        <v>11</v>
      </c>
      <c r="J111">
        <v>11</v>
      </c>
    </row>
    <row r="112" spans="1:10" x14ac:dyDescent="0.3">
      <c r="A112" t="s">
        <v>266</v>
      </c>
      <c r="B112">
        <v>78</v>
      </c>
      <c r="D112">
        <v>0</v>
      </c>
      <c r="F112">
        <v>0</v>
      </c>
      <c r="H112">
        <v>0</v>
      </c>
      <c r="J112">
        <v>0</v>
      </c>
    </row>
    <row r="113" spans="1:10" x14ac:dyDescent="0.3">
      <c r="A113" t="s">
        <v>267</v>
      </c>
      <c r="B113">
        <v>78</v>
      </c>
      <c r="C113">
        <v>10.5</v>
      </c>
      <c r="D113">
        <v>23.3</v>
      </c>
      <c r="F113">
        <v>23.3</v>
      </c>
      <c r="H113">
        <v>23.3</v>
      </c>
      <c r="J113">
        <v>22.5</v>
      </c>
    </row>
    <row r="114" spans="1:10" x14ac:dyDescent="0.3">
      <c r="A114" t="s">
        <v>268</v>
      </c>
      <c r="B114">
        <v>78</v>
      </c>
      <c r="C114">
        <v>0</v>
      </c>
      <c r="D114">
        <v>1</v>
      </c>
      <c r="F114">
        <v>1</v>
      </c>
      <c r="H114">
        <v>1</v>
      </c>
      <c r="J114">
        <v>1</v>
      </c>
    </row>
    <row r="115" spans="1:10" x14ac:dyDescent="0.3">
      <c r="A115" t="s">
        <v>269</v>
      </c>
      <c r="B115">
        <v>78</v>
      </c>
      <c r="C115">
        <v>1</v>
      </c>
      <c r="D115">
        <v>1</v>
      </c>
      <c r="F115">
        <v>1</v>
      </c>
      <c r="H115">
        <v>1</v>
      </c>
      <c r="J115">
        <v>1</v>
      </c>
    </row>
    <row r="116" spans="1:10" x14ac:dyDescent="0.3">
      <c r="A116" t="s">
        <v>270</v>
      </c>
      <c r="B116">
        <v>78</v>
      </c>
      <c r="C116">
        <v>46.6</v>
      </c>
      <c r="D116">
        <v>0</v>
      </c>
      <c r="F116">
        <v>23.3</v>
      </c>
      <c r="H116">
        <v>46.6</v>
      </c>
      <c r="J116">
        <v>23.3</v>
      </c>
    </row>
    <row r="117" spans="1:10" x14ac:dyDescent="0.3">
      <c r="A117" t="s">
        <v>271</v>
      </c>
      <c r="B117">
        <v>78</v>
      </c>
      <c r="C117">
        <v>0</v>
      </c>
      <c r="D117">
        <v>23.3</v>
      </c>
      <c r="F117">
        <v>46.6</v>
      </c>
      <c r="H117">
        <v>23.3</v>
      </c>
      <c r="J117">
        <v>46.6</v>
      </c>
    </row>
    <row r="118" spans="1:10" x14ac:dyDescent="0.3">
      <c r="A118" t="s">
        <v>272</v>
      </c>
      <c r="B118">
        <v>78</v>
      </c>
      <c r="C118">
        <v>53.1</v>
      </c>
      <c r="D118">
        <v>18</v>
      </c>
      <c r="F118">
        <v>41.3</v>
      </c>
      <c r="H118">
        <v>18</v>
      </c>
      <c r="J118">
        <v>42.1</v>
      </c>
    </row>
    <row r="119" spans="1:10" x14ac:dyDescent="0.3">
      <c r="A119" t="s">
        <v>273</v>
      </c>
      <c r="B119">
        <v>78</v>
      </c>
      <c r="C119">
        <v>53.1</v>
      </c>
      <c r="D119">
        <v>7</v>
      </c>
      <c r="F119">
        <v>30.3</v>
      </c>
      <c r="H119">
        <v>7</v>
      </c>
      <c r="J119">
        <v>31.1</v>
      </c>
    </row>
    <row r="120" spans="1:10" x14ac:dyDescent="0.3">
      <c r="A120" t="s">
        <v>274</v>
      </c>
      <c r="B120">
        <v>78</v>
      </c>
      <c r="C120">
        <v>46.6</v>
      </c>
      <c r="D120">
        <v>0</v>
      </c>
      <c r="F120">
        <v>23.3</v>
      </c>
      <c r="H120">
        <v>46.6</v>
      </c>
      <c r="J120">
        <v>23.3</v>
      </c>
    </row>
    <row r="121" spans="1:10" x14ac:dyDescent="0.3">
      <c r="A121" t="s">
        <v>275</v>
      </c>
      <c r="B121">
        <v>78</v>
      </c>
      <c r="C121">
        <v>53.1</v>
      </c>
      <c r="D121">
        <v>18</v>
      </c>
      <c r="F121">
        <v>41.3</v>
      </c>
      <c r="H121">
        <v>18</v>
      </c>
      <c r="J121">
        <v>42.1</v>
      </c>
    </row>
    <row r="122" spans="1:10" x14ac:dyDescent="0.3">
      <c r="A122" t="s">
        <v>276</v>
      </c>
      <c r="B122">
        <v>78</v>
      </c>
      <c r="C122">
        <v>53.1</v>
      </c>
      <c r="D122">
        <v>7</v>
      </c>
      <c r="F122">
        <v>30.3</v>
      </c>
      <c r="H122">
        <v>7</v>
      </c>
      <c r="J122">
        <v>31.1</v>
      </c>
    </row>
    <row r="123" spans="1:10" x14ac:dyDescent="0.3">
      <c r="A123" t="s">
        <v>567</v>
      </c>
      <c r="B123">
        <v>78</v>
      </c>
      <c r="C123">
        <v>6.5</v>
      </c>
      <c r="D123">
        <v>18</v>
      </c>
      <c r="F123">
        <v>18</v>
      </c>
      <c r="H123">
        <v>28.5</v>
      </c>
      <c r="J123">
        <v>18.8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4.4" x14ac:dyDescent="0.3"/>
  <sheetData>
    <row r="1" spans="1:9" x14ac:dyDescent="0.3">
      <c r="A1" s="255" t="s">
        <v>582</v>
      </c>
      <c r="B1" s="255" t="s">
        <v>583</v>
      </c>
      <c r="C1" s="255" t="s">
        <v>584</v>
      </c>
      <c r="D1" s="255" t="s">
        <v>585</v>
      </c>
      <c r="E1" s="255" t="s">
        <v>586</v>
      </c>
      <c r="F1" s="255" t="s">
        <v>599</v>
      </c>
      <c r="G1" s="256" t="s">
        <v>616</v>
      </c>
      <c r="I1" t="str">
        <f>A2&amp;"_"&amp;'Input sheet'!J14</f>
        <v>78_SR 95_El Rodeo Rd</v>
      </c>
    </row>
    <row r="2" spans="1:9" x14ac:dyDescent="0.3">
      <c r="A2" s="162">
        <f>UTDF_input!B4</f>
        <v>78</v>
      </c>
      <c r="B2" s="162" t="str">
        <f>'Phase calculation'!C156</f>
        <v/>
      </c>
      <c r="C2" s="162"/>
      <c r="D2" s="162" t="str">
        <f>'Phase calculation'!C158</f>
        <v/>
      </c>
      <c r="E2" s="162" t="str">
        <f>'Phase calculation'!C159</f>
        <v/>
      </c>
      <c r="F2" s="257" t="str">
        <f>'Phase calculation'!C160</f>
        <v>EBL</v>
      </c>
    </row>
    <row r="3" spans="1:9" x14ac:dyDescent="0.3">
      <c r="A3" s="162">
        <f>$A$2</f>
        <v>78</v>
      </c>
      <c r="B3" s="162" t="str">
        <f>'Phase calculation'!D156</f>
        <v/>
      </c>
      <c r="C3" s="162"/>
      <c r="D3" s="162" t="str">
        <f>'Phase calculation'!D158</f>
        <v/>
      </c>
      <c r="E3" s="162" t="str">
        <f>'Phase calculation'!D159</f>
        <v/>
      </c>
      <c r="F3" s="257" t="str">
        <f>'Phase calculation'!D160</f>
        <v>EBT</v>
      </c>
    </row>
    <row r="4" spans="1:9" x14ac:dyDescent="0.3">
      <c r="A4" s="162">
        <f t="shared" ref="A4:A13" si="0">$A$2</f>
        <v>78</v>
      </c>
      <c r="B4" s="162" t="str">
        <f>'Phase calculation'!E156</f>
        <v/>
      </c>
      <c r="C4" s="162"/>
      <c r="D4" s="162" t="str">
        <f>'Phase calculation'!E158</f>
        <v/>
      </c>
      <c r="E4" s="162" t="str">
        <f>'Phase calculation'!E159</f>
        <v/>
      </c>
      <c r="F4" s="257" t="str">
        <f>'Phase calculation'!E160</f>
        <v>EBR</v>
      </c>
    </row>
    <row r="5" spans="1:9" x14ac:dyDescent="0.3">
      <c r="A5" s="162">
        <f t="shared" si="0"/>
        <v>78</v>
      </c>
      <c r="B5" s="162">
        <f>'Phase calculation'!F156</f>
        <v>8</v>
      </c>
      <c r="C5" s="162"/>
      <c r="D5" s="162">
        <f>'Phase calculation'!F158</f>
        <v>8</v>
      </c>
      <c r="E5" s="162" t="str">
        <f>'Phase calculation'!F159</f>
        <v>Permissive</v>
      </c>
      <c r="F5" s="257" t="str">
        <f>'Phase calculation'!F160</f>
        <v>WBL</v>
      </c>
    </row>
    <row r="6" spans="1:9" x14ac:dyDescent="0.3">
      <c r="A6" s="162">
        <f t="shared" si="0"/>
        <v>78</v>
      </c>
      <c r="B6" s="162">
        <f>'Phase calculation'!G156</f>
        <v>8</v>
      </c>
      <c r="C6" s="162"/>
      <c r="D6" s="162">
        <f>'Phase calculation'!G158</f>
        <v>8</v>
      </c>
      <c r="E6" s="162" t="str">
        <f>'Phase calculation'!G159</f>
        <v>Protected</v>
      </c>
      <c r="F6" s="257" t="str">
        <f>'Phase calculation'!G160</f>
        <v>WBT</v>
      </c>
    </row>
    <row r="7" spans="1:9" x14ac:dyDescent="0.3">
      <c r="A7" s="162">
        <f t="shared" si="0"/>
        <v>78</v>
      </c>
      <c r="B7" s="162" t="str">
        <f>'Phase calculation'!H156</f>
        <v>81</v>
      </c>
      <c r="C7" s="162"/>
      <c r="D7" s="162">
        <f>'Phase calculation'!H158</f>
        <v>8</v>
      </c>
      <c r="E7" s="162" t="str">
        <f>'Phase calculation'!H159</f>
        <v>RTOR</v>
      </c>
      <c r="F7" s="257" t="str">
        <f>'Phase calculation'!H160</f>
        <v>WBR</v>
      </c>
    </row>
    <row r="8" spans="1:9" x14ac:dyDescent="0.3">
      <c r="A8" s="162">
        <f t="shared" si="0"/>
        <v>78</v>
      </c>
      <c r="B8" s="162" t="str">
        <f>'Phase calculation'!I156</f>
        <v>22</v>
      </c>
      <c r="C8" s="162"/>
      <c r="D8" s="162">
        <f>'Phase calculation'!I158</f>
        <v>2</v>
      </c>
      <c r="E8" s="162" t="str">
        <f>'Phase calculation'!I159</f>
        <v>Protected</v>
      </c>
      <c r="F8" s="257" t="str">
        <f>'Phase calculation'!I160</f>
        <v>NBL</v>
      </c>
    </row>
    <row r="9" spans="1:9" x14ac:dyDescent="0.3">
      <c r="A9" s="162">
        <f t="shared" si="0"/>
        <v>78</v>
      </c>
      <c r="B9" s="162">
        <f>'Phase calculation'!J156</f>
        <v>2</v>
      </c>
      <c r="C9" s="162"/>
      <c r="D9" s="162">
        <f>'Phase calculation'!J158</f>
        <v>2</v>
      </c>
      <c r="E9" s="162" t="str">
        <f>'Phase calculation'!J159</f>
        <v>Protected</v>
      </c>
      <c r="F9" s="257" t="str">
        <f>'Phase calculation'!J160</f>
        <v>NBT</v>
      </c>
    </row>
    <row r="10" spans="1:9" x14ac:dyDescent="0.3">
      <c r="A10" s="162">
        <f t="shared" si="0"/>
        <v>78</v>
      </c>
      <c r="B10" s="162" t="str">
        <f>'Phase calculation'!K156</f>
        <v>21</v>
      </c>
      <c r="C10" s="162"/>
      <c r="D10" s="162">
        <f>'Phase calculation'!K158</f>
        <v>2</v>
      </c>
      <c r="E10" s="162" t="str">
        <f>'Phase calculation'!K159</f>
        <v>RTOR</v>
      </c>
      <c r="F10" s="257" t="str">
        <f>'Phase calculation'!K160</f>
        <v>NBR</v>
      </c>
    </row>
    <row r="11" spans="1:9" x14ac:dyDescent="0.3">
      <c r="A11" s="162">
        <f t="shared" si="0"/>
        <v>78</v>
      </c>
      <c r="B11" s="162">
        <f>'Phase calculation'!L156</f>
        <v>1</v>
      </c>
      <c r="C11" s="162"/>
      <c r="D11" s="162">
        <f>'Phase calculation'!L158</f>
        <v>1</v>
      </c>
      <c r="E11" s="162" t="str">
        <f>'Phase calculation'!L159</f>
        <v>Protected</v>
      </c>
      <c r="F11" s="257" t="str">
        <f>'Phase calculation'!L160</f>
        <v>SBL</v>
      </c>
    </row>
    <row r="12" spans="1:9" x14ac:dyDescent="0.3">
      <c r="A12" s="162">
        <f t="shared" si="0"/>
        <v>78</v>
      </c>
      <c r="B12" s="162">
        <f>'Phase calculation'!M156</f>
        <v>6</v>
      </c>
      <c r="C12" s="162"/>
      <c r="D12" s="162">
        <f>'Phase calculation'!M158</f>
        <v>6</v>
      </c>
      <c r="E12" s="162" t="str">
        <f>'Phase calculation'!M159</f>
        <v>Protected</v>
      </c>
      <c r="F12" s="257" t="str">
        <f>'Phase calculation'!M160</f>
        <v>SBT</v>
      </c>
    </row>
    <row r="13" spans="1:9" x14ac:dyDescent="0.3">
      <c r="A13" s="162">
        <f t="shared" si="0"/>
        <v>78</v>
      </c>
      <c r="B13" s="162" t="str">
        <f>'Phase calculation'!N156</f>
        <v>61</v>
      </c>
      <c r="C13" s="162"/>
      <c r="D13" s="162">
        <f>'Phase calculation'!N158</f>
        <v>6</v>
      </c>
      <c r="E13" s="162" t="str">
        <f>'Phase calculation'!N159</f>
        <v>RTOR</v>
      </c>
      <c r="F13" s="257" t="str">
        <f>'Phase calculation'!N160</f>
        <v>SBR</v>
      </c>
    </row>
    <row r="14" spans="1:9" x14ac:dyDescent="0.3">
      <c r="A14" s="162"/>
      <c r="B14" s="162"/>
      <c r="C14" s="162"/>
      <c r="D14" s="162"/>
      <c r="E14" s="162"/>
      <c r="F14" s="162"/>
    </row>
    <row r="15" spans="1:9" x14ac:dyDescent="0.3">
      <c r="A15" t="s">
        <v>582</v>
      </c>
      <c r="B15" t="s">
        <v>617</v>
      </c>
      <c r="C15" t="s">
        <v>618</v>
      </c>
      <c r="D15" t="s">
        <v>619</v>
      </c>
      <c r="G15" s="1" t="s">
        <v>620</v>
      </c>
    </row>
    <row r="16" spans="1:9" x14ac:dyDescent="0.3">
      <c r="A16">
        <f>$A$2</f>
        <v>78</v>
      </c>
      <c r="B16">
        <f>IF(Phasing!D58=0,"",Phasing!D54)</f>
        <v>1</v>
      </c>
      <c r="C16">
        <f>IF(B16="","",IF(B16&lt;=4,1,2))</f>
        <v>1</v>
      </c>
      <c r="D16">
        <f>IF(C16="","",IF(OR(B16=1,B16=2,B16=5,B16=6),1,2))</f>
        <v>1</v>
      </c>
    </row>
    <row r="17" spans="1:13" x14ac:dyDescent="0.3">
      <c r="A17">
        <f t="shared" ref="A17:A23" si="1">$A$2</f>
        <v>78</v>
      </c>
      <c r="B17">
        <f>IF(Phasing!E58=0,"",Phasing!E54)</f>
        <v>2</v>
      </c>
      <c r="C17">
        <f t="shared" ref="C17:C23" si="2">IF(B17="","",IF(B17&lt;=4,1,2))</f>
        <v>1</v>
      </c>
      <c r="D17">
        <f t="shared" ref="D17:D23" si="3">IF(C17="","",IF(OR(B17=1,B17=2,B17=5,B17=6),1,2))</f>
        <v>1</v>
      </c>
    </row>
    <row r="18" spans="1:13" x14ac:dyDescent="0.3">
      <c r="A18">
        <f t="shared" si="1"/>
        <v>78</v>
      </c>
      <c r="B18" t="str">
        <f>IF(Phasing!F58=0,"",Phasing!F54)</f>
        <v/>
      </c>
      <c r="C18" t="str">
        <f t="shared" si="2"/>
        <v/>
      </c>
      <c r="D18" t="str">
        <f t="shared" si="3"/>
        <v/>
      </c>
    </row>
    <row r="19" spans="1:13" x14ac:dyDescent="0.3">
      <c r="A19">
        <f t="shared" si="1"/>
        <v>78</v>
      </c>
      <c r="B19" t="str">
        <f>IF(Phasing!G58=0,"",Phasing!G54)</f>
        <v/>
      </c>
      <c r="C19" t="str">
        <f t="shared" si="2"/>
        <v/>
      </c>
      <c r="D19" t="str">
        <f t="shared" si="3"/>
        <v/>
      </c>
    </row>
    <row r="20" spans="1:13" x14ac:dyDescent="0.3">
      <c r="A20">
        <f t="shared" si="1"/>
        <v>78</v>
      </c>
      <c r="B20" t="str">
        <f>IF(Phasing!H58=0,"",Phasing!H54)</f>
        <v/>
      </c>
      <c r="C20" t="str">
        <f t="shared" si="2"/>
        <v/>
      </c>
      <c r="D20" t="str">
        <f t="shared" si="3"/>
        <v/>
      </c>
    </row>
    <row r="21" spans="1:13" x14ac:dyDescent="0.3">
      <c r="A21">
        <f t="shared" si="1"/>
        <v>78</v>
      </c>
      <c r="B21">
        <f>IF(Phasing!I58=0,"",Phasing!I54)</f>
        <v>6</v>
      </c>
      <c r="C21">
        <f t="shared" si="2"/>
        <v>2</v>
      </c>
      <c r="D21">
        <f t="shared" si="3"/>
        <v>1</v>
      </c>
    </row>
    <row r="22" spans="1:13" x14ac:dyDescent="0.3">
      <c r="A22">
        <f t="shared" si="1"/>
        <v>78</v>
      </c>
      <c r="B22" t="str">
        <f>IF(Phasing!J58=0,"",Phasing!J54)</f>
        <v/>
      </c>
      <c r="C22" t="str">
        <f t="shared" si="2"/>
        <v/>
      </c>
      <c r="D22" t="str">
        <f t="shared" si="3"/>
        <v/>
      </c>
    </row>
    <row r="23" spans="1:13" x14ac:dyDescent="0.3">
      <c r="A23">
        <f t="shared" si="1"/>
        <v>78</v>
      </c>
      <c r="B23">
        <f>IF(Phasing!K58=0,"",Phasing!K54)</f>
        <v>8</v>
      </c>
      <c r="C23">
        <f t="shared" si="2"/>
        <v>2</v>
      </c>
      <c r="D23">
        <f t="shared" si="3"/>
        <v>2</v>
      </c>
    </row>
    <row r="25" spans="1:13" x14ac:dyDescent="0.3">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3">
      <c r="A26" s="162">
        <f t="shared" ref="A26:A33" si="4">IF(C26="","",1)</f>
        <v>1</v>
      </c>
      <c r="B26" s="162">
        <f>$A$2</f>
        <v>78</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3">
      <c r="A27" s="162">
        <f t="shared" si="4"/>
        <v>1</v>
      </c>
      <c r="B27" s="162">
        <f t="shared" ref="B27:B33" si="6">$A$2</f>
        <v>78</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10</v>
      </c>
      <c r="J27" t="str">
        <f t="shared" ref="J27:J33" si="7">IFERROR(INDEX($F$2:$F$13,MATCH(C27,$B$2:$B$13,0)),"")</f>
        <v>NBT</v>
      </c>
      <c r="K27">
        <v>0</v>
      </c>
    </row>
    <row r="28" spans="1:13" x14ac:dyDescent="0.3">
      <c r="A28" s="162" t="str">
        <f t="shared" si="4"/>
        <v/>
      </c>
      <c r="B28" s="162">
        <f t="shared" si="6"/>
        <v>78</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EBL</v>
      </c>
      <c r="K28">
        <v>0</v>
      </c>
    </row>
    <row r="29" spans="1:13" x14ac:dyDescent="0.3">
      <c r="A29" s="162" t="str">
        <f t="shared" si="4"/>
        <v/>
      </c>
      <c r="B29" s="162">
        <f t="shared" si="6"/>
        <v>78</v>
      </c>
      <c r="C29" s="162" t="str">
        <f t="shared" si="5"/>
        <v/>
      </c>
      <c r="D29" s="162" t="str">
        <f>IF(C29="","",Phasing!G31)</f>
        <v/>
      </c>
      <c r="E29" s="162" t="str">
        <f>IF(C29="","",Phasing!G32)</f>
        <v/>
      </c>
      <c r="F29" s="162" t="str">
        <f>IF(C29="","",Phasing!G33)</f>
        <v/>
      </c>
      <c r="G29" s="162" t="str">
        <f>IF(C29="","",INDEX(Phasing!$Y$33:$Y$40,MATCH(C29,Phasing!$W$33:$W$40,0))+INDEX(Phasing!$AA$33:$AA$40,MATCH(C29,Phasing!$W$33:$W$40,0)))</f>
        <v/>
      </c>
      <c r="H29" s="162">
        <f>Phasing!G9</f>
        <v>0</v>
      </c>
      <c r="I29" s="162">
        <f>Phasing!G10</f>
        <v>0</v>
      </c>
      <c r="J29" t="str">
        <f t="shared" si="7"/>
        <v>EBL</v>
      </c>
      <c r="K29">
        <v>0</v>
      </c>
    </row>
    <row r="30" spans="1:13" x14ac:dyDescent="0.3">
      <c r="A30" s="162" t="str">
        <f t="shared" si="4"/>
        <v/>
      </c>
      <c r="B30" s="162">
        <f t="shared" si="6"/>
        <v>78</v>
      </c>
      <c r="C30" s="162" t="str">
        <f t="shared" si="5"/>
        <v/>
      </c>
      <c r="D30" s="162" t="str">
        <f>IF(C30="","",Phasing!H31)</f>
        <v/>
      </c>
      <c r="E30" s="162" t="str">
        <f>IF(C30="","",Phasing!H32)</f>
        <v/>
      </c>
      <c r="F30" s="162" t="str">
        <f>IF(C30="","",Phasing!H33)</f>
        <v/>
      </c>
      <c r="G30" s="162" t="str">
        <f>IF(C30="","",INDEX(Phasing!$Y$33:$Y$40,MATCH(C30,Phasing!$W$33:$W$40,0))+INDEX(Phasing!$AA$33:$AA$40,MATCH(C30,Phasing!$W$33:$W$40,0)))</f>
        <v/>
      </c>
      <c r="H30" s="162"/>
      <c r="I30" s="162"/>
      <c r="J30" t="str">
        <f t="shared" si="7"/>
        <v>EBL</v>
      </c>
      <c r="K30">
        <v>0</v>
      </c>
    </row>
    <row r="31" spans="1:13" x14ac:dyDescent="0.3">
      <c r="A31" s="162">
        <f t="shared" si="4"/>
        <v>1</v>
      </c>
      <c r="B31" s="162">
        <f t="shared" si="6"/>
        <v>78</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0</v>
      </c>
      <c r="J31" t="str">
        <f t="shared" si="7"/>
        <v>SBT</v>
      </c>
      <c r="K31">
        <v>0</v>
      </c>
    </row>
    <row r="32" spans="1:13" x14ac:dyDescent="0.3">
      <c r="A32" s="162" t="str">
        <f t="shared" si="4"/>
        <v/>
      </c>
      <c r="B32" s="162">
        <f t="shared" si="6"/>
        <v>78</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EBL</v>
      </c>
      <c r="K32">
        <v>0</v>
      </c>
    </row>
    <row r="33" spans="1:12" x14ac:dyDescent="0.3">
      <c r="A33" s="162">
        <f t="shared" si="4"/>
        <v>1</v>
      </c>
      <c r="B33" s="162">
        <f t="shared" si="6"/>
        <v>78</v>
      </c>
      <c r="C33" s="162">
        <f t="shared" si="5"/>
        <v>8</v>
      </c>
      <c r="D33" s="162">
        <f>IF(C33="","",Phasing!K31)</f>
        <v>10</v>
      </c>
      <c r="E33" s="162">
        <f>IF(C33="","",Phasing!K32)</f>
        <v>30</v>
      </c>
      <c r="F33" s="162">
        <f>IF(C33="","",Phasing!K33)</f>
        <v>1.5</v>
      </c>
      <c r="G33" s="162">
        <f>IF(C33="","",INDEX(Phasing!$Y$33:$Y$40,MATCH(C33,Phasing!$W$33:$W$40,0))+INDEX(Phasing!$AA$33:$AA$40,MATCH(C33,Phasing!$W$33:$W$40,0)))</f>
        <v>4.9000000000000004</v>
      </c>
      <c r="H33" s="162">
        <f>Phasing!K9</f>
        <v>5</v>
      </c>
      <c r="I33" s="162">
        <f>Phasing!K10</f>
        <v>24</v>
      </c>
      <c r="J33" t="str">
        <f t="shared" si="7"/>
        <v>WBL</v>
      </c>
      <c r="K33">
        <v>0</v>
      </c>
    </row>
    <row r="35" spans="1:12" x14ac:dyDescent="0.3">
      <c r="A35" t="s">
        <v>582</v>
      </c>
      <c r="B35" t="s">
        <v>629</v>
      </c>
      <c r="C35" t="s">
        <v>630</v>
      </c>
      <c r="D35" t="s">
        <v>595</v>
      </c>
      <c r="E35" t="s">
        <v>631</v>
      </c>
      <c r="F35" t="s">
        <v>632</v>
      </c>
      <c r="G35" t="s">
        <v>633</v>
      </c>
      <c r="L35" s="1" t="s">
        <v>634</v>
      </c>
    </row>
    <row r="36" spans="1:12" x14ac:dyDescent="0.3">
      <c r="A36">
        <f>$A$2</f>
        <v>78</v>
      </c>
      <c r="B36">
        <v>1</v>
      </c>
      <c r="C36" t="s">
        <v>635</v>
      </c>
      <c r="D36">
        <f>'Phase calculation'!C25</f>
        <v>70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3">
      <c r="A2">
        <f>GMNS!$A$2</f>
        <v>78</v>
      </c>
      <c r="B2" t="str">
        <f>T2&amp;"_"&amp;U2</f>
        <v>000000_000000</v>
      </c>
      <c r="C2" s="1" t="s">
        <v>608</v>
      </c>
      <c r="D2" s="1" t="s">
        <v>608</v>
      </c>
      <c r="E2" t="str">
        <f>IF(Q2=0,"",'Phase calculation'!C41)</f>
        <v/>
      </c>
      <c r="F2" s="70" t="str">
        <f>IF(Q2=0,"",'Phase calculation'!C40)</f>
        <v/>
      </c>
      <c r="G2" s="1">
        <v>0</v>
      </c>
      <c r="H2">
        <f>'Phase calculation'!$C$25</f>
        <v>70</v>
      </c>
      <c r="I2" t="str">
        <f>IF(E2="","",IF('Phase calculation'!C34=0,'Phase calculation'!D34,'Phase calculation'!C34))</f>
        <v/>
      </c>
      <c r="J2" t="str">
        <f>IF(E2="","",H2-I2)</f>
        <v/>
      </c>
      <c r="K2">
        <f>IF(OR(Q2=1,Q2=2,Q2=5,Q2=6),1,2)</f>
        <v>2</v>
      </c>
      <c r="L2" t="s">
        <v>13</v>
      </c>
      <c r="M2" t="str">
        <f>T2</f>
        <v>000000</v>
      </c>
      <c r="N2" t="str">
        <f>U2</f>
        <v>000000</v>
      </c>
      <c r="O2" s="1">
        <v>0</v>
      </c>
      <c r="Q2">
        <f>IF('Phase calculation'!C33=0,'Phase calculation'!D33,'Phase calculation'!C33)</f>
        <v>0</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3">
      <c r="A3">
        <f>GMNS!$A$2</f>
        <v>78</v>
      </c>
      <c r="B3" t="str">
        <f t="shared" ref="B3:B13" si="1">T3&amp;"_"&amp;U3</f>
        <v>000000_000000</v>
      </c>
      <c r="C3" s="1" t="s">
        <v>608</v>
      </c>
      <c r="D3" s="1" t="s">
        <v>608</v>
      </c>
      <c r="E3" t="str">
        <f>IF(Q3=0,"",'Phase calculation'!D41)</f>
        <v/>
      </c>
      <c r="F3" s="70" t="str">
        <f>IF(Q3=0,"",'Phase calculation'!D40)</f>
        <v/>
      </c>
      <c r="G3" s="1">
        <v>0</v>
      </c>
      <c r="H3">
        <f>'Phase calculation'!$C$25</f>
        <v>70</v>
      </c>
      <c r="I3" t="str">
        <f>IF(E3="","",'Phase calculation'!D34)</f>
        <v/>
      </c>
      <c r="J3" t="str">
        <f t="shared" ref="J3:J13" si="2">IF(E3="","",H3-I3)</f>
        <v/>
      </c>
      <c r="K3">
        <f t="shared" ref="K3:K13" si="3">IF(OR(Q3=1,Q3=2,Q3=5,Q3=6),1,2)</f>
        <v>2</v>
      </c>
      <c r="L3" t="s">
        <v>14</v>
      </c>
      <c r="M3" t="str">
        <f t="shared" ref="M3:N13" si="4">T3</f>
        <v>000000</v>
      </c>
      <c r="N3" t="str">
        <f t="shared" si="4"/>
        <v>000000</v>
      </c>
      <c r="O3" s="1">
        <v>0</v>
      </c>
      <c r="Q3">
        <f>'Phase calculation'!D33</f>
        <v>0</v>
      </c>
      <c r="R3">
        <f>IFERROR(INDEX(Phasing!$D$46:$K$46,1,MATCH(Q3,Phasing!$D$54:$K$54,0)),0)</f>
        <v>0</v>
      </c>
      <c r="S3">
        <f>IFERROR(INDEX(Phasing!$D$47:$K$47,1,MATCH(Q3,Phasing!$D$54:$K$54,0)),0)</f>
        <v>0</v>
      </c>
      <c r="T3" s="254" t="str">
        <f t="shared" si="0"/>
        <v>000000</v>
      </c>
      <c r="U3" s="254" t="str">
        <f t="shared" si="0"/>
        <v>000000</v>
      </c>
    </row>
    <row r="4" spans="1:21" x14ac:dyDescent="0.3">
      <c r="A4">
        <f>GMNS!$A$2</f>
        <v>78</v>
      </c>
      <c r="B4" t="str">
        <f t="shared" si="1"/>
        <v>000000_000000</v>
      </c>
      <c r="C4" s="1" t="s">
        <v>608</v>
      </c>
      <c r="D4" s="1" t="s">
        <v>608</v>
      </c>
      <c r="E4" t="str">
        <f>IF(Q4=0,"",'Phase calculation'!E41)</f>
        <v/>
      </c>
      <c r="F4" s="70" t="str">
        <f>IF(Q4=0,"",'Phase calculation'!E40)</f>
        <v/>
      </c>
      <c r="G4" s="1">
        <v>0</v>
      </c>
      <c r="H4">
        <f>'Phase calculation'!$C$25</f>
        <v>70</v>
      </c>
      <c r="I4" t="str">
        <f>IF(E4="","",'Phase calculation'!E34)</f>
        <v/>
      </c>
      <c r="J4" t="str">
        <f t="shared" si="2"/>
        <v/>
      </c>
      <c r="K4">
        <f t="shared" si="3"/>
        <v>2</v>
      </c>
      <c r="L4" t="s">
        <v>15</v>
      </c>
      <c r="M4" t="str">
        <f t="shared" si="4"/>
        <v>000000</v>
      </c>
      <c r="N4" t="str">
        <f t="shared" si="4"/>
        <v>000000</v>
      </c>
      <c r="O4" s="1">
        <v>0</v>
      </c>
      <c r="Q4">
        <f>Q3</f>
        <v>0</v>
      </c>
      <c r="R4">
        <f>IFERROR(INDEX(Phasing!$D$46:$K$46,1,MATCH(Q4,Phasing!$D$54:$K$54,0)),0)</f>
        <v>0</v>
      </c>
      <c r="S4">
        <f>IFERROR(INDEX(Phasing!$D$47:$K$47,1,MATCH(Q4,Phasing!$D$54:$K$54,0)),0)</f>
        <v>0</v>
      </c>
      <c r="T4" s="254" t="str">
        <f t="shared" si="0"/>
        <v>000000</v>
      </c>
      <c r="U4" s="254" t="str">
        <f t="shared" si="0"/>
        <v>000000</v>
      </c>
    </row>
    <row r="5" spans="1:21" x14ac:dyDescent="0.3">
      <c r="A5">
        <f>GMNS!$A$2</f>
        <v>78</v>
      </c>
      <c r="B5" t="str">
        <f t="shared" si="1"/>
        <v>000036_000110</v>
      </c>
      <c r="C5" s="1" t="s">
        <v>608</v>
      </c>
      <c r="D5" s="1" t="s">
        <v>608</v>
      </c>
      <c r="E5">
        <f>IF(Q5=0,"",'Phase calculation'!F41)</f>
        <v>4826</v>
      </c>
      <c r="F5" s="70">
        <f>IF(Q5=0,"",'Phase calculation'!F40)</f>
        <v>0.02</v>
      </c>
      <c r="G5" s="1">
        <v>0</v>
      </c>
      <c r="H5">
        <f>'Phase calculation'!$C$25</f>
        <v>70</v>
      </c>
      <c r="I5">
        <f>IF(E5="","",IF('Phase calculation'!F34=0,'Phase calculation'!G34,'Phase calculation'!F34))</f>
        <v>34</v>
      </c>
      <c r="J5">
        <f t="shared" si="2"/>
        <v>36</v>
      </c>
      <c r="K5">
        <f t="shared" si="3"/>
        <v>2</v>
      </c>
      <c r="L5" t="s">
        <v>18</v>
      </c>
      <c r="M5" t="str">
        <f t="shared" si="4"/>
        <v>000036</v>
      </c>
      <c r="N5" t="str">
        <f t="shared" si="4"/>
        <v>000110</v>
      </c>
      <c r="O5" s="1">
        <v>0</v>
      </c>
      <c r="Q5">
        <f>IF('Phase calculation'!F33=0,'Phase calculation'!G33,'Phase calculation'!F33)</f>
        <v>8</v>
      </c>
      <c r="R5">
        <f>IFERROR(INDEX(Phasing!$D$46:$K$46,1,MATCH(Q5,Phasing!$D$54:$K$54,0)),0)</f>
        <v>36</v>
      </c>
      <c r="S5">
        <f>IFERROR(INDEX(Phasing!$D$47:$K$47,1,MATCH(Q5,Phasing!$D$54:$K$54,0)),0)</f>
        <v>70</v>
      </c>
      <c r="T5" s="254" t="str">
        <f t="shared" si="0"/>
        <v>000036</v>
      </c>
      <c r="U5" s="254" t="str">
        <f t="shared" si="0"/>
        <v>000110</v>
      </c>
    </row>
    <row r="6" spans="1:21" x14ac:dyDescent="0.3">
      <c r="A6">
        <f>GMNS!$A$2</f>
        <v>78</v>
      </c>
      <c r="B6" t="str">
        <f t="shared" si="1"/>
        <v>000036_000110</v>
      </c>
      <c r="C6" s="1" t="s">
        <v>608</v>
      </c>
      <c r="D6" s="1" t="s">
        <v>608</v>
      </c>
      <c r="E6">
        <f>IF(Q6=0,"",'Phase calculation'!G41)</f>
        <v>2413</v>
      </c>
      <c r="F6" s="70">
        <f>IF(Q6=0,"",'Phase calculation'!G40)</f>
        <v>0.08</v>
      </c>
      <c r="G6" s="1">
        <v>0</v>
      </c>
      <c r="H6">
        <f>'Phase calculation'!$C$25</f>
        <v>70</v>
      </c>
      <c r="I6">
        <f>IF(E6="","",'Phase calculation'!G34)</f>
        <v>34</v>
      </c>
      <c r="J6">
        <f t="shared" si="2"/>
        <v>36</v>
      </c>
      <c r="K6">
        <f t="shared" si="3"/>
        <v>2</v>
      </c>
      <c r="L6" t="s">
        <v>19</v>
      </c>
      <c r="M6" t="str">
        <f t="shared" si="4"/>
        <v>000036</v>
      </c>
      <c r="N6" t="str">
        <f t="shared" si="4"/>
        <v>000110</v>
      </c>
      <c r="O6" s="1">
        <v>0</v>
      </c>
      <c r="Q6">
        <f>'Phase calculation'!G33</f>
        <v>8</v>
      </c>
      <c r="R6">
        <f>IFERROR(INDEX(Phasing!$D$46:$K$46,1,MATCH(Q6,Phasing!$D$54:$K$54,0)),0)</f>
        <v>36</v>
      </c>
      <c r="S6">
        <f>IFERROR(INDEX(Phasing!$D$47:$K$47,1,MATCH(Q6,Phasing!$D$54:$K$54,0)),0)</f>
        <v>70</v>
      </c>
      <c r="T6" s="254" t="str">
        <f t="shared" si="0"/>
        <v>000036</v>
      </c>
      <c r="U6" s="254" t="str">
        <f t="shared" si="0"/>
        <v>000110</v>
      </c>
    </row>
    <row r="7" spans="1:21" x14ac:dyDescent="0.3">
      <c r="A7">
        <f>GMNS!$A$2</f>
        <v>78</v>
      </c>
      <c r="B7" t="str">
        <f t="shared" si="1"/>
        <v>000036_000110</v>
      </c>
      <c r="C7" s="1" t="s">
        <v>608</v>
      </c>
      <c r="D7" s="1" t="s">
        <v>608</v>
      </c>
      <c r="E7">
        <f>IF(Q7=0,"",'Phase calculation'!H41)</f>
        <v>0</v>
      </c>
      <c r="F7" s="70">
        <f>IF(Q7=0,"",'Phase calculation'!H40)</f>
        <v>0</v>
      </c>
      <c r="G7" s="1">
        <v>0</v>
      </c>
      <c r="H7">
        <f>'Phase calculation'!$C$25</f>
        <v>70</v>
      </c>
      <c r="I7">
        <f>IF(E7="","",'Phase calculation'!H34)</f>
        <v>34</v>
      </c>
      <c r="J7">
        <f t="shared" si="2"/>
        <v>36</v>
      </c>
      <c r="K7">
        <f t="shared" si="3"/>
        <v>2</v>
      </c>
      <c r="L7" t="s">
        <v>20</v>
      </c>
      <c r="M7" t="str">
        <f t="shared" si="4"/>
        <v>000036</v>
      </c>
      <c r="N7" t="str">
        <f t="shared" si="4"/>
        <v>000110</v>
      </c>
      <c r="O7" s="1">
        <v>0</v>
      </c>
      <c r="Q7">
        <f>Q6</f>
        <v>8</v>
      </c>
      <c r="R7">
        <f>IFERROR(INDEX(Phasing!$D$46:$K$46,1,MATCH(Q7,Phasing!$D$54:$K$54,0)),0)</f>
        <v>36</v>
      </c>
      <c r="S7">
        <f>IFERROR(INDEX(Phasing!$D$47:$K$47,1,MATCH(Q7,Phasing!$D$54:$K$54,0)),0)</f>
        <v>70</v>
      </c>
      <c r="T7" s="254" t="str">
        <f t="shared" si="0"/>
        <v>000036</v>
      </c>
      <c r="U7" s="254" t="str">
        <f t="shared" si="0"/>
        <v>000110</v>
      </c>
    </row>
    <row r="8" spans="1:21" x14ac:dyDescent="0.3">
      <c r="A8">
        <f>GMNS!$A$2</f>
        <v>78</v>
      </c>
      <c r="B8" t="str">
        <f t="shared" si="1"/>
        <v>000009_000036</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1</v>
      </c>
      <c r="L8" t="s">
        <v>3</v>
      </c>
      <c r="M8" t="str">
        <f t="shared" si="4"/>
        <v>000009</v>
      </c>
      <c r="N8" t="str">
        <f t="shared" si="4"/>
        <v>000036</v>
      </c>
      <c r="O8" s="1">
        <v>0</v>
      </c>
      <c r="Q8">
        <f>IF('Phase calculation'!I33=0,'Phase calculation'!J33,'Phase calculation'!I33)</f>
        <v>2</v>
      </c>
      <c r="R8">
        <f>IFERROR(INDEX(Phasing!$D$46:$K$46,1,MATCH(Q8,Phasing!$D$54:$K$54,0)),0)</f>
        <v>9</v>
      </c>
      <c r="S8">
        <f>IFERROR(INDEX(Phasing!$D$47:$K$47,1,MATCH(Q8,Phasing!$D$54:$K$54,0)),0)</f>
        <v>36</v>
      </c>
      <c r="T8" s="254" t="str">
        <f t="shared" si="0"/>
        <v>000009</v>
      </c>
      <c r="U8" s="254" t="str">
        <f t="shared" si="0"/>
        <v>000036</v>
      </c>
    </row>
    <row r="9" spans="1:21" x14ac:dyDescent="0.3">
      <c r="A9">
        <f>GMNS!$A$2</f>
        <v>78</v>
      </c>
      <c r="B9" t="str">
        <f t="shared" si="1"/>
        <v>000009_000036</v>
      </c>
      <c r="C9" s="1" t="s">
        <v>608</v>
      </c>
      <c r="D9" s="1" t="s">
        <v>608</v>
      </c>
      <c r="E9">
        <f>IF(Q9=0,"",'Phase calculation'!J41)</f>
        <v>1388</v>
      </c>
      <c r="F9" s="70">
        <f>IF(Q9=0,"",'Phase calculation'!J40)</f>
        <v>1.25</v>
      </c>
      <c r="G9" s="1">
        <v>0</v>
      </c>
      <c r="H9">
        <f>'Phase calculation'!$C$25</f>
        <v>70</v>
      </c>
      <c r="I9">
        <f>IF(E9="","",'Phase calculation'!J34)</f>
        <v>27</v>
      </c>
      <c r="J9">
        <f t="shared" si="2"/>
        <v>43</v>
      </c>
      <c r="K9">
        <f t="shared" si="3"/>
        <v>1</v>
      </c>
      <c r="L9" t="s">
        <v>4</v>
      </c>
      <c r="M9" t="str">
        <f t="shared" si="4"/>
        <v>000009</v>
      </c>
      <c r="N9" t="str">
        <f t="shared" si="4"/>
        <v>000036</v>
      </c>
      <c r="O9" s="1">
        <v>0</v>
      </c>
      <c r="Q9">
        <f>'Phase calculation'!J33</f>
        <v>2</v>
      </c>
      <c r="R9">
        <f>IFERROR(INDEX(Phasing!$D$46:$K$46,1,MATCH(Q9,Phasing!$D$54:$K$54,0)),0)</f>
        <v>9</v>
      </c>
      <c r="S9">
        <f>IFERROR(INDEX(Phasing!$D$47:$K$47,1,MATCH(Q9,Phasing!$D$54:$K$54,0)),0)</f>
        <v>36</v>
      </c>
      <c r="T9" s="254" t="str">
        <f t="shared" si="0"/>
        <v>000009</v>
      </c>
      <c r="U9" s="254" t="str">
        <f t="shared" si="0"/>
        <v>000036</v>
      </c>
    </row>
    <row r="10" spans="1:21" x14ac:dyDescent="0.3">
      <c r="A10">
        <f>GMNS!$A$2</f>
        <v>78</v>
      </c>
      <c r="B10" t="str">
        <f t="shared" si="1"/>
        <v>000009_000036</v>
      </c>
      <c r="C10" s="1" t="s">
        <v>608</v>
      </c>
      <c r="D10" s="1" t="s">
        <v>608</v>
      </c>
      <c r="E10">
        <f>IF(Q10=0,"",'Phase calculation'!K41)</f>
        <v>11562</v>
      </c>
      <c r="F10" s="70">
        <f>IF(Q10=0,"",'Phase calculation'!K40)</f>
        <v>5.1029233696592282E-3</v>
      </c>
      <c r="G10" s="1">
        <v>0</v>
      </c>
      <c r="H10">
        <f>'Phase calculation'!$C$25</f>
        <v>70</v>
      </c>
      <c r="I10">
        <f>IF(E10="","",'Phase calculation'!K34)</f>
        <v>27</v>
      </c>
      <c r="J10">
        <f t="shared" si="2"/>
        <v>43</v>
      </c>
      <c r="K10">
        <f t="shared" si="3"/>
        <v>1</v>
      </c>
      <c r="L10" t="s">
        <v>5</v>
      </c>
      <c r="M10" t="str">
        <f t="shared" si="4"/>
        <v>000009</v>
      </c>
      <c r="N10" t="str">
        <f t="shared" si="4"/>
        <v>000036</v>
      </c>
      <c r="O10" s="1">
        <v>0</v>
      </c>
      <c r="Q10">
        <f>Q9</f>
        <v>2</v>
      </c>
      <c r="R10">
        <f>IFERROR(INDEX(Phasing!$D$46:$K$46,1,MATCH(Q10,Phasing!$D$54:$K$54,0)),0)</f>
        <v>9</v>
      </c>
      <c r="S10">
        <f>IFERROR(INDEX(Phasing!$D$47:$K$47,1,MATCH(Q10,Phasing!$D$54:$K$54,0)),0)</f>
        <v>36</v>
      </c>
      <c r="T10" s="254" t="str">
        <f t="shared" si="0"/>
        <v>000009</v>
      </c>
      <c r="U10" s="254" t="str">
        <f t="shared" si="0"/>
        <v>000036</v>
      </c>
    </row>
    <row r="11" spans="1:21" x14ac:dyDescent="0.3">
      <c r="A11">
        <f>GMNS!$A$2</f>
        <v>78</v>
      </c>
      <c r="B11" t="str">
        <f t="shared" si="1"/>
        <v>000000_000009</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3">
      <c r="A12">
        <f>GMNS!$A$2</f>
        <v>78</v>
      </c>
      <c r="B12" t="str">
        <f t="shared" si="1"/>
        <v>000000_000036</v>
      </c>
      <c r="C12" s="1" t="s">
        <v>608</v>
      </c>
      <c r="D12" s="1" t="s">
        <v>608</v>
      </c>
      <c r="E12">
        <f>IF(Q12=0,"",'Phase calculation'!M41)</f>
        <v>1287</v>
      </c>
      <c r="F12" s="70">
        <f>IF(Q12=0,"",'Phase calculation'!M40)</f>
        <v>0.99</v>
      </c>
      <c r="G12" s="1">
        <v>0</v>
      </c>
      <c r="H12">
        <f>'Phase calculation'!$C$25</f>
        <v>70</v>
      </c>
      <c r="I12">
        <f>IF(E12="","",'Phase calculation'!M34)</f>
        <v>36</v>
      </c>
      <c r="J12">
        <f t="shared" si="2"/>
        <v>34</v>
      </c>
      <c r="K12">
        <f t="shared" si="3"/>
        <v>1</v>
      </c>
      <c r="L12" t="s">
        <v>9</v>
      </c>
      <c r="M12" t="str">
        <f t="shared" si="4"/>
        <v>000000</v>
      </c>
      <c r="N12" t="str">
        <f t="shared" si="4"/>
        <v>000036</v>
      </c>
      <c r="O12" s="1">
        <v>0</v>
      </c>
      <c r="Q12">
        <f>'Phase calculation'!M33</f>
        <v>6</v>
      </c>
      <c r="R12">
        <f>IFERROR(INDEX(Phasing!$D$46:$K$46,1,MATCH(Q12,Phasing!$D$54:$K$54,0)),0)</f>
        <v>0</v>
      </c>
      <c r="S12">
        <f>IFERROR(INDEX(Phasing!$D$47:$K$47,1,MATCH(Q12,Phasing!$D$54:$K$54,0)),0)</f>
        <v>36</v>
      </c>
      <c r="T12" s="254" t="str">
        <f t="shared" si="0"/>
        <v>000000</v>
      </c>
      <c r="U12" s="254" t="str">
        <f t="shared" si="0"/>
        <v>000036</v>
      </c>
    </row>
    <row r="13" spans="1:21" x14ac:dyDescent="0.3">
      <c r="A13">
        <f>GMNS!$A$2</f>
        <v>78</v>
      </c>
      <c r="B13" t="str">
        <f t="shared" si="1"/>
        <v>000000_000036</v>
      </c>
      <c r="C13" s="1" t="s">
        <v>608</v>
      </c>
      <c r="D13" s="1" t="s">
        <v>608</v>
      </c>
      <c r="E13">
        <f>IF(Q13=0,"",'Phase calculation'!N41)</f>
        <v>2574</v>
      </c>
      <c r="F13" s="70">
        <f>IF(Q13=0,"",'Phase calculation'!N40)</f>
        <v>0</v>
      </c>
      <c r="G13" s="1">
        <v>0</v>
      </c>
      <c r="H13">
        <f>'Phase calculation'!$C$25</f>
        <v>70</v>
      </c>
      <c r="I13">
        <f>IF(E13="","",'Phase calculation'!N34)</f>
        <v>36</v>
      </c>
      <c r="J13">
        <f t="shared" si="2"/>
        <v>34</v>
      </c>
      <c r="K13">
        <f t="shared" si="3"/>
        <v>1</v>
      </c>
      <c r="L13" t="s">
        <v>10</v>
      </c>
      <c r="M13" t="str">
        <f t="shared" si="4"/>
        <v>000000</v>
      </c>
      <c r="N13" t="str">
        <f t="shared" si="4"/>
        <v>000036</v>
      </c>
      <c r="O13" s="1">
        <v>0</v>
      </c>
      <c r="Q13">
        <f>Q12</f>
        <v>6</v>
      </c>
      <c r="R13">
        <f>IFERROR(INDEX(Phasing!$D$46:$K$46,1,MATCH(Q13,Phasing!$D$54:$K$54,0)),0)</f>
        <v>0</v>
      </c>
      <c r="S13">
        <f>IFERROR(INDEX(Phasing!$D$47:$K$47,1,MATCH(Q13,Phasing!$D$54:$K$54,0)),0)</f>
        <v>36</v>
      </c>
      <c r="T13" s="254" t="str">
        <f t="shared" si="0"/>
        <v>000000</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264" t="s">
        <v>281</v>
      </c>
      <c r="D2" s="264"/>
      <c r="E2" s="264"/>
      <c r="F2" s="264"/>
      <c r="G2" s="264"/>
    </row>
    <row r="3" spans="1:8" x14ac:dyDescent="0.3">
      <c r="A3" t="s">
        <v>280</v>
      </c>
      <c r="B3" s="1" t="s">
        <v>261</v>
      </c>
      <c r="C3" s="31">
        <v>30</v>
      </c>
      <c r="D3" s="31">
        <v>50</v>
      </c>
      <c r="E3" s="31">
        <v>70</v>
      </c>
      <c r="F3" s="31">
        <v>90</v>
      </c>
      <c r="G3" s="31">
        <v>110</v>
      </c>
      <c r="H3" s="3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287" t="s">
        <v>305</v>
      </c>
      <c r="C1" s="287"/>
      <c r="D1" s="287"/>
    </row>
    <row r="2" spans="2:9" x14ac:dyDescent="0.3">
      <c r="B2" s="2"/>
      <c r="C2" s="287" t="s">
        <v>293</v>
      </c>
      <c r="D2" s="287"/>
    </row>
    <row r="3" spans="2:9" x14ac:dyDescent="0.3">
      <c r="B3" s="102" t="s">
        <v>292</v>
      </c>
      <c r="C3" s="84">
        <v>3</v>
      </c>
      <c r="D3" s="102">
        <v>4</v>
      </c>
      <c r="G3" s="102" t="s">
        <v>292</v>
      </c>
      <c r="H3" s="109" t="s">
        <v>306</v>
      </c>
      <c r="I3" s="22" t="s">
        <v>307</v>
      </c>
    </row>
    <row r="4" spans="2:9" x14ac:dyDescent="0.3">
      <c r="B4" s="3">
        <v>20</v>
      </c>
      <c r="C4" s="2">
        <v>90</v>
      </c>
      <c r="D4" s="3">
        <v>115</v>
      </c>
      <c r="G4" s="3">
        <v>25</v>
      </c>
      <c r="H4" s="34">
        <v>60</v>
      </c>
      <c r="I4" s="2">
        <v>0.8</v>
      </c>
    </row>
    <row r="5" spans="2:9" x14ac:dyDescent="0.3">
      <c r="B5" s="3">
        <v>25</v>
      </c>
      <c r="C5" s="2">
        <v>110</v>
      </c>
      <c r="D5" s="3">
        <v>145</v>
      </c>
      <c r="G5" s="3">
        <v>30</v>
      </c>
      <c r="H5" s="34">
        <v>60</v>
      </c>
      <c r="I5" s="2">
        <v>2.1</v>
      </c>
    </row>
    <row r="6" spans="2:9" x14ac:dyDescent="0.3">
      <c r="B6" s="3">
        <v>30</v>
      </c>
      <c r="C6" s="2">
        <v>130</v>
      </c>
      <c r="D6" s="3">
        <v>175</v>
      </c>
      <c r="G6" s="3">
        <v>35</v>
      </c>
      <c r="H6" s="34">
        <v>55</v>
      </c>
      <c r="I6" s="2">
        <v>1</v>
      </c>
    </row>
    <row r="7" spans="2:9" x14ac:dyDescent="0.3">
      <c r="B7" s="3">
        <v>35</v>
      </c>
      <c r="C7" s="2">
        <v>155</v>
      </c>
      <c r="D7" s="3">
        <v>205</v>
      </c>
      <c r="G7" s="3">
        <v>40</v>
      </c>
      <c r="H7" s="34">
        <v>70</v>
      </c>
      <c r="I7" s="2">
        <v>1.6</v>
      </c>
    </row>
    <row r="8" spans="2:9" x14ac:dyDescent="0.3">
      <c r="B8" s="3">
        <v>40</v>
      </c>
      <c r="C8" s="2">
        <v>180</v>
      </c>
      <c r="D8" s="3">
        <v>235</v>
      </c>
      <c r="G8" s="3">
        <v>45</v>
      </c>
      <c r="H8" s="34">
        <v>75</v>
      </c>
      <c r="I8" s="2">
        <v>1</v>
      </c>
    </row>
    <row r="9" spans="2:9" x14ac:dyDescent="0.3">
      <c r="B9" s="3">
        <v>45</v>
      </c>
      <c r="C9" s="2">
        <v>200</v>
      </c>
      <c r="D9" s="3">
        <v>265</v>
      </c>
      <c r="G9" s="3">
        <v>50</v>
      </c>
      <c r="H9" s="34">
        <v>75</v>
      </c>
      <c r="I9" s="2">
        <v>1</v>
      </c>
    </row>
    <row r="10" spans="2:9" x14ac:dyDescent="0.3">
      <c r="B10" s="3">
        <v>50</v>
      </c>
      <c r="D10" s="3">
        <v>265</v>
      </c>
      <c r="G10" s="3">
        <v>55</v>
      </c>
      <c r="H10" s="34">
        <v>75</v>
      </c>
      <c r="I10" s="2">
        <v>1</v>
      </c>
    </row>
    <row r="11" spans="2:9" x14ac:dyDescent="0.3">
      <c r="B11" s="3">
        <v>55</v>
      </c>
      <c r="D11" s="3">
        <v>265</v>
      </c>
    </row>
    <row r="16" spans="2:9" x14ac:dyDescent="0.3">
      <c r="B16" s="2" t="s">
        <v>309</v>
      </c>
      <c r="C16" s="270" t="s">
        <v>310</v>
      </c>
      <c r="D16" s="270"/>
      <c r="E16" s="270"/>
      <c r="F16" s="270"/>
      <c r="G16" s="270"/>
      <c r="H16" s="270"/>
      <c r="I16" s="270"/>
    </row>
    <row r="17" spans="2:9" x14ac:dyDescent="0.3">
      <c r="B17" t="s">
        <v>308</v>
      </c>
      <c r="C17" s="3">
        <v>25</v>
      </c>
      <c r="D17" s="3">
        <v>30</v>
      </c>
      <c r="E17" s="3">
        <v>35</v>
      </c>
      <c r="F17" s="3">
        <v>40</v>
      </c>
      <c r="G17" s="3">
        <v>45</v>
      </c>
      <c r="H17" s="3">
        <v>50</v>
      </c>
      <c r="I17" s="3">
        <v>55</v>
      </c>
    </row>
    <row r="18" spans="2:9" x14ac:dyDescent="0.3">
      <c r="B18" s="34">
        <v>55</v>
      </c>
      <c r="C18" s="2">
        <v>1.7</v>
      </c>
      <c r="D18" s="2">
        <v>2.1</v>
      </c>
      <c r="E18" s="2">
        <v>2.2999999999999998</v>
      </c>
      <c r="F18" s="2">
        <v>2.6</v>
      </c>
      <c r="G18" s="2">
        <v>2.7</v>
      </c>
      <c r="H18" s="2">
        <v>2.7</v>
      </c>
      <c r="I18" s="2">
        <v>2.7</v>
      </c>
    </row>
    <row r="19" spans="2:9" x14ac:dyDescent="0.3">
      <c r="B19" s="34">
        <v>60</v>
      </c>
      <c r="C19" s="2">
        <v>1.5</v>
      </c>
      <c r="D19" s="2">
        <v>2</v>
      </c>
      <c r="E19" s="2">
        <v>2.2000000000000002</v>
      </c>
      <c r="F19" s="2">
        <v>2.5</v>
      </c>
      <c r="G19" s="2">
        <v>2.6</v>
      </c>
      <c r="H19" s="2">
        <v>2.6</v>
      </c>
      <c r="I19" s="2">
        <v>2.6</v>
      </c>
    </row>
    <row r="20" spans="2:9" x14ac:dyDescent="0.3">
      <c r="B20" s="34">
        <v>65</v>
      </c>
      <c r="C20" s="2">
        <v>1.4</v>
      </c>
      <c r="D20" s="2">
        <v>1.8</v>
      </c>
      <c r="E20" s="2">
        <v>2.1</v>
      </c>
      <c r="F20" s="2">
        <v>2.4</v>
      </c>
      <c r="G20" s="2">
        <v>2.5</v>
      </c>
      <c r="H20" s="2">
        <v>2.5</v>
      </c>
      <c r="I20" s="2">
        <v>2.5</v>
      </c>
    </row>
    <row r="21" spans="2:9" x14ac:dyDescent="0.3">
      <c r="B21" s="34">
        <v>70</v>
      </c>
      <c r="C21" s="2">
        <v>1.2</v>
      </c>
      <c r="D21" s="2">
        <v>1.7</v>
      </c>
      <c r="E21" s="2">
        <v>2</v>
      </c>
      <c r="F21" s="2">
        <v>2.2999999999999998</v>
      </c>
      <c r="G21" s="2">
        <v>2.4</v>
      </c>
      <c r="H21" s="2">
        <v>2.4</v>
      </c>
      <c r="I21" s="2">
        <v>2.4</v>
      </c>
    </row>
    <row r="22" spans="2:9" x14ac:dyDescent="0.3">
      <c r="B22" s="34">
        <v>75</v>
      </c>
      <c r="C22" s="2">
        <v>1.1000000000000001</v>
      </c>
      <c r="D22" s="2">
        <v>1.6</v>
      </c>
      <c r="E22" s="2">
        <v>1.9</v>
      </c>
      <c r="F22" s="2">
        <v>2.2000000000000002</v>
      </c>
      <c r="G22" s="2">
        <v>2.4</v>
      </c>
      <c r="H22" s="2">
        <v>2.4</v>
      </c>
      <c r="I22" s="2">
        <v>2.4</v>
      </c>
    </row>
    <row r="25" spans="2:9" x14ac:dyDescent="0.3">
      <c r="B25" s="2" t="s">
        <v>313</v>
      </c>
      <c r="C25" s="270" t="s">
        <v>314</v>
      </c>
      <c r="D25" s="270"/>
      <c r="E25" s="270"/>
      <c r="F25" s="270"/>
      <c r="G25" s="270"/>
      <c r="H25" s="270"/>
      <c r="I25" s="270"/>
    </row>
    <row r="26" spans="2:9" x14ac:dyDescent="0.3">
      <c r="B26" t="s">
        <v>308</v>
      </c>
      <c r="C26" s="3">
        <v>25</v>
      </c>
      <c r="D26" s="3">
        <v>30</v>
      </c>
      <c r="E26" s="3">
        <v>35</v>
      </c>
      <c r="F26" s="3">
        <v>40</v>
      </c>
      <c r="G26" s="3">
        <v>45</v>
      </c>
      <c r="H26" s="3">
        <v>50</v>
      </c>
      <c r="I26" s="3">
        <v>55</v>
      </c>
    </row>
    <row r="27" spans="2:9" x14ac:dyDescent="0.3">
      <c r="B27" s="34">
        <v>55</v>
      </c>
      <c r="C27" s="2">
        <v>0</v>
      </c>
      <c r="D27" s="2">
        <v>0.1</v>
      </c>
      <c r="E27" s="2">
        <v>0.3</v>
      </c>
      <c r="F27" s="2">
        <v>0.6</v>
      </c>
      <c r="G27" s="2">
        <v>0.7</v>
      </c>
      <c r="H27" s="2">
        <v>0.7</v>
      </c>
      <c r="I27" s="2">
        <v>0.7</v>
      </c>
    </row>
    <row r="28" spans="2:9" x14ac:dyDescent="0.3">
      <c r="B28" s="34">
        <v>60</v>
      </c>
      <c r="C28" s="2">
        <v>0</v>
      </c>
      <c r="D28" s="2">
        <v>0</v>
      </c>
      <c r="E28" s="2">
        <v>0.2</v>
      </c>
      <c r="F28" s="2">
        <v>0.5</v>
      </c>
      <c r="G28" s="2">
        <v>0.6</v>
      </c>
      <c r="H28" s="2">
        <v>0.6</v>
      </c>
      <c r="I28" s="2">
        <v>0.6</v>
      </c>
    </row>
    <row r="29" spans="2:9" x14ac:dyDescent="0.3">
      <c r="B29" s="34">
        <v>65</v>
      </c>
      <c r="C29" s="2">
        <v>0</v>
      </c>
      <c r="D29" s="2">
        <v>0</v>
      </c>
      <c r="E29" s="2">
        <v>0.1</v>
      </c>
      <c r="F29" s="2">
        <v>0.4</v>
      </c>
      <c r="G29" s="2">
        <v>0.5</v>
      </c>
      <c r="H29" s="2">
        <v>0.5</v>
      </c>
      <c r="I29" s="2">
        <v>0.5</v>
      </c>
    </row>
    <row r="30" spans="2:9" x14ac:dyDescent="0.3">
      <c r="B30" s="34">
        <v>70</v>
      </c>
      <c r="C30" s="2">
        <v>0</v>
      </c>
      <c r="D30" s="2">
        <v>0</v>
      </c>
      <c r="E30" s="2">
        <v>0</v>
      </c>
      <c r="F30" s="2">
        <v>0.3</v>
      </c>
      <c r="G30" s="2">
        <v>0.3</v>
      </c>
      <c r="H30" s="2">
        <v>0.3</v>
      </c>
      <c r="I30" s="2">
        <v>0.3</v>
      </c>
    </row>
    <row r="31" spans="2:9" x14ac:dyDescent="0.3">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Xiangyong Luo</cp:lastModifiedBy>
  <dcterms:created xsi:type="dcterms:W3CDTF">2012-08-31T17:18:51Z</dcterms:created>
  <dcterms:modified xsi:type="dcterms:W3CDTF">2026-06-01T03:43:45Z</dcterms:modified>
</cp:coreProperties>
</file>