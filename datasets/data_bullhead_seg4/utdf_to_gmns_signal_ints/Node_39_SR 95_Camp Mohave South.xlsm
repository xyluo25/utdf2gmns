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4D03B7C4-17B0-4FC9-AE80-D1226B793FAB}"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l="1"/>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s="1"/>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H56" i="1"/>
  <c r="AE45" i="4" l="1"/>
  <c r="F24" i="4"/>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BM10" i="4"/>
  <c r="BP3" i="4"/>
  <c r="BQ3" i="4" s="1"/>
  <c r="BR3" i="4" s="1"/>
  <c r="BS3" i="4" s="1"/>
  <c r="BT3" i="4" s="1"/>
  <c r="BU3" i="4" s="1"/>
  <c r="BV3" i="4" s="1"/>
  <c r="BW3" i="4" s="1"/>
  <c r="AY44" i="4"/>
  <c r="BB44" i="4"/>
  <c r="AX44" i="4"/>
  <c r="BA44" i="4"/>
  <c r="AR40" i="4" l="1"/>
  <c r="AS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B58" i="4"/>
  <c r="AC58" i="4"/>
  <c r="AJ56" i="4" l="1"/>
  <c r="U61" i="4" s="1"/>
  <c r="AD61" i="4" s="1"/>
  <c r="AG56" i="4"/>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B29" i="7"/>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F8" i="9"/>
  <c r="F7" i="9"/>
  <c r="F67" i="4"/>
  <c r="S24" i="1"/>
  <c r="P68" i="2"/>
  <c r="I43" i="1"/>
  <c r="N68" i="2"/>
  <c r="G43" i="1"/>
  <c r="M68" i="2"/>
  <c r="F43" i="1"/>
  <c r="G58" i="9"/>
  <c r="G59" i="9"/>
  <c r="Z37" i="9" s="1"/>
  <c r="K58" i="9"/>
  <c r="K59" i="9"/>
  <c r="Z33" i="9" s="1"/>
  <c r="J43" i="1"/>
  <c r="Q68" i="2"/>
  <c r="E19" i="9"/>
  <c r="G60" i="1"/>
  <c r="F71" i="4"/>
  <c r="D14" i="4"/>
  <c r="O25" i="1" s="1"/>
  <c r="O24" i="1"/>
  <c r="E24" i="1"/>
  <c r="J14" i="4"/>
  <c r="E25" i="1" s="1"/>
  <c r="D7" i="9"/>
  <c r="I62" i="4"/>
  <c r="I19" i="9"/>
  <c r="J7" i="9" l="1"/>
  <c r="L62" i="4"/>
  <c r="M107" i="4"/>
  <c r="M108" i="4" s="1"/>
  <c r="M109" i="4" s="1"/>
  <c r="M111" i="4" s="1"/>
  <c r="M126" i="4" s="1"/>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I35" i="4"/>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I73" i="4" l="1"/>
  <c r="I77" i="4" s="1"/>
  <c r="I103" i="4" s="1"/>
  <c r="I60" i="4" s="1"/>
  <c r="H56" i="9"/>
  <c r="H37" i="9"/>
  <c r="G50" i="1" s="1"/>
  <c r="I36" i="4"/>
  <c r="I63" i="4" s="1"/>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I96" i="4"/>
  <c r="I58" i="4" s="1"/>
  <c r="I64" i="4"/>
  <c r="H21" i="9"/>
  <c r="H58" i="9"/>
  <c r="Y36" i="9"/>
  <c r="AE36" i="9" s="1"/>
  <c r="L64" i="4"/>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X36" i="9" l="1"/>
  <c r="AD36" i="9" s="1"/>
  <c r="AF36" i="9" s="1"/>
  <c r="H63" i="9"/>
  <c r="H64" i="9" s="1"/>
  <c r="H65" i="9" s="1"/>
  <c r="I62" i="9" s="1"/>
  <c r="G45" i="1"/>
  <c r="G44" i="1" s="1"/>
  <c r="B20" i="21"/>
  <c r="H24" i="9"/>
  <c r="H22" i="9"/>
  <c r="H49" i="9" s="1"/>
  <c r="G62" i="1" s="1"/>
  <c r="H48" i="9"/>
  <c r="G61" i="1" s="1"/>
  <c r="I68" i="4"/>
  <c r="I54" i="4" s="1"/>
  <c r="D39" i="1" s="1"/>
  <c r="I37" i="4"/>
  <c r="H59" i="9"/>
  <c r="Z36" i="9" s="1"/>
  <c r="AA36" i="9"/>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H25" i="9" l="1"/>
  <c r="H52" i="9" s="1"/>
  <c r="G65" i="1" s="1"/>
  <c r="H51" i="9"/>
  <c r="G64" i="1" s="1"/>
  <c r="C30" i="21"/>
  <c r="C20" i="21"/>
  <c r="D20" i="21" s="1"/>
  <c r="I63" i="9"/>
  <c r="I64" i="9" s="1"/>
  <c r="I65" i="9" s="1"/>
  <c r="J62" i="9" s="1"/>
  <c r="AC35" i="9"/>
  <c r="AF35"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4" i="9" l="1"/>
  <c r="AF34" i="9" s="1"/>
  <c r="J63" i="9"/>
  <c r="J64" i="9" s="1"/>
  <c r="J65" i="9" s="1"/>
  <c r="K62" i="9" s="1"/>
  <c r="J30" i="21"/>
  <c r="F30" i="21"/>
  <c r="A30" i="21"/>
  <c r="E30" i="21"/>
  <c r="G30" i="21"/>
  <c r="D30"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K63" i="9" l="1"/>
  <c r="K64" i="9" s="1"/>
  <c r="K65" i="9" s="1"/>
  <c r="AC33" i="9"/>
  <c r="AF33"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F41" i="4"/>
  <c r="H45" i="4"/>
  <c r="H125" i="4"/>
  <c r="H124" i="4"/>
  <c r="U20" i="1"/>
  <c r="P55" i="7"/>
  <c r="J45" i="4"/>
  <c r="E20" i="1"/>
  <c r="J124" i="4"/>
  <c r="J145" i="4"/>
  <c r="L87" i="7"/>
  <c r="J125" i="4"/>
  <c r="K44" i="4"/>
  <c r="J21" i="1" l="1"/>
  <c r="J61" i="7"/>
  <c r="G85" i="7"/>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l="1"/>
  <c r="G87" i="7"/>
  <c r="C45" i="4"/>
  <c r="G66" i="7" s="1"/>
  <c r="N20" i="1"/>
  <c r="C124" i="4"/>
  <c r="T84" i="4"/>
  <c r="O48" i="7" s="1"/>
  <c r="I46" i="4"/>
  <c r="O56" i="7" s="1"/>
  <c r="M97" i="7"/>
  <c r="J97" i="7"/>
  <c r="D20" i="1"/>
  <c r="I124" i="4"/>
  <c r="K87" i="7"/>
  <c r="H97" i="7" s="1"/>
  <c r="I45" i="4"/>
  <c r="I74" i="7" s="1"/>
  <c r="I125" i="4"/>
  <c r="C49" i="4"/>
  <c r="C50" i="4" s="1"/>
  <c r="F46" i="4"/>
  <c r="F125" i="4"/>
  <c r="I87" i="7"/>
  <c r="F124" i="4"/>
  <c r="S20" i="1"/>
  <c r="F45" i="4"/>
  <c r="L49" i="7"/>
  <c r="C47" i="4"/>
  <c r="F68" i="7" s="1"/>
  <c r="K97" i="7" l="1"/>
  <c r="N21" i="1"/>
  <c r="G88" i="7"/>
  <c r="U84" i="4"/>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<sst xmlns="http://schemas.openxmlformats.org/spreadsheetml/2006/main" count="4086" uniqueCount="744">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</sst>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Camp Mohave South</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3">
      <c r="A17" s="82" t="s">
        <v>148</v>
      </c>
      <c r="B17" s="82">
        <v>1</v>
      </c>
      <c r="D17" s="82">
        <f>'Phase calculation'!I38</f>
        <v>5</v>
      </c>
      <c r="E17" s="82">
        <f>'Phase calculation'!J38</f>
        <v>32</v>
      </c>
      <c r="F17" s="82">
        <f>'Phase calculation'!K38</f>
        <v>32</v>
      </c>
      <c r="I17" s="82">
        <f>'Phase calculation'!L38</f>
        <v>23</v>
      </c>
      <c r="J17" s="82">
        <f>'Phase calculation'!M38</f>
        <v>23</v>
      </c>
      <c r="K17" s="82">
        <f>'Phase calculation'!N38</f>
        <v>23</v>
      </c>
      <c r="N17" s="82">
        <f>'Phase calculation'!C38</f>
        <v>5</v>
      </c>
      <c r="O17" s="82">
        <f>'Phase calculation'!D38</f>
        <v>40</v>
      </c>
      <c r="P17" s="82">
        <f>'Phase calculation'!E38</f>
        <v>40</v>
      </c>
      <c r="S17" s="82">
        <f>'Phase calculation'!F38</f>
        <v>31</v>
      </c>
      <c r="T17" s="82">
        <f>'Phase calculation'!G38</f>
        <v>31</v>
      </c>
      <c r="U17" s="82">
        <f>'Phase calculation'!H38</f>
        <v>31</v>
      </c>
    </row>
    <row r="18" spans="1:21" s="1" customFormat="1" x14ac:dyDescent="0.3">
      <c r="A18" s="1" t="s">
        <v>149</v>
      </c>
      <c r="B18" s="1">
        <v>1</v>
      </c>
      <c r="D18" s="1" t="e">
        <f>'Phase calculation'!I41</f>
        <v>#N/A</v>
      </c>
      <c r="E18" s="1">
        <f>'Phase calculation'!J41</f>
        <v>122400</v>
      </c>
      <c r="F18" s="1">
        <f>'Phase calculation'!K41</f>
        <v>1530000</v>
      </c>
      <c r="I18" s="1" t="e">
        <f>'Phase calculation'!L41</f>
        <v>#N/A</v>
      </c>
      <c r="J18" s="1">
        <f>'Phase calculation'!M41</f>
        <v>87975</v>
      </c>
      <c r="K18" s="1">
        <f>'Phase calculation'!N41</f>
        <v>175950</v>
      </c>
      <c r="N18" s="1" t="e">
        <f>'Phase calculation'!C41</f>
        <v>#N/A</v>
      </c>
      <c r="O18" s="1">
        <f>'Phase calculation'!D41</f>
        <v>76500</v>
      </c>
      <c r="P18" s="1">
        <f>'Phase calculation'!E41</f>
        <v>0</v>
      </c>
      <c r="S18" s="1" t="e">
        <f>'Phase calculation'!F41</f>
        <v>#N/A</v>
      </c>
      <c r="T18" s="1">
        <f>'Phase calculation'!G41</f>
        <v>59288</v>
      </c>
      <c r="U18" s="1">
        <f>'Phase calculation'!H41</f>
        <v>0</v>
      </c>
    </row>
    <row r="19" spans="1:21" s="120" customFormat="1" x14ac:dyDescent="0.3">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3">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3">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3">
      <c r="A22" t="s">
        <v>48</v>
      </c>
      <c r="B22">
        <v>1</v>
      </c>
      <c r="D22">
        <f>'Input sheet'!$V$3</f>
        <v>1220.9000000000001</v>
      </c>
      <c r="E22">
        <f>'Input sheet'!$V$3</f>
        <v>1220.9000000000001</v>
      </c>
      <c r="F22">
        <f>'Input sheet'!$V$3</f>
        <v>1220.9000000000001</v>
      </c>
      <c r="I22">
        <f>'Input sheet'!$V$3</f>
        <v>1220.9000000000001</v>
      </c>
      <c r="J22">
        <f>'Input sheet'!$V$3</f>
        <v>1220.9000000000001</v>
      </c>
      <c r="K22">
        <f>'Input sheet'!$V$3</f>
        <v>1220.9000000000001</v>
      </c>
      <c r="N22">
        <f>'Input sheet'!$V$3</f>
        <v>1220.9000000000001</v>
      </c>
      <c r="O22">
        <f>'Input sheet'!$V$3</f>
        <v>1220.9000000000001</v>
      </c>
      <c r="P22">
        <f>'Input sheet'!$V$3</f>
        <v>1220.9000000000001</v>
      </c>
      <c r="S22">
        <f>'Input sheet'!$V$3</f>
        <v>1220.9000000000001</v>
      </c>
      <c r="T22">
        <f>'Input sheet'!$V$3</f>
        <v>1220.9000000000001</v>
      </c>
      <c r="U22">
        <f>'Input sheet'!$V$3</f>
        <v>1220.9000000000001</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153000</v>
      </c>
      <c r="P24" s="1">
        <f>'Phase calculation'!E11</f>
        <v>0</v>
      </c>
      <c r="S24" s="1">
        <f>'Phase calculation'!F11</f>
        <v>0</v>
      </c>
      <c r="T24" s="1">
        <f>'Phase calculation'!G11</f>
        <v>153000</v>
      </c>
      <c r="U24" s="1">
        <f>'Phase calculation'!H11</f>
        <v>0</v>
      </c>
    </row>
    <row r="25" spans="1:21" s="1" customFormat="1" x14ac:dyDescent="0.3">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153000</v>
      </c>
      <c r="P25" s="1">
        <f>'Phase calculation'!E14</f>
        <v>0</v>
      </c>
      <c r="S25" s="1">
        <f>'Phase calculation'!F14</f>
        <v>1439</v>
      </c>
      <c r="T25" s="1">
        <f>'Phase calculation'!G14</f>
        <v>153000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9</v>
      </c>
      <c r="E35" s="36">
        <f>IF(D70=0,0,INDEX($C$59:$J$59,D70))</f>
        <v>0</v>
      </c>
      <c r="F35" s="36">
        <f>E35</f>
        <v>0</v>
      </c>
      <c r="G35" s="36"/>
      <c r="H35" s="36"/>
      <c r="I35" s="36">
        <f>IF(E70=0,0,INDEX($C$59:$J$59,E70))</f>
        <v>45</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45</v>
      </c>
      <c r="U35" s="36">
        <f>T35</f>
        <v>45</v>
      </c>
      <c r="V35" s="36"/>
    </row>
    <row r="36" spans="1:31" x14ac:dyDescent="0.3">
      <c r="A36" s="28" t="s">
        <v>458</v>
      </c>
      <c r="B36" s="28">
        <v>1</v>
      </c>
      <c r="C36" s="28"/>
      <c r="D36" s="28">
        <f>IF(C70=0,0,INDEX($C$60:$J$60,C70))</f>
        <v>36</v>
      </c>
      <c r="E36" s="28">
        <f>IF(D70=0,0,INDEX($C$60:$J$60,D70))</f>
        <v>36</v>
      </c>
      <c r="F36" s="28">
        <f>E36</f>
        <v>36</v>
      </c>
      <c r="G36" s="28"/>
      <c r="H36" s="28"/>
      <c r="I36" s="28">
        <f>IF(E70=0,0,INDEX($C$60:$J$60,E70))</f>
        <v>80</v>
      </c>
      <c r="J36" s="28">
        <f>IF(F70=0,0,INDEX($C$60:$J$60,F70))</f>
        <v>80</v>
      </c>
      <c r="K36" s="28">
        <f>J36</f>
        <v>80</v>
      </c>
      <c r="L36" s="28"/>
      <c r="M36" s="28"/>
      <c r="N36" s="28">
        <f>IF(G70=0,0,INDEX($C$60:$J$60,G70))</f>
        <v>9</v>
      </c>
      <c r="O36" s="28">
        <f>IF(H70=0,0,INDEX($C$60:$J$60,H70))</f>
        <v>36</v>
      </c>
      <c r="P36" s="28">
        <f>O36</f>
        <v>36</v>
      </c>
      <c r="Q36" s="28"/>
      <c r="R36" s="28"/>
      <c r="S36" s="28">
        <f>IF(I70=0,0,INDEX($C$60:$J$60,I70))</f>
        <v>45</v>
      </c>
      <c r="T36" s="28">
        <f>IF(J70=0,0,INDEX($C$60:$J$60,J70))</f>
        <v>80</v>
      </c>
      <c r="U36" s="28">
        <f>T36</f>
        <v>80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t="str">
        <f>'Input sheet'!A13</f>
        <v>Camp Mohave South</v>
      </c>
      <c r="T38" s="81" t="str">
        <f>'Input sheet'!R13</f>
        <v>Camp Mohave South</v>
      </c>
    </row>
    <row r="39" spans="1:31" s="82" customFormat="1" x14ac:dyDescent="0.3">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153000</v>
      </c>
      <c r="P39" s="82">
        <f>'Phase calculation'!E54</f>
        <v>0</v>
      </c>
      <c r="S39" s="82">
        <f>'Phase calculation'!F54</f>
        <v>1439</v>
      </c>
      <c r="T39" s="82">
        <f>'Phase calculation'!G54</f>
        <v>153000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0</v>
      </c>
      <c r="C41" s="36">
        <f>'Phase calculation'!D83</f>
        <v>36</v>
      </c>
      <c r="D41" s="36">
        <f>'Phase calculation'!E83</f>
        <v>0</v>
      </c>
      <c r="E41" s="36">
        <f>'Phase calculation'!F83</f>
        <v>44</v>
      </c>
      <c r="F41" s="36">
        <f>'Phase calculation'!C84</f>
        <v>9</v>
      </c>
      <c r="G41" s="36">
        <f>'Phase calculation'!D84</f>
        <v>27</v>
      </c>
      <c r="H41" s="36">
        <f>'Phase calculation'!E84</f>
        <v>9</v>
      </c>
      <c r="I41" s="36">
        <f>'Phase calculation'!F84</f>
        <v>35</v>
      </c>
      <c r="J41" s="36">
        <f>IF(SUM(B41:I41)=0,0,'Phase calculation'!C25)</f>
        <v>80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Camp Mohave South</v>
      </c>
      <c r="C43" s="2">
        <f>Phasing!D30</f>
        <v>0</v>
      </c>
      <c r="D43" s="2">
        <f>Phasing!E30</f>
        <v>112</v>
      </c>
      <c r="E43" s="2">
        <f>Phasing!F30</f>
        <v>0</v>
      </c>
      <c r="F43" s="2">
        <f>Phasing!G30</f>
        <v>211</v>
      </c>
      <c r="G43" s="2">
        <f>Phasing!H30</f>
        <v>121</v>
      </c>
      <c r="H43" s="2">
        <f>Phasing!I30</f>
        <v>122</v>
      </c>
      <c r="I43" s="2">
        <f>Phasing!J30</f>
        <v>221</v>
      </c>
      <c r="J43" s="2">
        <f>Phasing!K30</f>
        <v>222</v>
      </c>
      <c r="O43" s="263" t="s">
        <v>203</v>
      </c>
      <c r="P43" s="263"/>
      <c r="Q43" s="263"/>
      <c r="R43" s="263"/>
      <c r="S43" s="263"/>
      <c r="T43" s="263"/>
      <c r="U43" s="263"/>
      <c r="V43" s="263"/>
    </row>
    <row r="44" spans="1:31" x14ac:dyDescent="0.3">
      <c r="A44" s="2" t="s">
        <v>255</v>
      </c>
      <c r="B44" t="str">
        <f>Phasing!C31</f>
        <v>SR 95 &amp; Camp Mohave South</v>
      </c>
      <c r="C44" s="2">
        <f>C45</f>
        <v>0</v>
      </c>
      <c r="D44" s="2">
        <f t="shared" ref="D44:J44" si="0">D45</f>
        <v>29.400000000000002</v>
      </c>
      <c r="E44" s="2">
        <f t="shared" si="0"/>
        <v>0</v>
      </c>
      <c r="F44" s="2">
        <f t="shared" si="0"/>
        <v>37.800000000000004</v>
      </c>
      <c r="G44" s="2">
        <f t="shared" si="0"/>
        <v>5</v>
      </c>
      <c r="H44" s="2">
        <f t="shared" si="0"/>
        <v>20.400000000000002</v>
      </c>
      <c r="I44" s="2">
        <f t="shared" si="0"/>
        <v>5</v>
      </c>
      <c r="J44" s="2">
        <f t="shared" si="0"/>
        <v>28.8</v>
      </c>
      <c r="O44" s="269" t="s">
        <v>201</v>
      </c>
      <c r="P44" s="269"/>
      <c r="Q44" s="269"/>
      <c r="R44" s="269"/>
      <c r="S44" s="269"/>
      <c r="T44" s="269"/>
      <c r="U44" s="269"/>
      <c r="V44" s="269"/>
      <c r="X44" s="270" t="s">
        <v>239</v>
      </c>
      <c r="Y44" s="270"/>
      <c r="Z44" s="270"/>
      <c r="AA44" s="270"/>
      <c r="AB44" s="270"/>
      <c r="AC44" s="270"/>
      <c r="AD44" s="270"/>
      <c r="AE44" s="270"/>
    </row>
    <row r="45" spans="1:31" ht="15" customHeight="1" x14ac:dyDescent="0.3">
      <c r="A45" s="2" t="s">
        <v>256</v>
      </c>
      <c r="B45" t="str">
        <f>Phasing!C32</f>
        <v>SR 95 &amp; Camp Mohave South</v>
      </c>
      <c r="C45" s="2">
        <f>Phasing!D58</f>
        <v>0</v>
      </c>
      <c r="D45" s="2">
        <f>Phasing!E58</f>
        <v>29.400000000000002</v>
      </c>
      <c r="E45" s="2">
        <f>Phasing!F58</f>
        <v>0</v>
      </c>
      <c r="F45" s="2">
        <f>Phasing!G58</f>
        <v>37.800000000000004</v>
      </c>
      <c r="G45" s="2">
        <f>Phasing!H58</f>
        <v>5</v>
      </c>
      <c r="H45" s="2">
        <f>Phasing!I58</f>
        <v>20.400000000000002</v>
      </c>
      <c r="I45" s="2">
        <f>Phasing!J58</f>
        <v>5</v>
      </c>
      <c r="J45" s="2">
        <f>Phasing!K58</f>
        <v>28.8</v>
      </c>
      <c r="O45" s="46" t="s">
        <v>202</v>
      </c>
      <c r="P45" s="46"/>
      <c r="Q45" s="46"/>
      <c r="R45" s="46"/>
      <c r="S45" s="46"/>
      <c r="T45" s="46"/>
      <c r="U45" s="46"/>
      <c r="V45" s="46"/>
      <c r="X45" s="270"/>
      <c r="Y45" s="270"/>
      <c r="Z45" s="270"/>
      <c r="AA45" s="270"/>
      <c r="AB45" s="270"/>
      <c r="AC45" s="270"/>
      <c r="AD45" s="270"/>
      <c r="AE45" s="270"/>
    </row>
    <row r="46" spans="1:31" x14ac:dyDescent="0.3">
      <c r="A46" s="2" t="s">
        <v>257</v>
      </c>
      <c r="B46" t="str">
        <f>Phasing!C33</f>
        <v>SR 95 &amp; Camp Mohave South</v>
      </c>
      <c r="C46" s="2">
        <f>Phasing!D33</f>
        <v>0</v>
      </c>
      <c r="D46" s="2" t="e">
        <f>Phasing!E33</f>
        <v>#N/A</v>
      </c>
      <c r="E46" s="2">
        <f>Phasing!F33</f>
        <v>0</v>
      </c>
      <c r="F46" s="2" t="e">
        <f>Phasing!G33</f>
        <v>#N/A</v>
      </c>
      <c r="G46" s="2" t="e">
        <f>Phasing!H33</f>
        <v>#N/A</v>
      </c>
      <c r="H46" s="2" t="e">
        <f>Phasing!I33</f>
        <v>#N/A</v>
      </c>
      <c r="I46" s="2" t="e">
        <f>Phasing!J33</f>
        <v>#N/A</v>
      </c>
      <c r="J46" s="2" t="e">
        <f>Phasing!K33</f>
        <v>#N/A</v>
      </c>
      <c r="X46" s="270"/>
      <c r="Y46" s="270"/>
      <c r="Z46" s="270"/>
      <c r="AA46" s="270"/>
      <c r="AB46" s="270"/>
      <c r="AC46" s="270"/>
      <c r="AD46" s="270"/>
      <c r="AE46" s="270"/>
    </row>
    <row r="47" spans="1:31" ht="15" customHeight="1" x14ac:dyDescent="0.3">
      <c r="A47" s="2" t="s">
        <v>258</v>
      </c>
      <c r="B47" t="str">
        <f>Phasing!C34</f>
        <v>SR 95 &amp; Camp Mohave South</v>
      </c>
      <c r="C47" s="2">
        <f>Phasing!D34</f>
        <v>0</v>
      </c>
      <c r="D47" s="2">
        <f>Phasing!E34</f>
        <v>10</v>
      </c>
      <c r="E47" s="2">
        <f>Phasing!F34</f>
        <v>0</v>
      </c>
      <c r="F47" s="2">
        <f>Phasing!G34</f>
        <v>10</v>
      </c>
      <c r="G47" s="2">
        <f>Phasing!H34</f>
        <v>10</v>
      </c>
      <c r="H47" s="2">
        <f>Phasing!I34</f>
        <v>10</v>
      </c>
      <c r="I47" s="2">
        <f>Phasing!J34</f>
        <v>10</v>
      </c>
      <c r="J47" s="2">
        <f>Phasing!K34</f>
        <v>10</v>
      </c>
      <c r="O47" s="271" t="s">
        <v>222</v>
      </c>
      <c r="P47" s="271"/>
      <c r="Q47" s="271"/>
      <c r="R47" s="271"/>
      <c r="S47" s="271"/>
      <c r="T47" s="271"/>
      <c r="U47" s="271"/>
      <c r="V47" s="271"/>
      <c r="X47" s="270"/>
      <c r="Y47" s="270"/>
      <c r="Z47" s="270"/>
      <c r="AA47" s="270"/>
      <c r="AB47" s="270"/>
      <c r="AC47" s="270"/>
      <c r="AD47" s="270"/>
      <c r="AE47" s="270"/>
    </row>
    <row r="48" spans="1:31" x14ac:dyDescent="0.3">
      <c r="A48" s="2" t="s">
        <v>259</v>
      </c>
      <c r="B48" t="str">
        <f>Phasing!C35</f>
        <v>SR 95 &amp; Camp Mohave South</v>
      </c>
      <c r="C48" s="2">
        <f>Phasing!D35</f>
        <v>0</v>
      </c>
      <c r="D48" s="2">
        <f>Phasing!E35</f>
        <v>8</v>
      </c>
      <c r="E48" s="2">
        <f>Phasing!F35</f>
        <v>0</v>
      </c>
      <c r="F48" s="2">
        <f>Phasing!G35</f>
        <v>13</v>
      </c>
      <c r="G48" s="2">
        <f>Phasing!H35</f>
        <v>15</v>
      </c>
      <c r="H48" s="2">
        <f>Phasing!I35</f>
        <v>18</v>
      </c>
      <c r="I48" s="2">
        <f>Phasing!J35</f>
        <v>20</v>
      </c>
      <c r="J48" s="2">
        <f>Phasing!K35</f>
        <v>23</v>
      </c>
      <c r="O48" s="271"/>
      <c r="P48" s="271"/>
      <c r="Q48" s="271"/>
      <c r="R48" s="271"/>
      <c r="S48" s="271"/>
      <c r="T48" s="271"/>
      <c r="U48" s="271"/>
      <c r="V48" s="271"/>
      <c r="X48" s="270"/>
      <c r="Y48" s="270"/>
      <c r="Z48" s="270"/>
      <c r="AA48" s="270"/>
      <c r="AB48" s="270"/>
      <c r="AC48" s="270"/>
      <c r="AD48" s="270"/>
      <c r="AE48" s="270"/>
    </row>
    <row r="49" spans="1:22" x14ac:dyDescent="0.3">
      <c r="A49" s="2" t="s">
        <v>260</v>
      </c>
      <c r="B49" t="str">
        <f>Phasing!C36</f>
        <v>SR 95 &amp; Camp Mohave South</v>
      </c>
      <c r="C49" s="2">
        <f>Phasing!D36</f>
        <v>0</v>
      </c>
      <c r="D49" s="2" t="e">
        <f>Phasing!E36</f>
        <v>#N/A</v>
      </c>
      <c r="E49" s="2">
        <f>Phasing!F36</f>
        <v>0</v>
      </c>
      <c r="F49" s="2" t="e">
        <f>Phasing!G36</f>
        <v>#N/A</v>
      </c>
      <c r="G49" s="2" t="e">
        <f>Phasing!H36</f>
        <v>#N/A</v>
      </c>
      <c r="H49" s="2" t="e">
        <f>Phasing!I36</f>
        <v>#N/A</v>
      </c>
      <c r="I49" s="2" t="e">
        <f>Phasing!J36</f>
        <v>#N/A</v>
      </c>
      <c r="J49" s="2" t="e">
        <f>Phasing!K36</f>
        <v>#N/A</v>
      </c>
      <c r="O49" s="271"/>
      <c r="P49" s="271"/>
      <c r="Q49" s="271"/>
      <c r="R49" s="271"/>
      <c r="S49" s="271"/>
      <c r="T49" s="271"/>
      <c r="U49" s="271"/>
      <c r="V49" s="271"/>
    </row>
    <row r="50" spans="1:22" x14ac:dyDescent="0.3">
      <c r="A50" s="2" t="s">
        <v>261</v>
      </c>
      <c r="B50" t="str">
        <f>Phasing!C37</f>
        <v>SR 95 &amp; Camp Mohave South</v>
      </c>
      <c r="C50" s="2">
        <f>Phasing!D37</f>
        <v>0</v>
      </c>
      <c r="D50" s="2">
        <f>Phasing!E37</f>
        <v>5.4</v>
      </c>
      <c r="E50" s="2">
        <f>Phasing!F37</f>
        <v>0</v>
      </c>
      <c r="F50" s="2">
        <f>Phasing!G37</f>
        <v>5.4</v>
      </c>
      <c r="G50" s="2">
        <f>Phasing!H37</f>
        <v>3</v>
      </c>
      <c r="H50" s="2">
        <f>Phasing!I37</f>
        <v>5.4</v>
      </c>
      <c r="I50" s="2">
        <f>Phasing!J37</f>
        <v>3</v>
      </c>
      <c r="J50" s="2">
        <f>Phasing!K37</f>
        <v>5.4</v>
      </c>
      <c r="O50" s="271"/>
      <c r="P50" s="271"/>
      <c r="Q50" s="271"/>
      <c r="R50" s="271"/>
      <c r="S50" s="271"/>
      <c r="T50" s="271"/>
      <c r="U50" s="271"/>
      <c r="V50" s="271"/>
    </row>
    <row r="51" spans="1:22" x14ac:dyDescent="0.3">
      <c r="A51" s="2" t="s">
        <v>262</v>
      </c>
      <c r="B51" t="str">
        <f>Phasing!C38</f>
        <v>SR 95 &amp; Camp Mohave South</v>
      </c>
      <c r="C51" s="2">
        <f>Phasing!D38</f>
        <v>0</v>
      </c>
      <c r="D51" s="2">
        <f>Phasing!E38</f>
        <v>1.2</v>
      </c>
      <c r="E51" s="2">
        <f>Phasing!F38</f>
        <v>0</v>
      </c>
      <c r="F51" s="2">
        <f>Phasing!G38</f>
        <v>0.8</v>
      </c>
      <c r="G51" s="2">
        <f>Phasing!H38</f>
        <v>1</v>
      </c>
      <c r="H51" s="2">
        <f>Phasing!I38</f>
        <v>1.2</v>
      </c>
      <c r="I51" s="2">
        <f>Phasing!J38</f>
        <v>1</v>
      </c>
      <c r="J51" s="2">
        <f>Phasing!K38</f>
        <v>0.8</v>
      </c>
      <c r="O51" s="271"/>
      <c r="P51" s="271"/>
      <c r="Q51" s="271"/>
      <c r="R51" s="271"/>
      <c r="S51" s="271"/>
      <c r="T51" s="271"/>
      <c r="U51" s="271"/>
      <c r="V51" s="271"/>
    </row>
    <row r="52" spans="1:22" x14ac:dyDescent="0.3">
      <c r="A52" s="2" t="s">
        <v>263</v>
      </c>
      <c r="B52" t="str">
        <f>Phasing!C39</f>
        <v>SR 95 &amp; Camp Mohave South</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3">
      <c r="A53" s="2" t="s">
        <v>264</v>
      </c>
      <c r="B53" t="str">
        <f>Phasing!C40</f>
        <v>SR 95 &amp; Camp Mohave South</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3">
      <c r="A54" s="2" t="s">
        <v>265</v>
      </c>
      <c r="B54" t="str">
        <f>Phasing!C41</f>
        <v>SR 95 &amp; Camp Mohave South</v>
      </c>
      <c r="C54" s="2">
        <f>Phasing!D41</f>
        <v>0</v>
      </c>
      <c r="D54" s="2">
        <f>Phasing!E41</f>
        <v>14</v>
      </c>
      <c r="E54" s="2">
        <f>Phasing!F41</f>
        <v>0</v>
      </c>
      <c r="F54" s="2">
        <f>Phasing!G41</f>
        <v>21</v>
      </c>
      <c r="G54" s="2">
        <f>Phasing!H41</f>
        <v>0</v>
      </c>
      <c r="H54" s="2">
        <f>Phasing!I41</f>
        <v>14</v>
      </c>
      <c r="I54" s="2">
        <f>Phasing!J41</f>
        <v>0</v>
      </c>
      <c r="J54" s="2">
        <f>Phasing!K41</f>
        <v>21</v>
      </c>
      <c r="O54" s="271"/>
      <c r="P54" s="271"/>
      <c r="Q54" s="271"/>
      <c r="R54" s="271"/>
      <c r="S54" s="271"/>
      <c r="T54" s="271"/>
      <c r="U54" s="271"/>
      <c r="V54" s="271"/>
    </row>
    <row r="55" spans="1:22" x14ac:dyDescent="0.3">
      <c r="A55" s="2" t="s">
        <v>266</v>
      </c>
      <c r="B55" t="str">
        <f>Phasing!C42</f>
        <v>SR 95 &amp; Camp Mohave South</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3">
      <c r="A56" s="2" t="s">
        <v>267</v>
      </c>
      <c r="B56" t="str">
        <f>Phasing!C43</f>
        <v>SR 95 &amp; Camp Mohave South</v>
      </c>
      <c r="C56" s="2">
        <f>Phasing!D43</f>
        <v>0</v>
      </c>
      <c r="D56" s="2">
        <f>Phasing!E43</f>
        <v>26</v>
      </c>
      <c r="E56" s="2">
        <f>Phasing!F43</f>
        <v>0</v>
      </c>
      <c r="F56" s="2">
        <f>Phasing!G43</f>
        <v>33</v>
      </c>
      <c r="G56" s="2">
        <f>Phasing!H43</f>
        <v>9</v>
      </c>
      <c r="H56" s="2">
        <f>Phasing!I43</f>
        <v>26</v>
      </c>
      <c r="I56" s="2">
        <f>Phasing!J43</f>
        <v>9</v>
      </c>
      <c r="J56" s="2">
        <f>Phasing!K43</f>
        <v>33</v>
      </c>
    </row>
    <row r="57" spans="1:22" x14ac:dyDescent="0.3">
      <c r="A57" s="2" t="s">
        <v>268</v>
      </c>
      <c r="B57" t="str">
        <f>Phasing!C44</f>
        <v>SR 95 &amp; Camp Mohave South</v>
      </c>
      <c r="C57" s="2">
        <f>Phasing!D44</f>
        <v>0</v>
      </c>
      <c r="D57" s="2">
        <f>Phasing!E44</f>
        <v>1</v>
      </c>
      <c r="E57" s="2">
        <f>Phasing!F44</f>
        <v>0</v>
      </c>
      <c r="F57" s="2">
        <f>Phasing!G44</f>
        <v>1</v>
      </c>
      <c r="G57" s="2">
        <f>Phasing!H44</f>
        <v>0</v>
      </c>
      <c r="H57" s="2">
        <f>Phasing!I44</f>
        <v>1</v>
      </c>
      <c r="I57" s="2">
        <f>Phasing!J44</f>
        <v>0</v>
      </c>
      <c r="J57" s="2">
        <f>Phasing!K44</f>
        <v>1</v>
      </c>
    </row>
    <row r="58" spans="1:22" x14ac:dyDescent="0.3">
      <c r="A58" s="2" t="s">
        <v>269</v>
      </c>
      <c r="B58" t="str">
        <f>Phasing!C45</f>
        <v>SR 95 &amp; Camp Mohave South</v>
      </c>
      <c r="C58" s="2">
        <f>Phasing!D45</f>
        <v>0</v>
      </c>
      <c r="D58" s="2">
        <f>Phasing!E45</f>
        <v>1</v>
      </c>
      <c r="E58" s="2">
        <f>Phasing!F45</f>
        <v>0</v>
      </c>
      <c r="F58" s="2">
        <f>Phasing!G45</f>
        <v>1</v>
      </c>
      <c r="G58" s="2">
        <f>Phasing!H45</f>
        <v>1</v>
      </c>
      <c r="H58" s="2">
        <f>Phasing!I45</f>
        <v>1</v>
      </c>
      <c r="I58" s="2">
        <f>Phasing!J45</f>
        <v>1</v>
      </c>
      <c r="J58" s="2">
        <f>Phasing!K45</f>
        <v>1</v>
      </c>
    </row>
    <row r="59" spans="1:22" x14ac:dyDescent="0.3">
      <c r="A59" s="2" t="s">
        <v>270</v>
      </c>
      <c r="B59" t="str">
        <f>Phasing!C46</f>
        <v>SR 95 &amp; Camp Mohave South</v>
      </c>
      <c r="C59" s="2">
        <f>Phasing!D46</f>
        <v>0</v>
      </c>
      <c r="D59" s="2">
        <f>Phasing!E46</f>
        <v>0</v>
      </c>
      <c r="E59" s="2">
        <f>Phasing!F46</f>
        <v>0</v>
      </c>
      <c r="F59" s="2">
        <f>Phasing!G46</f>
        <v>36</v>
      </c>
      <c r="G59" s="2">
        <f>Phasing!H46</f>
        <v>0</v>
      </c>
      <c r="H59" s="2">
        <f>Phasing!I46</f>
        <v>9</v>
      </c>
      <c r="I59" s="2">
        <f>Phasing!J46</f>
        <v>36</v>
      </c>
      <c r="J59" s="2">
        <f>Phasing!K46</f>
        <v>45</v>
      </c>
    </row>
    <row r="60" spans="1:22" x14ac:dyDescent="0.3">
      <c r="A60" s="2" t="s">
        <v>271</v>
      </c>
      <c r="B60" t="str">
        <f>Phasing!C47</f>
        <v>SR 95 &amp; Camp Mohave South</v>
      </c>
      <c r="C60" s="2">
        <f>Phasing!D47</f>
        <v>0</v>
      </c>
      <c r="D60" s="2">
        <f>Phasing!E47</f>
        <v>36</v>
      </c>
      <c r="E60" s="2">
        <f>Phasing!F47</f>
        <v>0</v>
      </c>
      <c r="F60" s="2">
        <f>Phasing!G47</f>
        <v>80</v>
      </c>
      <c r="G60" s="2">
        <f>Phasing!H47</f>
        <v>9</v>
      </c>
      <c r="H60" s="2">
        <f>Phasing!I47</f>
        <v>36</v>
      </c>
      <c r="I60" s="2">
        <f>Phasing!J47</f>
        <v>45</v>
      </c>
      <c r="J60" s="2">
        <f>Phasing!K47</f>
        <v>80</v>
      </c>
    </row>
    <row r="61" spans="1:22" x14ac:dyDescent="0.3">
      <c r="A61" s="2" t="s">
        <v>272</v>
      </c>
      <c r="B61" t="str">
        <f>Phasing!C48</f>
        <v>SR 95 &amp; Camp Mohave South</v>
      </c>
      <c r="C61" s="2">
        <f>Phasing!D48</f>
        <v>0</v>
      </c>
      <c r="D61" s="2">
        <f>Phasing!E48</f>
        <v>29</v>
      </c>
      <c r="E61" s="2">
        <f>Phasing!F48</f>
        <v>0</v>
      </c>
      <c r="F61" s="2">
        <f>Phasing!G48</f>
        <v>74</v>
      </c>
      <c r="G61" s="2">
        <f>Phasing!H48</f>
        <v>5</v>
      </c>
      <c r="H61" s="2">
        <f>Phasing!I48</f>
        <v>29</v>
      </c>
      <c r="I61" s="2">
        <f>Phasing!J48</f>
        <v>41</v>
      </c>
      <c r="J61" s="2">
        <f>Phasing!K48</f>
        <v>74</v>
      </c>
    </row>
    <row r="62" spans="1:22" x14ac:dyDescent="0.3">
      <c r="A62" s="2" t="s">
        <v>273</v>
      </c>
      <c r="B62" t="str">
        <f>Phasing!C49</f>
        <v>SR 95 &amp; Camp Mohave South</v>
      </c>
      <c r="C62" s="2">
        <f>Phasing!D49</f>
        <v>0</v>
      </c>
      <c r="D62" s="2">
        <f>Phasing!E49</f>
        <v>29</v>
      </c>
      <c r="E62" s="2">
        <f>Phasing!F49</f>
        <v>0</v>
      </c>
      <c r="F62" s="2">
        <f>Phasing!G49</f>
        <v>74</v>
      </c>
      <c r="G62" s="2">
        <f>Phasing!H49</f>
        <v>5</v>
      </c>
      <c r="H62" s="2">
        <f>Phasing!I49</f>
        <v>29</v>
      </c>
      <c r="I62" s="2">
        <f>Phasing!J49</f>
        <v>41</v>
      </c>
      <c r="J62" s="2">
        <f>Phasing!K49</f>
        <v>74</v>
      </c>
    </row>
    <row r="63" spans="1:22" x14ac:dyDescent="0.3">
      <c r="A63" s="2" t="s">
        <v>274</v>
      </c>
      <c r="B63" t="str">
        <f>Phasing!C50</f>
        <v>SR 95 &amp; Camp Mohave South</v>
      </c>
      <c r="C63" s="2">
        <f>Phasing!D50</f>
        <v>0</v>
      </c>
      <c r="D63" s="2">
        <f>Phasing!E50</f>
        <v>0</v>
      </c>
      <c r="E63" s="2">
        <f>Phasing!F50</f>
        <v>0</v>
      </c>
      <c r="F63" s="2">
        <f>Phasing!G50</f>
        <v>36</v>
      </c>
      <c r="G63" s="2">
        <f>Phasing!H50</f>
        <v>0</v>
      </c>
      <c r="H63" s="2">
        <f>Phasing!I50</f>
        <v>9</v>
      </c>
      <c r="I63" s="2">
        <f>Phasing!J50</f>
        <v>36</v>
      </c>
      <c r="J63" s="2">
        <f>Phasing!K50</f>
        <v>45</v>
      </c>
    </row>
    <row r="64" spans="1:22" x14ac:dyDescent="0.3">
      <c r="A64" s="2" t="s">
        <v>275</v>
      </c>
      <c r="B64" t="str">
        <f>Phasing!C51</f>
        <v>SR 95 &amp; Camp Mohave South</v>
      </c>
      <c r="C64" s="2">
        <f>Phasing!D51</f>
        <v>0</v>
      </c>
      <c r="D64" s="2">
        <f>Phasing!E51</f>
        <v>29</v>
      </c>
      <c r="E64" s="2">
        <f>Phasing!F51</f>
        <v>0</v>
      </c>
      <c r="F64" s="2">
        <f>Phasing!G51</f>
        <v>74</v>
      </c>
      <c r="G64" s="2">
        <f>Phasing!H51</f>
        <v>5</v>
      </c>
      <c r="H64" s="2">
        <f>Phasing!I51</f>
        <v>29</v>
      </c>
      <c r="I64" s="2">
        <f>Phasing!J51</f>
        <v>41</v>
      </c>
      <c r="J64" s="2">
        <f>Phasing!K51</f>
        <v>74</v>
      </c>
    </row>
    <row r="65" spans="1:21" x14ac:dyDescent="0.3">
      <c r="A65" s="2" t="s">
        <v>276</v>
      </c>
      <c r="B65" t="str">
        <f>Phasing!C52</f>
        <v>SR 95 &amp; Camp Mohave South</v>
      </c>
      <c r="C65" s="2">
        <f>Phasing!D52</f>
        <v>0</v>
      </c>
      <c r="D65" s="2">
        <f>Phasing!E52</f>
        <v>29</v>
      </c>
      <c r="E65" s="2">
        <f>Phasing!F52</f>
        <v>0</v>
      </c>
      <c r="F65" s="2">
        <f>Phasing!G52</f>
        <v>74</v>
      </c>
      <c r="G65" s="2">
        <f>Phasing!H52</f>
        <v>5</v>
      </c>
      <c r="H65" s="2">
        <f>Phasing!I52</f>
        <v>29</v>
      </c>
      <c r="I65" s="2">
        <f>Phasing!J52</f>
        <v>41</v>
      </c>
      <c r="J65" s="2">
        <f>Phasing!K52</f>
        <v>74</v>
      </c>
    </row>
    <row r="66" spans="1:21" s="82" customFormat="1" x14ac:dyDescent="0.3">
      <c r="A66" s="147" t="s">
        <v>355</v>
      </c>
      <c r="D66" s="82">
        <f>'Phase calculation'!I55</f>
        <v>6.25E-2</v>
      </c>
      <c r="E66" s="82">
        <f>'Phase calculation'!J55</f>
        <v>0.4</v>
      </c>
      <c r="F66" s="82">
        <f>'Phase calculation'!K55</f>
        <v>0.4</v>
      </c>
      <c r="I66" s="82">
        <f>'Phase calculation'!L55</f>
        <v>0.28749999999999998</v>
      </c>
      <c r="J66" s="82">
        <f>'Phase calculation'!M55</f>
        <v>0.28749999999999998</v>
      </c>
      <c r="K66" s="82">
        <f>'Phase calculation'!N55</f>
        <v>0.28749999999999998</v>
      </c>
      <c r="N66" s="82">
        <f>'Phase calculation'!C55</f>
        <v>6.25E-2</v>
      </c>
      <c r="O66" s="82">
        <f>'Phase calculation'!D55</f>
        <v>0.5</v>
      </c>
      <c r="P66" s="82">
        <f>'Phase calculation'!E55</f>
        <v>0.5</v>
      </c>
      <c r="S66" s="82">
        <f>'Phase calculation'!F55</f>
        <v>0.38750000000000001</v>
      </c>
      <c r="T66" s="82">
        <f>'Phase calculation'!G55</f>
        <v>0.38750000000000001</v>
      </c>
      <c r="U66" s="82">
        <f>'Phase calculation'!H55</f>
        <v>0.38750000000000001</v>
      </c>
    </row>
    <row r="67" spans="1:21" x14ac:dyDescent="0.3">
      <c r="A67" s="264" t="s">
        <v>73</v>
      </c>
      <c r="B67" s="264"/>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3">
      <c r="A68" s="264" t="s">
        <v>461</v>
      </c>
      <c r="B68" s="264"/>
      <c r="C68" s="2" t="str">
        <f>IF(AND(C70&gt;0,C70=H70),"X","")</f>
        <v>X</v>
      </c>
      <c r="D68" s="2"/>
      <c r="E68" s="2" t="str">
        <f>IF(AND(E70&gt;0,E70=J70),"X","")</f>
        <v>X</v>
      </c>
      <c r="F68" s="2"/>
      <c r="G68" s="2" t="str">
        <f>IF(AND(G70&gt;0,G70=D70),"X","")</f>
        <v/>
      </c>
      <c r="H68" s="2"/>
      <c r="I68" s="2" t="str">
        <f>IF(AND(I70&gt;0,I70=F70),"X","")</f>
        <v/>
      </c>
      <c r="J68" s="2"/>
    </row>
    <row r="69" spans="1:21" x14ac:dyDescent="0.3">
      <c r="A69" s="264" t="s">
        <v>459</v>
      </c>
      <c r="B69" s="264"/>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3">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3">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3">
      <c r="A72" s="265" t="s">
        <v>463</v>
      </c>
      <c r="B72" s="265"/>
      <c r="C72" s="147">
        <f>IF(C71=0,0,INDEX($D$17:$U$17,1,C71))</f>
        <v>0</v>
      </c>
      <c r="D72" s="147">
        <f t="shared" ref="D72:J72" si="3">IF(D71=0,0,INDEX($D$17:$U$17,1,D71))</f>
        <v>32</v>
      </c>
      <c r="E72" s="147">
        <f t="shared" si="3"/>
        <v>0</v>
      </c>
      <c r="F72" s="147">
        <f t="shared" si="3"/>
        <v>40</v>
      </c>
      <c r="G72" s="147">
        <f t="shared" si="3"/>
        <v>5</v>
      </c>
      <c r="H72" s="147">
        <f t="shared" si="3"/>
        <v>23</v>
      </c>
      <c r="I72" s="147">
        <f t="shared" si="3"/>
        <v>5</v>
      </c>
      <c r="J72" s="147">
        <f t="shared" si="3"/>
        <v>31</v>
      </c>
      <c r="O72" t="s">
        <v>19</v>
      </c>
      <c r="P72" t="s">
        <v>18</v>
      </c>
    </row>
    <row r="73" spans="1:21" x14ac:dyDescent="0.3">
      <c r="A73" s="266" t="s">
        <v>464</v>
      </c>
      <c r="B73" s="266"/>
      <c r="C73" s="38">
        <f>C59</f>
        <v>0</v>
      </c>
      <c r="D73" s="38">
        <f t="shared" ref="D73:J73" si="4">D59</f>
        <v>0</v>
      </c>
      <c r="E73" s="38">
        <f t="shared" si="4"/>
        <v>0</v>
      </c>
      <c r="F73" s="38">
        <f t="shared" si="4"/>
        <v>36</v>
      </c>
      <c r="G73" s="38">
        <f t="shared" si="4"/>
        <v>0</v>
      </c>
      <c r="H73" s="38">
        <f t="shared" si="4"/>
        <v>9</v>
      </c>
      <c r="I73" s="38">
        <f t="shared" si="4"/>
        <v>36</v>
      </c>
      <c r="J73" s="38">
        <f t="shared" si="4"/>
        <v>45</v>
      </c>
      <c r="O73" t="s">
        <v>467</v>
      </c>
      <c r="P73">
        <v>0</v>
      </c>
    </row>
    <row r="74" spans="1:21" x14ac:dyDescent="0.3">
      <c r="A74" s="267" t="s">
        <v>465</v>
      </c>
      <c r="B74" s="267"/>
      <c r="C74" s="31">
        <f>C73+C72</f>
        <v>0</v>
      </c>
      <c r="D74" s="31">
        <f t="shared" ref="D74:J74" si="5">D73+D72</f>
        <v>32</v>
      </c>
      <c r="E74" s="31">
        <f t="shared" si="5"/>
        <v>0</v>
      </c>
      <c r="F74" s="31">
        <f t="shared" si="5"/>
        <v>76</v>
      </c>
      <c r="G74" s="31">
        <f t="shared" si="5"/>
        <v>5</v>
      </c>
      <c r="H74" s="31">
        <f t="shared" si="5"/>
        <v>32</v>
      </c>
      <c r="I74" s="31">
        <f t="shared" si="5"/>
        <v>41</v>
      </c>
      <c r="J74" s="31">
        <f t="shared" si="5"/>
        <v>76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8" t="s">
        <v>466</v>
      </c>
      <c r="B76" s="268"/>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3">
      <c r="A77" s="268"/>
      <c r="B77" s="268"/>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1220.9000000000001</v>
      </c>
    </row>
    <row r="4" spans="1:26" ht="13.8" thickBot="1" x14ac:dyDescent="0.3">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4.4" thickBot="1" x14ac:dyDescent="0.35">
      <c r="A5" s="197"/>
      <c r="B5" s="197"/>
      <c r="C5" s="197"/>
      <c r="D5" s="197"/>
      <c r="E5" s="222"/>
      <c r="F5" s="191"/>
      <c r="L5" s="195" t="s">
        <v>473</v>
      </c>
      <c r="M5" s="214" t="s">
        <v>474</v>
      </c>
      <c r="N5" s="214" t="s">
        <v>475</v>
      </c>
      <c r="U5" s="192" t="s">
        <v>235</v>
      </c>
      <c r="V5" s="193">
        <f>B4</f>
        <v>0</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t="str">
        <f>IF(UTDF_input!E6="",UTDF_input!I6,UTDF_input!E6)</f>
        <v>Camp Mohave South</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Camp Mohave South</v>
      </c>
      <c r="S13" s="209"/>
      <c r="U13" s="261" t="s">
        <v>725</v>
      </c>
      <c r="Y13" s="156" t="s">
        <v>83</v>
      </c>
      <c r="Z13" s="240">
        <v>2</v>
      </c>
    </row>
    <row r="14" spans="1:26" x14ac:dyDescent="0.25">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SR 95_Camp Mohave South</v>
      </c>
      <c r="K14" s="213" t="str">
        <f>IF(A13=0,R13,A13)</f>
        <v>Camp Mohave South</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8" thickBot="1" x14ac:dyDescent="0.3">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Camp Mohave South</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4" t="s">
        <v>204</v>
      </c>
      <c r="B1" s="284"/>
      <c r="C1" s="284"/>
      <c r="L1" s="264" t="s">
        <v>75</v>
      </c>
      <c r="M1" s="264"/>
      <c r="N1" s="264" t="s">
        <v>115</v>
      </c>
      <c r="O1" s="264"/>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3">
      <c r="A6" s="139" t="s">
        <v>79</v>
      </c>
      <c r="B6" s="123">
        <f>Sheet1!N5</f>
        <v>1</v>
      </c>
      <c r="C6" s="123">
        <f>Sheet1!O5</f>
        <v>1</v>
      </c>
      <c r="D6" s="123">
        <f>Sheet1!S5</f>
        <v>1</v>
      </c>
      <c r="E6" s="123">
        <f>Sheet1!T5</f>
        <v>1</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2</v>
      </c>
      <c r="W7" t="s">
        <v>88</v>
      </c>
      <c r="X7" s="2">
        <f t="shared" ref="X7:AA8" si="0">R7</f>
        <v>1</v>
      </c>
      <c r="Y7" s="2">
        <f t="shared" si="0"/>
        <v>1</v>
      </c>
      <c r="Z7" s="2">
        <f t="shared" si="0"/>
        <v>2</v>
      </c>
      <c r="AA7" s="2">
        <f t="shared" si="0"/>
        <v>2</v>
      </c>
    </row>
    <row r="8" spans="1:27" x14ac:dyDescent="0.3">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3">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1</v>
      </c>
      <c r="C13" s="2"/>
      <c r="D13" s="2">
        <f>IF(C8&gt;45,1,0)</f>
        <v>1</v>
      </c>
      <c r="E13" s="2"/>
      <c r="F13" s="2">
        <f>IF(I8&gt;45,1,0)</f>
        <v>1</v>
      </c>
      <c r="G13" s="2"/>
      <c r="H13" s="2">
        <f>IF(G8&gt;45,1,0)</f>
        <v>1</v>
      </c>
      <c r="I13" s="280"/>
      <c r="J13" s="6"/>
      <c r="K13" s="6"/>
      <c r="L13" s="5" t="s">
        <v>5</v>
      </c>
      <c r="M13" s="5">
        <f>Sheet1!F4+Sheet1!Y4+Sheet1!AB4</f>
        <v>0</v>
      </c>
      <c r="N13" s="5">
        <v>3</v>
      </c>
      <c r="O13" s="5" t="s">
        <v>84</v>
      </c>
      <c r="Q13" s="264" t="s">
        <v>94</v>
      </c>
      <c r="R13" s="264"/>
      <c r="S13" s="264"/>
      <c r="T13" s="264"/>
      <c r="U13" s="264"/>
    </row>
    <row r="14" spans="1:27" x14ac:dyDescent="0.3">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3">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3">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4" t="s">
        <v>109</v>
      </c>
      <c r="R21" s="264"/>
      <c r="V21" s="8"/>
    </row>
    <row r="22" spans="1:24" x14ac:dyDescent="0.3">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3">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64" t="s">
        <v>111</v>
      </c>
      <c r="R25" s="264"/>
      <c r="S25" s="264"/>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82" t="s">
        <v>113</v>
      </c>
      <c r="L34" s="282"/>
      <c r="M34" s="282"/>
      <c r="N34" s="282"/>
      <c r="O34" s="40"/>
    </row>
    <row r="35" spans="2:33" x14ac:dyDescent="0.3">
      <c r="B35" s="23" t="str">
        <f>B27&amp;"  "&amp;B28</f>
        <v>7  0</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3">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82" t="s">
        <v>114</v>
      </c>
      <c r="L39" s="282"/>
      <c r="M39" s="282"/>
      <c r="N39" s="282"/>
    </row>
    <row r="40" spans="2:33" x14ac:dyDescent="0.3">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3">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3">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5"/>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3">
      <c r="U43" s="2"/>
    </row>
    <row r="44" spans="2:33" ht="15" hidden="1" customHeight="1" x14ac:dyDescent="0.3">
      <c r="Q44" s="279" t="s">
        <v>112</v>
      </c>
      <c r="R44" s="279"/>
      <c r="S44" s="279"/>
      <c r="T44" s="279"/>
      <c r="U44" s="2"/>
    </row>
    <row r="45" spans="2:33" ht="15" hidden="1" customHeight="1" x14ac:dyDescent="0.3">
      <c r="P45" t="s">
        <v>105</v>
      </c>
      <c r="Q45" s="24">
        <f t="shared" ref="Q45:T46" si="5">IF(V36&lt;&gt;0,V36,0)</f>
        <v>0</v>
      </c>
      <c r="R45" s="24">
        <f t="shared" si="5"/>
        <v>0</v>
      </c>
      <c r="S45" s="24">
        <f t="shared" si="5"/>
        <v>0</v>
      </c>
      <c r="T45" s="24">
        <f t="shared" si="5"/>
        <v>0</v>
      </c>
      <c r="U45" s="268">
        <f>IF(V36=0,0,1)</f>
        <v>0</v>
      </c>
    </row>
    <row r="46" spans="2:33" ht="15" hidden="1" customHeight="1" x14ac:dyDescent="0.3">
      <c r="P46" t="s">
        <v>106</v>
      </c>
      <c r="Q46" s="24">
        <f t="shared" si="5"/>
        <v>0</v>
      </c>
      <c r="R46" s="24">
        <f t="shared" si="5"/>
        <v>0</v>
      </c>
      <c r="S46" s="24">
        <f t="shared" si="5"/>
        <v>0</v>
      </c>
      <c r="T46" s="24">
        <f t="shared" si="5"/>
        <v>0</v>
      </c>
      <c r="U46" s="268"/>
    </row>
    <row r="47" spans="2:33" x14ac:dyDescent="0.3">
      <c r="B47" s="27"/>
      <c r="C47" s="282" t="s">
        <v>113</v>
      </c>
      <c r="D47" s="282"/>
      <c r="E47" s="282"/>
      <c r="F47" s="282"/>
      <c r="J47" s="27"/>
      <c r="K47" s="282" t="s">
        <v>436</v>
      </c>
      <c r="L47" s="282"/>
      <c r="M47" s="282"/>
      <c r="N47" s="282"/>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3">
      <c r="B50" s="46" t="s">
        <v>106</v>
      </c>
      <c r="C50" s="29">
        <f>K37</f>
        <v>5</v>
      </c>
      <c r="D50" s="29">
        <f t="shared" ref="D50" si="8">L37</f>
        <v>6</v>
      </c>
      <c r="E50" s="29">
        <f t="shared" ref="E50" si="9">M37</f>
        <v>7</v>
      </c>
      <c r="F50" s="29">
        <f t="shared" ref="F50" si="10">N37</f>
        <v>8</v>
      </c>
      <c r="J50" s="28" t="s">
        <v>106</v>
      </c>
      <c r="K50" s="31">
        <f>Phasing!H46</f>
        <v>0</v>
      </c>
      <c r="L50" s="31">
        <f>Phasing!I46</f>
        <v>9</v>
      </c>
      <c r="M50" s="31">
        <f>Phasing!J46</f>
        <v>36</v>
      </c>
      <c r="N50" s="31">
        <f>Phasing!K46</f>
        <v>45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3">
      <c r="Q51" s="2"/>
      <c r="R51" s="2"/>
      <c r="S51" s="2"/>
      <c r="T51" s="2"/>
    </row>
    <row r="52" spans="2:23" x14ac:dyDescent="0.3">
      <c r="J52" s="27"/>
      <c r="K52" s="282" t="s">
        <v>437</v>
      </c>
      <c r="L52" s="282"/>
      <c r="M52" s="282"/>
      <c r="N52" s="282"/>
      <c r="P52" t="s">
        <v>105</v>
      </c>
      <c r="Q52" s="2">
        <f t="shared" ref="Q52:T53" si="12">MATCH(K36,$P$49:$W$49,0)</f>
        <v>3</v>
      </c>
      <c r="R52" s="2">
        <f t="shared" si="12"/>
        <v>6</v>
      </c>
      <c r="S52" s="2">
        <f t="shared" si="12"/>
        <v>3</v>
      </c>
      <c r="T52" s="2">
        <f t="shared" si="12"/>
        <v>2</v>
      </c>
    </row>
    <row r="53" spans="2:23" x14ac:dyDescent="0.3">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3">
      <c r="J54" s="28" t="s">
        <v>105</v>
      </c>
      <c r="K54" s="31">
        <f>Phasing!D47</f>
        <v>0</v>
      </c>
      <c r="L54" s="31">
        <f>Phasing!E47</f>
        <v>36</v>
      </c>
      <c r="M54" s="31">
        <f>Phasing!F47</f>
        <v>0</v>
      </c>
      <c r="N54" s="31">
        <f>Phasing!G47</f>
        <v>80</v>
      </c>
      <c r="Q54" s="2"/>
      <c r="R54" s="2"/>
      <c r="S54" s="2"/>
      <c r="T54" s="2"/>
    </row>
    <row r="55" spans="2:23" x14ac:dyDescent="0.3">
      <c r="J55" s="28" t="s">
        <v>106</v>
      </c>
      <c r="K55" s="31">
        <f>Phasing!H47</f>
        <v>9</v>
      </c>
      <c r="L55" s="31">
        <f>Phasing!I47</f>
        <v>36</v>
      </c>
      <c r="M55" s="31">
        <f>Phasing!J47</f>
        <v>45</v>
      </c>
      <c r="N55" s="31">
        <f>Phasing!K47</f>
        <v>80</v>
      </c>
      <c r="P55" t="s">
        <v>105</v>
      </c>
      <c r="Q55" s="2">
        <f>IF(Q52&gt;0,INDEX($P$49:$W$50,2,Q52),0)</f>
        <v>0</v>
      </c>
      <c r="R55" s="2" t="str">
        <f>IF(R52&gt;0,INDEX($P$49:$W$50,2,R52),0)</f>
        <v>NBT</v>
      </c>
      <c r="S55" s="2">
        <f>IF(S52&gt;0,INDEX($P$49:$W$50,2,S52),0)</f>
        <v>0</v>
      </c>
      <c r="T55" s="2" t="str">
        <f t="shared" ref="R55:T56" si="13">INDEX($P$49:$W$50,2,T52)</f>
        <v>EBT</v>
      </c>
    </row>
    <row r="56" spans="2:23" x14ac:dyDescent="0.3">
      <c r="P56" t="s">
        <v>106</v>
      </c>
      <c r="Q56" s="2" t="str">
        <f>INDEX($P$49:$W$50,2,Q53)</f>
        <v>NBL</v>
      </c>
      <c r="R56" s="2" t="str">
        <f t="shared" si="13"/>
        <v>SBT</v>
      </c>
      <c r="S56" s="2" t="str">
        <f t="shared" si="13"/>
        <v>EBL</v>
      </c>
      <c r="T56" s="2" t="str">
        <f t="shared" si="13"/>
        <v>WBT</v>
      </c>
    </row>
    <row r="59" spans="2:23" x14ac:dyDescent="0.3">
      <c r="J59" s="264" t="s">
        <v>438</v>
      </c>
      <c r="K59" s="264"/>
      <c r="L59" s="264" t="s">
        <v>439</v>
      </c>
      <c r="M59" s="264"/>
      <c r="N59" s="264" t="s">
        <v>440</v>
      </c>
      <c r="O59" s="264"/>
      <c r="P59" s="264" t="s">
        <v>441</v>
      </c>
      <c r="Q59" s="264"/>
      <c r="R59" s="15"/>
      <c r="S59" s="15"/>
      <c r="T59" s="15"/>
      <c r="U59" s="15"/>
      <c r="V59" s="15"/>
      <c r="W59" s="15"/>
    </row>
    <row r="60" spans="2:23" x14ac:dyDescent="0.3">
      <c r="I60" t="s">
        <v>105</v>
      </c>
      <c r="J60" s="2">
        <f>K49</f>
        <v>0</v>
      </c>
      <c r="K60" s="2">
        <f>K54</f>
        <v>0</v>
      </c>
      <c r="L60" s="2">
        <f>L49</f>
        <v>0</v>
      </c>
      <c r="M60" s="2">
        <f>L54</f>
        <v>36</v>
      </c>
      <c r="N60" s="2">
        <f>M49</f>
        <v>0</v>
      </c>
      <c r="O60" s="2">
        <f>M54</f>
        <v>0</v>
      </c>
      <c r="P60" s="2">
        <f>N49</f>
        <v>36</v>
      </c>
      <c r="Q60" s="2">
        <f>N54</f>
        <v>80</v>
      </c>
      <c r="R60" s="40"/>
      <c r="S60" s="40"/>
      <c r="T60" s="40"/>
      <c r="U60" s="40"/>
      <c r="V60" s="40"/>
      <c r="W60" s="41"/>
    </row>
    <row r="61" spans="2:23" x14ac:dyDescent="0.3">
      <c r="I61" t="s">
        <v>106</v>
      </c>
      <c r="J61" s="2">
        <f>K50</f>
        <v>0</v>
      </c>
      <c r="K61" s="2">
        <f>K55</f>
        <v>9</v>
      </c>
      <c r="L61" s="2">
        <f>L50</f>
        <v>9</v>
      </c>
      <c r="M61" s="2">
        <f>L55</f>
        <v>36</v>
      </c>
      <c r="N61" s="2">
        <f>M50</f>
        <v>36</v>
      </c>
      <c r="O61" s="2">
        <f>M55</f>
        <v>45</v>
      </c>
      <c r="P61" s="2">
        <f>N50</f>
        <v>45</v>
      </c>
      <c r="Q61" s="2">
        <f>N55</f>
        <v>80</v>
      </c>
      <c r="R61" s="2"/>
      <c r="S61" s="2"/>
      <c r="T61" s="2"/>
      <c r="U61" s="2"/>
      <c r="V61" s="2"/>
      <c r="W61" s="2"/>
    </row>
    <row r="62" spans="2:23" x14ac:dyDescent="0.3">
      <c r="J62" s="264" t="s">
        <v>442</v>
      </c>
      <c r="K62" s="264"/>
      <c r="L62" s="264" t="s">
        <v>443</v>
      </c>
      <c r="M62" s="264"/>
      <c r="N62" s="264" t="s">
        <v>444</v>
      </c>
      <c r="O62" s="264"/>
      <c r="P62" s="264" t="s">
        <v>445</v>
      </c>
      <c r="Q62" s="264"/>
      <c r="R62" s="2"/>
      <c r="S62" s="2"/>
      <c r="T62" s="2"/>
      <c r="U62" s="2"/>
      <c r="V62" s="2"/>
      <c r="W62" s="2"/>
    </row>
    <row r="64" spans="2:23" x14ac:dyDescent="0.3">
      <c r="J64" t="s">
        <v>105</v>
      </c>
      <c r="K64" s="2">
        <v>0</v>
      </c>
      <c r="L64" s="2">
        <f>L60</f>
        <v>0</v>
      </c>
      <c r="M64" s="2">
        <f>N60</f>
        <v>0</v>
      </c>
      <c r="N64" s="2">
        <f>P60</f>
        <v>36</v>
      </c>
      <c r="O64" s="2">
        <f>Q60</f>
        <v>80</v>
      </c>
    </row>
    <row r="65" spans="9:23" x14ac:dyDescent="0.3">
      <c r="J65" t="s">
        <v>106</v>
      </c>
      <c r="K65" s="2">
        <v>0</v>
      </c>
      <c r="L65" s="2">
        <f>L61</f>
        <v>9</v>
      </c>
      <c r="M65" s="2">
        <f>N61</f>
        <v>36</v>
      </c>
      <c r="N65" s="2">
        <f>P61</f>
        <v>45</v>
      </c>
      <c r="O65" s="2">
        <f>Q61</f>
        <v>80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0</v>
      </c>
      <c r="AK11" t="s">
        <v>165</v>
      </c>
      <c r="AL11" s="2">
        <f>Sheet1!D4+Sheet1!W4+Sheet1!Z4</f>
        <v>0</v>
      </c>
      <c r="BB11" t="s">
        <v>165</v>
      </c>
      <c r="BC11" s="2">
        <f>Sheet1!I4+Sheet1!AC4+Sheet1!AF4</f>
        <v>0</v>
      </c>
    </row>
    <row r="12" spans="2:57" s="139" customFormat="1" x14ac:dyDescent="0.3">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3">
      <c r="B13" t="s">
        <v>170</v>
      </c>
      <c r="C13" s="2">
        <f>Sheet1!N5</f>
        <v>1</v>
      </c>
      <c r="T13" t="s">
        <v>170</v>
      </c>
      <c r="U13" s="2">
        <f>Sheet1!S5</f>
        <v>1</v>
      </c>
      <c r="AK13" t="s">
        <v>170</v>
      </c>
      <c r="AL13" s="2">
        <f>Sheet1!D5+Sheet1!W5+Sheet1!Z5</f>
        <v>1</v>
      </c>
      <c r="BB13" t="s">
        <v>170</v>
      </c>
      <c r="BC13" s="2">
        <f>Sheet1!I5+Sheet1!AC4+Sheet1!AF4</f>
        <v>1</v>
      </c>
    </row>
    <row r="14" spans="2:57" s="139" customFormat="1" x14ac:dyDescent="0.3">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3">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3">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0</v>
      </c>
    </row>
    <row r="18" spans="2:57" x14ac:dyDescent="0.3">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1</v>
      </c>
      <c r="D26" s="2">
        <f>C26</f>
        <v>1</v>
      </c>
      <c r="E26" s="2">
        <f>C26</f>
        <v>1</v>
      </c>
      <c r="T26" t="s">
        <v>163</v>
      </c>
      <c r="U26" s="2">
        <f>Sheet1!T5</f>
        <v>1</v>
      </c>
      <c r="V26" s="2">
        <f>U26</f>
        <v>1</v>
      </c>
      <c r="W26" s="2">
        <f>U26</f>
        <v>1</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3">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3">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3">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3">
      <c r="B49" s="268"/>
      <c r="C49" t="s">
        <v>190</v>
      </c>
      <c r="D49">
        <f>IF(SUM(Sheet1!N5:P5)=1,EXP(-0.02*(C35+10*C34)*C11*0.0444),0)</f>
        <v>0</v>
      </c>
      <c r="E49">
        <f>IF('Phase designation'!B22=2,MAX('Lane volumes'!D48:D50),1)</f>
        <v>1</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3">
      <c r="B50" s="268"/>
      <c r="C50" t="s">
        <v>191</v>
      </c>
      <c r="D50">
        <f>((C26-1)+EXP(-1*C11*0.0444))/C26</f>
        <v>1</v>
      </c>
      <c r="T50" s="268"/>
      <c r="U50" t="s">
        <v>191</v>
      </c>
      <c r="V50">
        <f>((U26-1)+EXP(-1*U11*0.0444))/U26</f>
        <v>1</v>
      </c>
      <c r="AK50" s="268"/>
      <c r="AL50" t="s">
        <v>191</v>
      </c>
      <c r="AM50">
        <f>((AL26-1)+EXP(-1*AL11*0.0444))/AL26</f>
        <v>1</v>
      </c>
      <c r="BB50" s="268"/>
      <c r="BC50" t="s">
        <v>191</v>
      </c>
      <c r="BD50">
        <f>((BC26-1)+EXP(-1*BC11*0.0444))/BC26</f>
        <v>1</v>
      </c>
    </row>
    <row r="51" spans="2:57" hidden="1" x14ac:dyDescent="0.3"/>
    <row r="52" spans="2:57" hidden="1" x14ac:dyDescent="0.3">
      <c r="B52" s="268" t="s">
        <v>194</v>
      </c>
      <c r="C52" t="s">
        <v>195</v>
      </c>
      <c r="D52">
        <f>IF(C12&lt;1220,1/(1+(C34*(235+0.435*C12)/(1400-C12))),0)</f>
        <v>0.85626911314984699</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0.85626911314984699</v>
      </c>
      <c r="AN52">
        <f>IF('Phase designation'!F22=3,MAX('Lane volumes'!AM52:AM53),1)</f>
        <v>1</v>
      </c>
      <c r="BB52" s="268" t="s">
        <v>194</v>
      </c>
      <c r="BC52" t="s">
        <v>195</v>
      </c>
      <c r="BD52">
        <f>IF(BC12&lt;1220,1/(1+(BC34*(235+0.435*BC12)/(1400-BC12))),0)</f>
        <v>0.85626911314984699</v>
      </c>
      <c r="BE52">
        <f>IF('Phase designation'!H22=3,MAX('Lane volumes'!BD52:BD53),1)</f>
        <v>1</v>
      </c>
    </row>
    <row r="53" spans="2:57" hidden="1" x14ac:dyDescent="0.3">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3">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4" t="s">
        <v>204</v>
      </c>
      <c r="C1" s="284"/>
      <c r="D1" s="284"/>
      <c r="E1" s="119"/>
      <c r="Q1" s="49"/>
      <c r="R1" s="49"/>
      <c r="S1" s="49"/>
      <c r="T1" s="49"/>
      <c r="U1" s="49"/>
      <c r="V1" s="49"/>
      <c r="Y1" s="264" t="s">
        <v>373</v>
      </c>
      <c r="Z1" s="264"/>
      <c r="AA1" s="264"/>
      <c r="AB1" s="264"/>
      <c r="AC1" s="264"/>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1220.9000000000001</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3">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3">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3">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100</v>
      </c>
    </row>
    <row r="11" spans="2:75" x14ac:dyDescent="0.3">
      <c r="B11" s="123" t="s">
        <v>327</v>
      </c>
      <c r="C11" s="124">
        <f>IF(C34=0,0,ROUND(C6*1530*C4*'Input sheet'!$W$7,0))</f>
        <v>153000</v>
      </c>
      <c r="D11" s="123">
        <f>IF(D34=0,0,ROUND(D6*1530*D4*'Input sheet'!$W$7,0))</f>
        <v>153000</v>
      </c>
      <c r="E11" s="260">
        <f>IF(E34=0,0,ROUND(E6*1530*E4*'Input sheet'!$W$7,0))</f>
        <v>0</v>
      </c>
      <c r="F11" s="124">
        <f>IF(F34=0,0,ROUND(F6*1530*F4*'Input sheet'!$W$7,0))</f>
        <v>0</v>
      </c>
      <c r="G11" s="123">
        <f>IF(G34=0,0,ROUND(G6*1530*G4*'Input sheet'!$W$7,0))</f>
        <v>153000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3">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3">
      <c r="B14" s="2" t="s">
        <v>328</v>
      </c>
      <c r="C14" s="157">
        <f>IF(D57+D59&gt;=1,ROUND(C10*$S$4*(C12*EXP(-1*C12*4.5/3600))/((1-EXP(-1*C12*C13/3600))),0),0)</f>
        <v>0</v>
      </c>
      <c r="D14" s="2">
        <f>D11</f>
        <v>153000</v>
      </c>
      <c r="E14" s="2">
        <f>E11</f>
        <v>0</v>
      </c>
      <c r="F14" s="157">
        <f>IF(G57+G59&gt;=1,ROUND(F10*$S$4*(F12*EXP(-1*F12*4.5/3600))/((1-EXP(-1*F12*F13/3600))),0),0)</f>
        <v>1439</v>
      </c>
      <c r="G14" s="2">
        <f>G11</f>
        <v>153000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3">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3">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3">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3">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Protected Permitted</v>
      </c>
      <c r="AA19" s="264"/>
      <c r="AB19" s="264" t="str">
        <f>IF(OR(AND(AB18="Protected",AC18="Not opposed"),AND(AC18="Protected",AB18="Not opposed")),"Protected ProtectedA",AB18&amp;" "&amp;AC18)</f>
        <v>Protected Permitted</v>
      </c>
      <c r="AC19" s="264"/>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5</v>
      </c>
      <c r="AA20" s="264"/>
      <c r="AB20" s="264">
        <f>MATCH(AB19,AF3:AF11,0)</f>
        <v>5</v>
      </c>
      <c r="AC20" s="264"/>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64" t="str">
        <f>INDEX(AD3:AD13,Z20)</f>
        <v>2b</v>
      </c>
      <c r="AA21" s="264"/>
      <c r="AB21" s="264" t="str">
        <f>INDEX(AD3:AD11,AB20)</f>
        <v>2b</v>
      </c>
      <c r="AC21" s="264"/>
      <c r="AI21" s="2" t="s">
        <v>364</v>
      </c>
      <c r="AJ21" s="2">
        <v>4</v>
      </c>
      <c r="AN21" s="2" t="s">
        <v>364</v>
      </c>
      <c r="AO21" s="162" t="s">
        <v>392</v>
      </c>
      <c r="AP21" s="162"/>
      <c r="AQ21" s="162"/>
      <c r="AS21" s="2" t="s">
        <v>364</v>
      </c>
      <c r="AT21" s="2">
        <f>MAX(J16,I16,M16,L16)</f>
        <v>0</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3">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3">
      <c r="B24" s="101" t="s">
        <v>417</v>
      </c>
      <c r="C24" s="176">
        <f>C23/(1-(O17/O11))</f>
        <v>16</v>
      </c>
      <c r="D24" s="297" t="s">
        <v>430</v>
      </c>
      <c r="E24" s="297"/>
      <c r="F24" s="182">
        <f>V25</f>
        <v>80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3">
      <c r="B25" s="39" t="s">
        <v>418</v>
      </c>
      <c r="C25" s="39">
        <f>V27</f>
        <v>80</v>
      </c>
      <c r="D25" s="103" t="s">
        <v>563</v>
      </c>
      <c r="E25" s="103">
        <f>UTDF_input!C92</f>
        <v>54.5</v>
      </c>
      <c r="F25" s="102" t="s">
        <v>384</v>
      </c>
      <c r="G25" s="253">
        <f>UTDF_input!C90</f>
        <v>0</v>
      </c>
      <c r="H25" s="49"/>
      <c r="I25" s="49"/>
      <c r="J25" s="49"/>
      <c r="K25" s="49"/>
      <c r="L25" s="49"/>
      <c r="M25" s="49"/>
      <c r="N25" s="49"/>
      <c r="Q25" s="37"/>
      <c r="R25" s="37"/>
      <c r="S25" s="37"/>
      <c r="U25" s="2">
        <f>Phasing!L27</f>
        <v>77</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3">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3">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82" t="s">
        <v>113</v>
      </c>
      <c r="S27" s="282"/>
      <c r="T27" s="282"/>
      <c r="U27" s="282"/>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3">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3">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3">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EBTHLT</v>
      </c>
      <c r="AR33" s="3" t="str">
        <f>AK16</f>
        <v>EBWBTH</v>
      </c>
      <c r="AS33" s="3">
        <f>AL16</f>
        <v>0</v>
      </c>
    </row>
    <row r="34" spans="2:59" x14ac:dyDescent="0.3">
      <c r="B34" s="123" t="s">
        <v>134</v>
      </c>
      <c r="C34" s="124">
        <f>IF(C33=0,0,INDEX($Q$64:$X$64,1,Q69))</f>
        <v>9</v>
      </c>
      <c r="D34" s="123">
        <f>IF(D33=0,0,INDEX($Q$64:$X$64,1,R69))</f>
        <v>44</v>
      </c>
      <c r="E34" s="123">
        <f>D34</f>
        <v>44</v>
      </c>
      <c r="F34" s="124">
        <f>IF(F33=0,0,INDEX($Q$64:$X$64,1,S69))</f>
        <v>0</v>
      </c>
      <c r="G34" s="123">
        <f>IF(G33=0,0,INDEX($Q$64:$X$64,1,T69))</f>
        <v>35</v>
      </c>
      <c r="H34" s="123">
        <f>G34</f>
        <v>35</v>
      </c>
      <c r="I34" s="124">
        <f>IF(I33=0,0,INDEX($Q$64:$X$64,1,U69))</f>
        <v>9</v>
      </c>
      <c r="J34" s="123">
        <f>IF(J33=0,0,INDEX($Q$64:$X$64,1,V69))</f>
        <v>36</v>
      </c>
      <c r="K34" s="123">
        <f>J34</f>
        <v>36</v>
      </c>
      <c r="L34" s="124">
        <f>IF(L33=0,0,INDEX($Q$64:$X$64,1,W69))</f>
        <v>0</v>
      </c>
      <c r="M34" s="123">
        <f>IF(M33=0,0,INDEX($Q$64:$X$64,1,X69))</f>
        <v>27</v>
      </c>
      <c r="N34" s="123">
        <f>M34</f>
        <v>27</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3">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8" t="s">
        <v>382</v>
      </c>
      <c r="AQ35" s="3" t="str">
        <f>AJ32</f>
        <v>NBTHLT</v>
      </c>
      <c r="AR35" s="3" t="str">
        <f>AK32</f>
        <v>NBSBTH</v>
      </c>
      <c r="AS35" s="3">
        <f>AL32</f>
        <v>0</v>
      </c>
    </row>
    <row r="36" spans="2:59" x14ac:dyDescent="0.3">
      <c r="B36" s="123" t="s">
        <v>262</v>
      </c>
      <c r="C36" s="124">
        <f>Phasing!O11</f>
        <v>1</v>
      </c>
      <c r="D36" s="123">
        <f>Phasing!P11</f>
        <v>0.8</v>
      </c>
      <c r="E36" s="123">
        <f>D36</f>
        <v>0.8</v>
      </c>
      <c r="F36" s="124">
        <f>Phasing!Q11</f>
        <v>0.8</v>
      </c>
      <c r="G36" s="123">
        <f>Phasing!R11</f>
        <v>0.8</v>
      </c>
      <c r="H36" s="123">
        <f>G36</f>
        <v>0.8</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3">
      <c r="B37" s="2" t="s">
        <v>320</v>
      </c>
      <c r="C37" s="157">
        <f>MAX(0,SUMPRODUCT(C62:C64,D62:D64))</f>
        <v>5</v>
      </c>
      <c r="D37" s="2">
        <f>MAX(0,D34-D35-D36)</f>
        <v>37.800000000000004</v>
      </c>
      <c r="E37" s="2">
        <f>D37</f>
        <v>37.800000000000004</v>
      </c>
      <c r="F37" s="157">
        <f>MAX(0,SUMPRODUCT(F62:F64,G62:G64))</f>
        <v>28.8</v>
      </c>
      <c r="G37" s="2">
        <f>MAX(0,G34-G35-G36)</f>
        <v>28.8</v>
      </c>
      <c r="H37" s="2">
        <f>G37</f>
        <v>28.8</v>
      </c>
      <c r="I37" s="157">
        <f>MAX(0,SUMPRODUCT(I62:I64,J62:J64))</f>
        <v>5</v>
      </c>
      <c r="J37" s="2">
        <f>MAX(0,J34-J35-J36)</f>
        <v>29.400000000000002</v>
      </c>
      <c r="K37" s="2">
        <f>J37</f>
        <v>29.400000000000002</v>
      </c>
      <c r="L37" s="157">
        <f>MAX(0,SUMPRODUCT(L62:L64,M62:M64))</f>
        <v>20.400000000000002</v>
      </c>
      <c r="M37" s="2">
        <f>MAX(0,M34-M35-M36)</f>
        <v>20.400000000000002</v>
      </c>
      <c r="N37" s="2">
        <f>M37</f>
        <v>20.400000000000002</v>
      </c>
      <c r="Y37" s="2">
        <v>150.001</v>
      </c>
      <c r="Z37" s="2">
        <v>100000</v>
      </c>
      <c r="AA37" s="2">
        <v>150</v>
      </c>
      <c r="BF37" s="2" t="s">
        <v>139</v>
      </c>
      <c r="BG37" s="2" t="s">
        <v>221</v>
      </c>
    </row>
    <row r="38" spans="2:59" x14ac:dyDescent="0.3">
      <c r="B38" s="123" t="s">
        <v>321</v>
      </c>
      <c r="C38" s="124">
        <f>IF(C37=0,0,(C37+C36+C35)-C20)</f>
        <v>5</v>
      </c>
      <c r="D38" s="123">
        <f t="shared" ref="D38:N38" si="11">IF(D37=0,0,(D37+D36+D35)-D20)</f>
        <v>40</v>
      </c>
      <c r="E38" s="123">
        <f t="shared" si="11"/>
        <v>40</v>
      </c>
      <c r="F38" s="124">
        <f t="shared" si="11"/>
        <v>31</v>
      </c>
      <c r="G38" s="123">
        <f t="shared" si="11"/>
        <v>31</v>
      </c>
      <c r="H38" s="123">
        <f t="shared" si="11"/>
        <v>31</v>
      </c>
      <c r="I38" s="124">
        <f t="shared" si="11"/>
        <v>5</v>
      </c>
      <c r="J38" s="123">
        <f t="shared" si="11"/>
        <v>32</v>
      </c>
      <c r="K38" s="123">
        <f t="shared" si="11"/>
        <v>32</v>
      </c>
      <c r="L38" s="124">
        <f t="shared" si="11"/>
        <v>23</v>
      </c>
      <c r="M38" s="123">
        <f t="shared" si="11"/>
        <v>23</v>
      </c>
      <c r="N38" s="123">
        <f t="shared" si="11"/>
        <v>23</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3">
      <c r="B39" s="2" t="s">
        <v>424</v>
      </c>
      <c r="C39" s="179">
        <f t="shared" ref="C39:N39" si="12">IF($C$25=0,0,C34/$C$25)</f>
        <v>0.1125</v>
      </c>
      <c r="D39" s="178">
        <f t="shared" si="12"/>
        <v>0.55000000000000004</v>
      </c>
      <c r="E39" s="178">
        <f t="shared" si="12"/>
        <v>0.55000000000000004</v>
      </c>
      <c r="F39" s="179">
        <f t="shared" si="12"/>
        <v>0</v>
      </c>
      <c r="G39" s="178">
        <f t="shared" si="12"/>
        <v>0.4375</v>
      </c>
      <c r="H39" s="178">
        <f t="shared" si="12"/>
        <v>0.4375</v>
      </c>
      <c r="I39" s="179">
        <f t="shared" si="12"/>
        <v>0.1125</v>
      </c>
      <c r="J39" s="178">
        <f t="shared" si="12"/>
        <v>0.45</v>
      </c>
      <c r="K39" s="178">
        <f t="shared" si="12"/>
        <v>0.45</v>
      </c>
      <c r="L39" s="179">
        <f t="shared" si="12"/>
        <v>0</v>
      </c>
      <c r="M39" s="178">
        <f t="shared" si="12"/>
        <v>0.33750000000000002</v>
      </c>
      <c r="N39" s="178">
        <f t="shared" si="12"/>
        <v>0.33750000000000002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3">
      <c r="B41" s="2" t="s">
        <v>356</v>
      </c>
      <c r="C41" s="157" t="e">
        <f>IF($C$25=0,0,IF('Phase designation'!B19=0,SUMPRODUCT(C57:C60,D57:D60),(D41/MAX(1,D6))*C6))</f>
        <v>#N/A</v>
      </c>
      <c r="D41" s="2">
        <f>IF($C$25=0,0,IF(AND(C6&gt;0,D6=0),ROUND(C6*C11*D38/$C$25,0),ROUND(D11*D38/$C$25,0)))</f>
        <v>76500</v>
      </c>
      <c r="E41" s="2">
        <f>IF($C$25=0,0,ROUND(E6*E11*E38/$C$25,0))</f>
        <v>0</v>
      </c>
      <c r="F41" s="157" t="e">
        <f>IF($C$25=0,0,IF('Phase designation'!D19=0,SUMPRODUCT(F57:F60,G57:G60),(G41/MAX(1,G6))*F6))</f>
        <v>#N/A</v>
      </c>
      <c r="G41" s="2">
        <f>IF($C$25=0,0,IF(AND(F6&gt;0,G6=0),ROUND(F6*F11*G38/$C$25,0),ROUND(G11*G38/$C$25,0)))</f>
        <v>59288</v>
      </c>
      <c r="H41" s="2">
        <f>IF($C$25=0,0,ROUND(H6*H11*H38/$C$25,0))</f>
        <v>0</v>
      </c>
      <c r="I41" s="157" t="e">
        <f>IF($C$25=0,0,IF('Phase designation'!F19=0,SUMPRODUCT(I57:I60,J57:J60),(J41/MAX(1,J6))*I6))</f>
        <v>#N/A</v>
      </c>
      <c r="J41" s="2">
        <f>IF($C$25=0,0,IF(AND(I6&gt;0,J6=0),ROUND(I6*I11*J38/$C$25,0),ROUND(J11*J38/$C$25,0)))</f>
        <v>122400</v>
      </c>
      <c r="K41" s="2">
        <f>IF($C$25=0,0,ROUND(K6*K11*K38/$C$25,0))</f>
        <v>1530000</v>
      </c>
      <c r="L41" s="157" t="e">
        <f>IF($C$25=0,0,IF('Phase designation'!H19=0,SUMPRODUCT(L57:L60,M57:M60),(M41/MAX(1,M6))*L6))</f>
        <v>#N/A</v>
      </c>
      <c r="M41" s="2">
        <f>IF($C$25=0,0,IF(AND(L6&gt;0,M6=0),ROUND(L6*L11*M38/$C$25,0),ROUND(M11*M38/$C$25,0)))</f>
        <v>87975</v>
      </c>
      <c r="N41" s="2">
        <f>IF($C$25=0,0,ROUND(N6*N11*N38/$C$25,0))</f>
        <v>175950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26</v>
      </c>
      <c r="T44" s="2">
        <f t="shared" si="15"/>
        <v>0</v>
      </c>
      <c r="U44" s="2">
        <f t="shared" si="15"/>
        <v>33</v>
      </c>
      <c r="V44" s="3">
        <f>SUM(R44:U44)</f>
        <v>59</v>
      </c>
      <c r="X44" t="s">
        <v>105</v>
      </c>
      <c r="Y44" s="2">
        <f>Phasing!D43</f>
        <v>0</v>
      </c>
      <c r="Z44" s="2">
        <f>Phasing!E43</f>
        <v>26</v>
      </c>
      <c r="AA44" s="2">
        <f>Phasing!F43</f>
        <v>0</v>
      </c>
      <c r="AB44" s="2">
        <f>Phasing!G43</f>
        <v>33</v>
      </c>
      <c r="AC44" s="34" t="s">
        <v>237</v>
      </c>
      <c r="AD44" s="34" t="s">
        <v>238</v>
      </c>
      <c r="AE44"/>
      <c r="AF44" s="3">
        <f>Y44+Z44</f>
        <v>26</v>
      </c>
      <c r="AG44" s="3">
        <f>AA44+AB44</f>
        <v>33</v>
      </c>
      <c r="AH44" t="s">
        <v>105</v>
      </c>
      <c r="AI44" s="2">
        <f>IF(MIN(AF44,$AC$45)=0,0,ROUND(Y44*MAX(AF44,$AC$45)/MIN(AF44,$AC$45)*$C$25/$AE$45,0))</f>
        <v>0</v>
      </c>
      <c r="AJ44" s="2">
        <f>IF(MIN(AF44,$AC$45)=0,0,ROUND(Z44*MAX(AF44,$AC$45)/MIN(AF44,$AC$45)*$C$25/$AE$45,0))</f>
        <v>36</v>
      </c>
      <c r="AK44" s="2">
        <f>IF(MIN(AG44,$AD$45)=0,0,ROUND(AA44*MAX(AG44,$AD$45)/MIN(AG44,$AD$45)*$C$25/$AE$45,0))</f>
        <v>0</v>
      </c>
      <c r="AL44" s="2">
        <f>$C$25-SUM(AI44:AK44)</f>
        <v>44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9</v>
      </c>
      <c r="U45" s="2">
        <f t="shared" si="15"/>
        <v>33</v>
      </c>
      <c r="V45" s="3">
        <f>SUM(R45:U45)</f>
        <v>77</v>
      </c>
      <c r="X45" t="s">
        <v>106</v>
      </c>
      <c r="Y45" s="2">
        <f>Phasing!H43</f>
        <v>9</v>
      </c>
      <c r="Z45" s="2">
        <f>Phasing!I43</f>
        <v>26</v>
      </c>
      <c r="AA45" s="2">
        <f>Phasing!J43</f>
        <v>9</v>
      </c>
      <c r="AB45" s="2">
        <f>Phasing!K43</f>
        <v>33</v>
      </c>
      <c r="AC45" s="34">
        <f>MAX(Y44+Z44,Y45+Z45)</f>
        <v>35</v>
      </c>
      <c r="AD45" s="34">
        <f>MAX(AA44+AB44,AA45+AB45)</f>
        <v>42</v>
      </c>
      <c r="AE45" s="31">
        <f>SUM(AC45:AD45)</f>
        <v>77</v>
      </c>
      <c r="AF45" s="3">
        <f>Y45+Z45</f>
        <v>35</v>
      </c>
      <c r="AG45" s="3">
        <f>AA45+AB45</f>
        <v>42</v>
      </c>
      <c r="AH45" t="s">
        <v>106</v>
      </c>
      <c r="AI45" s="2">
        <f>IF(MIN(AF45,$AC$45)=0,0,ROUND(Y45*MAX(AF45,$AC$45)/MIN(AF45,$AC$45)*$C$25/$AE$45,0))</f>
        <v>9</v>
      </c>
      <c r="AJ45" s="2">
        <f>IF(MIN(AF45,$AC$45)=0,0,ROUND(Z45*MAX(AF45,$AC$45)/MIN(AF45,$AC$45)*$C$25/$AE$45,0))</f>
        <v>27</v>
      </c>
      <c r="AK45" s="2">
        <f>IF(MIN(AG45,$AD$45)=0,0,ROUND(AA45*MAX(AG45,$AD$45)/MIN(AG45,$AD$45)*$C$25/$AE$45,0))</f>
        <v>9</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3">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3">
      <c r="B49" s="175" t="s">
        <v>412</v>
      </c>
      <c r="C49" s="237">
        <f>IF($C$25=0,"CHECK INPUT DATA!",IF(OR(SUM(C9:H9)=0,SUM(I9:N9)=0),0,ROUND(SUMPRODUCT(C9:N9,C44:N44)/O9,2)))</f>
        <v>0</v>
      </c>
      <c r="D49" s="237"/>
      <c r="E49"/>
      <c r="O49" s="84"/>
      <c r="Q49"/>
      <c r="R49" s="104">
        <v>0</v>
      </c>
      <c r="S49" s="104">
        <v>0.85</v>
      </c>
      <c r="T49" s="104" t="s">
        <v>420</v>
      </c>
      <c r="X49"/>
      <c r="AH49"/>
    </row>
    <row r="50" spans="2:50" x14ac:dyDescent="0.3">
      <c r="B50" s="85" t="s">
        <v>413</v>
      </c>
      <c r="C50" s="84" t="str">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153000</v>
      </c>
      <c r="D54" s="2">
        <f>IF($C$25=0,0,IF(D41=0,0,D11))</f>
        <v>153000</v>
      </c>
      <c r="E54" s="2">
        <f>IF($C$25=0,0,IF(AND(E6=0,E3&gt;0),ROUND(0.25*D54,0),E11))</f>
        <v>0</v>
      </c>
      <c r="F54" s="2">
        <f>ROUND(SUMPRODUCT(F66:F68,G66:G68),0)</f>
        <v>1439</v>
      </c>
      <c r="G54" s="2">
        <f>IF($C$25=0,0,IF(G41=0,0,G11))</f>
        <v>153000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3">
      <c r="B55" s="2" t="s">
        <v>355</v>
      </c>
      <c r="C55" s="2">
        <f t="shared" ref="C55:N55" si="17">IF($C$25=0,0,C38/$C$25)</f>
        <v>6.25E-2</v>
      </c>
      <c r="D55" s="2">
        <f t="shared" si="17"/>
        <v>0.5</v>
      </c>
      <c r="E55" s="2">
        <f t="shared" si="17"/>
        <v>0.5</v>
      </c>
      <c r="F55" s="2">
        <f t="shared" si="17"/>
        <v>0.38750000000000001</v>
      </c>
      <c r="G55" s="2">
        <f t="shared" si="17"/>
        <v>0.38750000000000001</v>
      </c>
      <c r="H55" s="2">
        <f t="shared" si="17"/>
        <v>0.38750000000000001</v>
      </c>
      <c r="I55" s="2">
        <f t="shared" si="17"/>
        <v>6.25E-2</v>
      </c>
      <c r="J55" s="2">
        <f t="shared" si="17"/>
        <v>0.4</v>
      </c>
      <c r="K55" s="2">
        <f t="shared" si="17"/>
        <v>0.4</v>
      </c>
      <c r="L55" s="2">
        <f t="shared" si="17"/>
        <v>0.28749999999999998</v>
      </c>
      <c r="M55" s="2">
        <f t="shared" si="17"/>
        <v>0.28749999999999998</v>
      </c>
      <c r="N55" s="2">
        <f t="shared" si="17"/>
        <v>0.28749999999999998</v>
      </c>
      <c r="Q55" t="s">
        <v>105</v>
      </c>
      <c r="R55" s="2">
        <f>IF(V44=0,0,ROUND(R44*$C$25/$V$44,0))</f>
        <v>0</v>
      </c>
      <c r="S55" s="2">
        <f>IF(V44=0,0,ROUND(S44*$C$25/$V$44,0))</f>
        <v>35</v>
      </c>
      <c r="T55" s="2">
        <f>IF(V44=0,0,ROUND(T44*$C$25/$V$44,0))</f>
        <v>0</v>
      </c>
      <c r="U55" s="2">
        <f>IF(V44=0,0,ROUND(U44*$C$25/$V$44,0))</f>
        <v>45</v>
      </c>
      <c r="W55" s="3">
        <f>SUM(R55:S55)</f>
        <v>35</v>
      </c>
      <c r="X55" s="3">
        <f>SUM(T55:U55)</f>
        <v>45</v>
      </c>
      <c r="Y55"/>
      <c r="Z55" t="s">
        <v>105</v>
      </c>
      <c r="AA55" s="2">
        <f>IF(W55=0,0,R31*MAX(Y44,ROUNDDOWN($W$58/W55*R55,0)))</f>
        <v>0</v>
      </c>
      <c r="AB55" s="2">
        <f>IF(W55=0,0,S31*MAX(Z44,ROUNDUP($W$58/W55*S55,0)))</f>
        <v>44</v>
      </c>
      <c r="AC55" s="2">
        <f>IF(X55=0,0,T31*MAX(AA44,ROUNDDOWN($X$58/X55*T55,0)))</f>
        <v>0</v>
      </c>
      <c r="AD55" s="2">
        <f>IF(X55=0,0,U31*MAX(AB44,ROUNDUP($X$58/X55*U55,0)))</f>
        <v>36</v>
      </c>
      <c r="AE55"/>
      <c r="AF55" t="s">
        <v>105</v>
      </c>
      <c r="AG55" s="2">
        <f>IF(AND(AB55=Z44,AA55+AB55&gt;W58),W58-AB57,AA57)</f>
        <v>0</v>
      </c>
      <c r="AH55" s="2">
        <f>IF(AND(AA55=Y44,AA55+AB55&gt;W58),W58-AA57,AB57)</f>
        <v>44</v>
      </c>
      <c r="AI55" s="2">
        <f>IF(AND(AD55=AB44,AC55+AD55&gt;X58),X58-AD57,AC57)</f>
        <v>0</v>
      </c>
      <c r="AJ55" s="2">
        <f>IF(AND(AC55=AA44,AC55+AD55&gt;X58),X58-AC57,AD57)</f>
        <v>36</v>
      </c>
      <c r="AK55" s="104"/>
      <c r="AM55"/>
      <c r="AT55"/>
    </row>
    <row r="56" spans="2:50" hidden="1" x14ac:dyDescent="0.3">
      <c r="C56" s="264" t="s">
        <v>13</v>
      </c>
      <c r="D56" s="264"/>
      <c r="F56" s="264" t="s">
        <v>18</v>
      </c>
      <c r="G56" s="264"/>
      <c r="I56" s="264" t="s">
        <v>3</v>
      </c>
      <c r="J56" s="264"/>
      <c r="L56" s="264" t="s">
        <v>8</v>
      </c>
      <c r="M56" s="264"/>
      <c r="Q56" t="s">
        <v>106</v>
      </c>
      <c r="R56" s="2">
        <f>IF(V45=0,0,ROUND(R45*$C$25/$V$45,0))</f>
        <v>9</v>
      </c>
      <c r="S56" s="2">
        <f>IF(V45=0,0,ROUND(S45*$C$25/$V$45,0))</f>
        <v>27</v>
      </c>
      <c r="T56" s="2">
        <f>IF(V45=0,0,ROUND(T45*$C$25/$V$45,0))</f>
        <v>9</v>
      </c>
      <c r="U56" s="2">
        <f>IF(V45=0,0,ROUND(U45*$C$25/$V$45,0))</f>
        <v>34</v>
      </c>
      <c r="W56" s="3">
        <f>SUM(R56:S56)</f>
        <v>36</v>
      </c>
      <c r="X56" s="3">
        <f>SUM(T56:U56)</f>
        <v>43</v>
      </c>
      <c r="Y56" s="84"/>
      <c r="Z56" t="s">
        <v>106</v>
      </c>
      <c r="AA56" s="2">
        <f>IF(W56=0,0,R32*MAX(Y45,ROUNDDOWN($W$58/W56*R56,0)))</f>
        <v>11</v>
      </c>
      <c r="AB56" s="2">
        <f>IF(W56=0,0,S32*MAX(Z45,ROUNDUP($W$58/W56*S56,0)))</f>
        <v>33</v>
      </c>
      <c r="AC56" s="2">
        <f>IF(X56=0,0,T32*MAX(AA45,ROUNDDOWN($X$58/X56*T56,0)))</f>
        <v>9</v>
      </c>
      <c r="AD56" s="2">
        <f>IF(X56=0,0,U32*MAX(AB45,ROUNDUP($X$58/X56*U56,0)))</f>
        <v>33</v>
      </c>
      <c r="AE56"/>
      <c r="AF56" t="s">
        <v>106</v>
      </c>
      <c r="AG56" s="2">
        <f>IF(AND(AB56=Z45,AA56+AB56&gt;W58),W58-AB56,AA58)</f>
        <v>11</v>
      </c>
      <c r="AH56" s="2">
        <f>IF(AND(AA56=Y45,AA56+AB56&gt;W58),W58-AA58,AB58)</f>
        <v>33</v>
      </c>
      <c r="AI56" s="2">
        <f>IF(AND(AD56=AB45,AC56+AD56&gt;X58),X58-AD58,AC58)</f>
        <v>3</v>
      </c>
      <c r="AJ56" s="2">
        <f>IF(AND(AC56=AA45,AC56+AD56&gt;X58),X58-AC58,AD58)</f>
        <v>27</v>
      </c>
      <c r="AK56" s="104"/>
      <c r="AM56"/>
      <c r="AT56"/>
    </row>
    <row r="57" spans="2:50" hidden="1" x14ac:dyDescent="0.3">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36</v>
      </c>
      <c r="X57" s="34">
        <f>MAX(AD45,MAX(X55:X56))</f>
        <v>45</v>
      </c>
      <c r="Y57" s="84"/>
      <c r="Z57" t="s">
        <v>105</v>
      </c>
      <c r="AA57" s="2">
        <f>AA55</f>
        <v>0</v>
      </c>
      <c r="AB57" s="2">
        <f t="shared" ref="AB57:AD58" si="18">AB55</f>
        <v>44</v>
      </c>
      <c r="AC57" s="2">
        <f t="shared" si="18"/>
        <v>0</v>
      </c>
      <c r="AD57" s="2">
        <f t="shared" si="18"/>
        <v>36</v>
      </c>
    </row>
    <row r="58" spans="2:50" ht="15" hidden="1" thickBot="1" x14ac:dyDescent="0.35">
      <c r="B58" s="2" t="s">
        <v>225</v>
      </c>
      <c r="C58" s="2">
        <f>C96</f>
        <v>13388</v>
      </c>
      <c r="D58" s="2">
        <f>IF('Phase designation'!B22=1,1,0)</f>
        <v>1</v>
      </c>
      <c r="F58" s="2">
        <f>F96</f>
        <v>0</v>
      </c>
      <c r="G58" s="2">
        <f>IF('Phase designation'!D22=1,1,0)</f>
        <v>0</v>
      </c>
      <c r="I58" s="2">
        <f>I96</f>
        <v>13388</v>
      </c>
      <c r="J58" s="2">
        <f>IF('Phase designation'!F22=1,1,0)</f>
        <v>1</v>
      </c>
      <c r="L58" s="2">
        <f>L96</f>
        <v>0</v>
      </c>
      <c r="M58" s="2">
        <f>IF('Phase designation'!H22=1,1,0)</f>
        <v>0</v>
      </c>
      <c r="W58" s="31">
        <f>C25-MIN(W57:X57)</f>
        <v>44</v>
      </c>
      <c r="X58" s="31">
        <f>C25-W58</f>
        <v>36</v>
      </c>
      <c r="Y58"/>
      <c r="Z58" t="s">
        <v>106</v>
      </c>
      <c r="AA58" s="2">
        <f>AA56</f>
        <v>11</v>
      </c>
      <c r="AB58" s="2">
        <f t="shared" si="18"/>
        <v>33</v>
      </c>
      <c r="AC58" s="2">
        <f t="shared" si="18"/>
        <v>9</v>
      </c>
      <c r="AD58" s="2">
        <f t="shared" si="18"/>
        <v>33</v>
      </c>
      <c r="AE58" s="105" t="s">
        <v>223</v>
      </c>
    </row>
    <row r="59" spans="2:50" hidden="1" x14ac:dyDescent="0.3">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44</v>
      </c>
      <c r="T60" s="38">
        <f t="shared" si="19"/>
        <v>0</v>
      </c>
      <c r="U60" s="38">
        <f t="shared" si="19"/>
        <v>36</v>
      </c>
      <c r="V60" s="3">
        <f>SUM(R60:U60)</f>
        <v>80</v>
      </c>
      <c r="W60" s="34">
        <f>R60+S60</f>
        <v>44</v>
      </c>
      <c r="X60" s="93">
        <f>T60+U60</f>
        <v>36</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11</v>
      </c>
      <c r="S61" s="95">
        <f t="shared" si="19"/>
        <v>33</v>
      </c>
      <c r="T61" s="95">
        <f t="shared" si="19"/>
        <v>3</v>
      </c>
      <c r="U61" s="95">
        <f t="shared" si="19"/>
        <v>27</v>
      </c>
      <c r="V61" s="96">
        <f>SUM(R61:U61)</f>
        <v>74</v>
      </c>
      <c r="W61" s="97">
        <f>R61+S61</f>
        <v>44</v>
      </c>
      <c r="X61" s="98">
        <f>T61+U61</f>
        <v>30</v>
      </c>
      <c r="Y61"/>
      <c r="Z61" t="s">
        <v>106</v>
      </c>
      <c r="AA61" s="2">
        <f t="shared" si="20"/>
        <v>0</v>
      </c>
      <c r="AB61" s="2">
        <f t="shared" si="20"/>
        <v>0</v>
      </c>
      <c r="AC61" s="2">
        <f t="shared" si="20"/>
        <v>1</v>
      </c>
      <c r="AD61" s="2">
        <f t="shared" si="20"/>
        <v>1</v>
      </c>
      <c r="AE61" s="108">
        <f>SUM(AA60:AD61)</f>
        <v>2</v>
      </c>
    </row>
    <row r="62" spans="2:50" hidden="1" x14ac:dyDescent="0.3">
      <c r="B62" s="2" t="s">
        <v>322</v>
      </c>
      <c r="C62" s="2">
        <f>MAX(0,D37)</f>
        <v>37.800000000000004</v>
      </c>
      <c r="D62" s="2">
        <f>D57</f>
        <v>0</v>
      </c>
      <c r="F62" s="2">
        <f>MAX(0,G37)</f>
        <v>28.8</v>
      </c>
      <c r="G62" s="2">
        <f>G57</f>
        <v>1</v>
      </c>
      <c r="I62" s="2">
        <f>MAX(0,J37)</f>
        <v>29.400000000000002</v>
      </c>
      <c r="J62" s="2">
        <f>J57</f>
        <v>0</v>
      </c>
      <c r="L62" s="2">
        <f>MAX(0,M37)</f>
        <v>20.400000000000002</v>
      </c>
      <c r="M62" s="2">
        <f>M57</f>
        <v>1</v>
      </c>
      <c r="Z62" s="105"/>
      <c r="AA62" s="105"/>
      <c r="AB62" s="105"/>
      <c r="AC62" s="105"/>
      <c r="AD62" s="105"/>
      <c r="AE62" s="105"/>
      <c r="AF62" s="105"/>
      <c r="AG62" s="105"/>
      <c r="AH62" s="105"/>
      <c r="AI62" s="105"/>
    </row>
    <row r="63" spans="2:50" hidden="1" x14ac:dyDescent="0.3">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3">
      <c r="B64" s="2" t="s">
        <v>324</v>
      </c>
      <c r="C64" s="2">
        <f>MAX(0,C63+C62-C35-C36)</f>
        <v>38.800000000000004</v>
      </c>
      <c r="D64" s="2">
        <f>D59</f>
        <v>0</v>
      </c>
      <c r="F64" s="2">
        <f>MAX(0,F63+F62-F35-F36)</f>
        <v>22.599999999999998</v>
      </c>
      <c r="G64" s="2">
        <f>G59</f>
        <v>0</v>
      </c>
      <c r="I64" s="2">
        <f>MAX(0,I63+I62-I35-I36)</f>
        <v>30.400000000000006</v>
      </c>
      <c r="J64" s="2">
        <f>J59</f>
        <v>0</v>
      </c>
      <c r="L64" s="2">
        <f>MAX(0,L63+L62-L35-L36)</f>
        <v>13.800000000000002</v>
      </c>
      <c r="M64" s="2">
        <f>M59</f>
        <v>0</v>
      </c>
      <c r="Q64" s="2">
        <f>C83</f>
        <v>0</v>
      </c>
      <c r="R64" s="2">
        <f>D83</f>
        <v>36</v>
      </c>
      <c r="S64" s="2">
        <f>E83</f>
        <v>0</v>
      </c>
      <c r="T64" s="2">
        <f>F83</f>
        <v>44</v>
      </c>
      <c r="U64" s="2">
        <f>C84</f>
        <v>9</v>
      </c>
      <c r="V64" s="2">
        <f>D84</f>
        <v>27</v>
      </c>
      <c r="W64" s="2">
        <f>E84</f>
        <v>9</v>
      </c>
      <c r="X64" s="2">
        <f>F84</f>
        <v>35</v>
      </c>
    </row>
    <row r="65" spans="2:24" hidden="1" x14ac:dyDescent="0.3">
      <c r="Q65" s="2">
        <f>C33</f>
        <v>7</v>
      </c>
      <c r="R65" s="2">
        <f>D33</f>
        <v>4</v>
      </c>
      <c r="S65" s="2">
        <f>F33</f>
        <v>0</v>
      </c>
      <c r="T65" s="2">
        <f>G33</f>
        <v>8</v>
      </c>
      <c r="U65" s="2">
        <f>I33</f>
        <v>5</v>
      </c>
      <c r="V65" s="2">
        <f>J33</f>
        <v>2</v>
      </c>
      <c r="W65" s="2">
        <f>L33</f>
        <v>0</v>
      </c>
      <c r="X65" s="2">
        <f>M33</f>
        <v>6</v>
      </c>
    </row>
    <row r="66" spans="2:24" hidden="1" x14ac:dyDescent="0.3">
      <c r="B66" s="2" t="s">
        <v>432</v>
      </c>
      <c r="C66" s="2">
        <f>C14</f>
        <v>0</v>
      </c>
      <c r="D66" s="2">
        <f>D62</f>
        <v>0</v>
      </c>
      <c r="F66" s="2">
        <f>F14</f>
        <v>1439</v>
      </c>
      <c r="G66" s="2">
        <f>G62</f>
        <v>1</v>
      </c>
      <c r="I66" s="2">
        <f>I14</f>
        <v>0</v>
      </c>
      <c r="J66" s="2">
        <f>J62</f>
        <v>0</v>
      </c>
      <c r="L66" s="2">
        <f>L14</f>
        <v>1439</v>
      </c>
      <c r="M66" s="2">
        <f>M62</f>
        <v>1</v>
      </c>
    </row>
    <row r="67" spans="2:24" hidden="1" x14ac:dyDescent="0.3">
      <c r="B67" s="2" t="s">
        <v>433</v>
      </c>
      <c r="C67" s="2">
        <f>C11</f>
        <v>153000</v>
      </c>
      <c r="D67" s="2">
        <f>D63</f>
        <v>1</v>
      </c>
      <c r="F67" s="2">
        <f>F11</f>
        <v>0</v>
      </c>
      <c r="G67" s="2">
        <f>G63</f>
        <v>0</v>
      </c>
      <c r="I67" s="2">
        <f>I11</f>
        <v>153000</v>
      </c>
      <c r="J67" s="2">
        <f>J63</f>
        <v>1</v>
      </c>
      <c r="L67" s="2">
        <f>L11</f>
        <v>0</v>
      </c>
      <c r="M67" s="2">
        <f>M63</f>
        <v>0</v>
      </c>
    </row>
    <row r="68" spans="2:24" hidden="1" x14ac:dyDescent="0.3">
      <c r="B68" s="2" t="s">
        <v>434</v>
      </c>
      <c r="C68" s="165">
        <f>IF(C64=0,0,(C67*C63+C66*C62)/C64)</f>
        <v>19716.494845360823</v>
      </c>
      <c r="D68" s="2">
        <f>D64</f>
        <v>0</v>
      </c>
      <c r="F68" s="165">
        <f>IF(F64=0,0,(F67*F63+F66*F62)/F64)</f>
        <v>1833.7699115044252</v>
      </c>
      <c r="G68" s="2">
        <f>G64</f>
        <v>0</v>
      </c>
      <c r="I68" s="165">
        <f>IF(I64=0,0,(I67*I63+I66*I62)/I64)</f>
        <v>25164.473684210523</v>
      </c>
      <c r="J68" s="2">
        <f>J64</f>
        <v>0</v>
      </c>
      <c r="L68" s="165">
        <f>IF(L64=0,0,(L67*L63+L66*L62)/L64)</f>
        <v>2127.2173913043475</v>
      </c>
      <c r="M68" s="2">
        <f>M64</f>
        <v>0</v>
      </c>
    </row>
    <row r="69" spans="2:24" hidden="1" x14ac:dyDescent="0.3">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3">
      <c r="B72" s="2" t="s">
        <v>334</v>
      </c>
      <c r="C72" s="2">
        <f>IF(C34&lt;F34,MAX(0,MIN(C34+G34-F34-D35-D36,G34-D35-D36)),G34-D35-D36)</f>
        <v>28.8</v>
      </c>
      <c r="F72" s="2">
        <f>IF(F34&lt;C34,MAX(0,MIN(F34+D34-C34-G35-G36,D34-G35-G36)),D34-G35-G36)</f>
        <v>28.8</v>
      </c>
      <c r="I72" s="2">
        <f>IF(I34&lt;L34,MAX(0,MIN(I34+M34-L34-J35-J36,M34-J35-J36)),M34-J35-J36)</f>
        <v>20.400000000000002</v>
      </c>
      <c r="L72" s="2">
        <f>IF(L34&lt;I34,MAX(0,MIN(L34+J34-I34-M35-M36,J34-M35-M36)),J34-M35-M36)</f>
        <v>20.400000000000002</v>
      </c>
    </row>
    <row r="73" spans="2:24" hidden="1" x14ac:dyDescent="0.3">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3">
      <c r="B74" s="2" t="s">
        <v>339</v>
      </c>
      <c r="C74" s="2">
        <v>2</v>
      </c>
      <c r="F74" s="2">
        <v>2</v>
      </c>
      <c r="I74" s="2">
        <v>2</v>
      </c>
      <c r="L74" s="2">
        <v>2</v>
      </c>
    </row>
    <row r="75" spans="2:24" hidden="1" x14ac:dyDescent="0.3">
      <c r="B75" s="2" t="s">
        <v>338</v>
      </c>
      <c r="C75" s="2" t="e">
        <f>Phasing!O27</f>
        <v>#N/A</v>
      </c>
      <c r="F75" s="2" t="e">
        <f>Phasing!Q27</f>
        <v>#N/A</v>
      </c>
      <c r="I75" s="2" t="e">
        <f>Phasing!S27</f>
        <v>#N/A</v>
      </c>
      <c r="L75" s="2" t="e">
        <f>Phasing!U27</f>
        <v>#N/A</v>
      </c>
    </row>
    <row r="76" spans="2:24" hidden="1" x14ac:dyDescent="0.3">
      <c r="B76" s="2" t="s">
        <v>335</v>
      </c>
      <c r="C76" s="2" t="e">
        <f>MIN(C71+C75,C77)</f>
        <v>#N/A</v>
      </c>
      <c r="F76" s="2" t="e">
        <f>MIN(F71+F75,F77)</f>
        <v>#N/A</v>
      </c>
      <c r="I76" s="2" t="e">
        <f>MIN(I71+I75,I77)</f>
        <v>#N/A</v>
      </c>
      <c r="L76" s="2" t="e">
        <f>MIN(L71+L75,L77)</f>
        <v>#N/A</v>
      </c>
    </row>
    <row r="77" spans="2:24" hidden="1" x14ac:dyDescent="0.3">
      <c r="B77" s="2" t="s">
        <v>336</v>
      </c>
      <c r="C77" s="2" t="e">
        <f>MAX(0,C72-C73+C75)</f>
        <v>#N/A</v>
      </c>
      <c r="F77" s="2" t="e">
        <f>MAX(0,F72-F73+F75)</f>
        <v>#N/A</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v>
      </c>
    </row>
    <row r="83" spans="2:21" x14ac:dyDescent="0.3">
      <c r="B83" s="101" t="s">
        <v>105</v>
      </c>
      <c r="C83" s="101">
        <f t="shared" ref="C83:F84" si="22">IF($C$25=0,0,IF($AE$61=0,R60,AI44))</f>
        <v>0</v>
      </c>
      <c r="D83" s="101">
        <f t="shared" si="22"/>
        <v>36</v>
      </c>
      <c r="E83" s="101">
        <f t="shared" si="22"/>
        <v>0</v>
      </c>
      <c r="F83" s="101">
        <f t="shared" si="22"/>
        <v>44</v>
      </c>
      <c r="G83" s="102">
        <f>SUM(C83:F83)</f>
        <v>80</v>
      </c>
      <c r="H83" s="103">
        <f>C83+D83</f>
        <v>36</v>
      </c>
      <c r="I83" s="103">
        <f>E83+F83</f>
        <v>44</v>
      </c>
      <c r="Q83"/>
    </row>
    <row r="84" spans="2:21" x14ac:dyDescent="0.3">
      <c r="B84" s="101" t="s">
        <v>106</v>
      </c>
      <c r="C84" s="101">
        <f t="shared" si="22"/>
        <v>9</v>
      </c>
      <c r="D84" s="101">
        <f t="shared" si="22"/>
        <v>27</v>
      </c>
      <c r="E84" s="101">
        <f t="shared" si="22"/>
        <v>9</v>
      </c>
      <c r="F84" s="101">
        <f t="shared" si="22"/>
        <v>35</v>
      </c>
      <c r="G84" s="102">
        <f>SUM(C84:F84)</f>
        <v>80</v>
      </c>
      <c r="H84" s="103">
        <f>C84+D84</f>
        <v>36</v>
      </c>
      <c r="I84" s="103">
        <f>E84+F84</f>
        <v>44</v>
      </c>
      <c r="T84" s="122">
        <f>IF($C$25=0,"CHECK INPUT DATA",IF(OR(SUM(C9:H9)=0,SUM(I9:N9)=0),0,ROUND(SUMPRODUCT(C9:N9,C44:N44)/O9,2)))</f>
        <v>0</v>
      </c>
      <c r="U84" s="84" t="str">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5</v>
      </c>
      <c r="D90" s="123">
        <f t="shared" ref="D90:N90" si="23">D38</f>
        <v>40</v>
      </c>
      <c r="E90" s="123">
        <f t="shared" si="23"/>
        <v>40</v>
      </c>
      <c r="F90" s="123">
        <f t="shared" si="23"/>
        <v>31</v>
      </c>
      <c r="G90" s="123">
        <f t="shared" si="23"/>
        <v>31</v>
      </c>
      <c r="H90" s="123">
        <f t="shared" si="23"/>
        <v>31</v>
      </c>
      <c r="I90" s="123">
        <f t="shared" si="23"/>
        <v>5</v>
      </c>
      <c r="J90" s="123">
        <f t="shared" si="23"/>
        <v>32</v>
      </c>
      <c r="K90" s="123">
        <f t="shared" si="23"/>
        <v>32</v>
      </c>
      <c r="L90" s="123">
        <f t="shared" si="23"/>
        <v>23</v>
      </c>
      <c r="M90" s="123">
        <f t="shared" si="23"/>
        <v>23</v>
      </c>
      <c r="N90" s="123">
        <f t="shared" si="23"/>
        <v>23</v>
      </c>
    </row>
    <row r="91" spans="2:21" hidden="1" x14ac:dyDescent="0.3">
      <c r="B91" s="2" t="s">
        <v>342</v>
      </c>
      <c r="C91" s="2">
        <f>C3*$C$25/3600</f>
        <v>0</v>
      </c>
      <c r="F91" s="2">
        <f>F3*$C$25/3600</f>
        <v>2.2222222222222223E-2</v>
      </c>
      <c r="I91" s="2">
        <f>I3*$C$25/3600</f>
        <v>0</v>
      </c>
      <c r="L91" s="2">
        <f>L3*$C$25/3600</f>
        <v>2.2222222222222223E-2</v>
      </c>
    </row>
    <row r="92" spans="2:21" hidden="1" x14ac:dyDescent="0.3">
      <c r="B92" s="2" t="s">
        <v>341</v>
      </c>
      <c r="C92" s="2">
        <f>MAX(C90*EXP(-0.86*(C91^0.629)-C73),0)</f>
        <v>5</v>
      </c>
      <c r="F92" s="2" t="e">
        <f>MAX(F90*EXP(-0.86*(F91^0.629)-F73),0)</f>
        <v>#N/A</v>
      </c>
      <c r="I92" s="2">
        <f>MAX(I90*EXP(-0.86*(I91^0.629)-I73),0)</f>
        <v>5</v>
      </c>
      <c r="L92" s="2" t="e">
        <f>MAX(L90*EXP(-0.86*(L91^0.629)-L73),0)</f>
        <v>#N/A</v>
      </c>
    </row>
    <row r="93" spans="2:21" hidden="1" x14ac:dyDescent="0.3">
      <c r="B93" s="2" t="s">
        <v>343</v>
      </c>
      <c r="C93" s="2">
        <f>MAX(C90*EXP(-0.882*(C91^0.717)-C73),0)</f>
        <v>5</v>
      </c>
      <c r="F93" s="2" t="e">
        <f>MAX(F90*EXP(-0.882*(F91^0.717)-F73),0)</f>
        <v>#N/A</v>
      </c>
      <c r="I93" s="2">
        <f>MAX(I90*EXP(-0.882*(I91^0.717)-I73),0)</f>
        <v>5</v>
      </c>
      <c r="L93" s="2" t="e">
        <f>MAX(L90*EXP(-0.882*(L91^0.717)-L73),0)</f>
        <v>#N/A</v>
      </c>
    </row>
    <row r="94" spans="2:21" hidden="1" x14ac:dyDescent="0.3">
      <c r="B94" s="2" t="s">
        <v>340</v>
      </c>
      <c r="C94" s="2">
        <f>IF(SUM(C6:E6)=1,C92,C93)</f>
        <v>5</v>
      </c>
      <c r="F94" s="2" t="e">
        <f>IF(SUM(F6:H6)=1,F92,F93)</f>
        <v>#N/A</v>
      </c>
      <c r="I94" s="2">
        <f>IF(SUM(I6:K6)=1,I92,I93)</f>
        <v>5</v>
      </c>
      <c r="L94" s="2" t="e">
        <f>IF(SUM(L6:N6)=1,L92,L93)</f>
        <v>#N/A</v>
      </c>
    </row>
    <row r="95" spans="2:21" hidden="1" x14ac:dyDescent="0.3"/>
    <row r="96" spans="2:21" hidden="1" x14ac:dyDescent="0.3">
      <c r="B96" s="123" t="s">
        <v>349</v>
      </c>
      <c r="C96" s="123">
        <f>MAX(0,ROUND(C6*(C63+C35-1)*C11/$C$25,0))</f>
        <v>13388</v>
      </c>
      <c r="D96" s="123"/>
      <c r="E96" s="123"/>
      <c r="F96" s="123">
        <f>MAX(0,ROUND(F6*(F63+F35-1)*F11/$C$25,0))</f>
        <v>0</v>
      </c>
      <c r="G96" s="123"/>
      <c r="H96" s="123"/>
      <c r="I96" s="123">
        <f>MAX(0,ROUND(I6*(I63+I35-1)*I11/$C$25,0))</f>
        <v>13388</v>
      </c>
      <c r="J96" s="123"/>
      <c r="K96" s="123"/>
      <c r="L96" s="123">
        <f>MAX(0,ROUND(L6*(L63+L35-1)*L11/$C$25,0))</f>
        <v>0</v>
      </c>
    </row>
    <row r="97" spans="1:13" hidden="1" x14ac:dyDescent="0.3">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3">
      <c r="B98" s="2" t="s">
        <v>345</v>
      </c>
      <c r="C98" s="2">
        <f>IF(C14=0,0,$S$2/C14)</f>
        <v>0</v>
      </c>
      <c r="F98" s="2">
        <f>IF(F14=0,0,$S$2/F14)</f>
        <v>0.8484364141765115</v>
      </c>
      <c r="I98" s="2">
        <f>IF(I14=0,0,$S$2/I14)</f>
        <v>0</v>
      </c>
      <c r="L98" s="2">
        <f>IF(L14=0,0,$S$2/L14)</f>
        <v>0.8484364141765115</v>
      </c>
    </row>
    <row r="99" spans="1:13" hidden="1" x14ac:dyDescent="0.3">
      <c r="B99" s="2" t="s">
        <v>346</v>
      </c>
      <c r="C99" s="2" t="e">
        <f>MAX(0,0.5*(C77-C76-C94))</f>
        <v>#N/A</v>
      </c>
      <c r="F99" s="2" t="e">
        <f>MAX(0,0.5*(F77-F76-F94))</f>
        <v>#N/A</v>
      </c>
      <c r="I99" s="2" t="e">
        <f>MAX(0,0.5*(I77-I76-I94))</f>
        <v>#N/A</v>
      </c>
      <c r="L99" s="2" t="e">
        <f>MAX(0,0.5*(L77-L76-L94))</f>
        <v>#N/A</v>
      </c>
    </row>
    <row r="100" spans="1:13" hidden="1" x14ac:dyDescent="0.3">
      <c r="B100" s="2" t="s">
        <v>348</v>
      </c>
      <c r="C100" s="2">
        <f>IF(SUM(F3:H3)=0,0,F3/SUM(F3:H3))</f>
        <v>1</v>
      </c>
      <c r="F100" s="2">
        <f>IF(SUM(C3:E3)=0,0,C3/SUM(C3:E3))</f>
        <v>0</v>
      </c>
      <c r="I100" s="2">
        <f>IF(SUM(L3:N3)=0,0,L3/SUM(L3:N3))</f>
        <v>1</v>
      </c>
      <c r="L100" s="2">
        <f>IF(SUM(I3:K3)=0,0,I3/SUM(I3:K3))</f>
        <v>0</v>
      </c>
    </row>
    <row r="101" spans="1:13" hidden="1" x14ac:dyDescent="0.3">
      <c r="B101" s="2" t="s">
        <v>347</v>
      </c>
      <c r="C101" s="2" t="e">
        <f>IF(C100=0,0,MAX(1,(1-(1-C100)^C99)/C100))</f>
        <v>#N/A</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1</v>
      </c>
      <c r="I102" s="2">
        <f>IF(SUM(I3:K3)=0,0,I3/SUM(I3:K3))</f>
        <v>0</v>
      </c>
      <c r="L102" s="2">
        <f>IF(SUM(L3:N3)=0,0,L3/SUM(L3:N3))</f>
        <v>1</v>
      </c>
    </row>
    <row r="103" spans="1:13" hidden="1" x14ac:dyDescent="0.3">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3">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89" t="s">
        <v>479</v>
      </c>
      <c r="B106" s="138" t="s">
        <v>73</v>
      </c>
      <c r="C106" s="138"/>
      <c r="D106" s="138" t="s">
        <v>14</v>
      </c>
      <c r="E106" s="138"/>
      <c r="F106" s="138"/>
      <c r="G106" s="138" t="s">
        <v>19</v>
      </c>
      <c r="H106" s="138"/>
      <c r="I106" s="138"/>
      <c r="J106" s="138" t="s">
        <v>4</v>
      </c>
      <c r="K106" s="138"/>
      <c r="L106" s="138"/>
      <c r="M106" s="160" t="s">
        <v>9</v>
      </c>
    </row>
    <row r="107" spans="1:13" hidden="1" x14ac:dyDescent="0.3">
      <c r="A107" s="285"/>
      <c r="B107" s="2" t="s">
        <v>470</v>
      </c>
      <c r="D107" s="2">
        <f>D37-Phasing!P19</f>
        <v>16.800000000000004</v>
      </c>
      <c r="G107" s="2">
        <f>G37-Phasing!R19</f>
        <v>7.8000000000000007</v>
      </c>
      <c r="J107" s="2">
        <f>J37-Phasing!T19</f>
        <v>15.400000000000002</v>
      </c>
      <c r="M107" s="24">
        <f>M37-Phasing!V19</f>
        <v>6.4000000000000021</v>
      </c>
    </row>
    <row r="108" spans="1:13" hidden="1" x14ac:dyDescent="0.3">
      <c r="A108" s="285"/>
      <c r="B108" s="2" t="s">
        <v>471</v>
      </c>
      <c r="D108" s="2">
        <f>D107+4</f>
        <v>20.800000000000004</v>
      </c>
      <c r="G108" s="2">
        <f>G107+4</f>
        <v>11.8</v>
      </c>
      <c r="J108" s="2">
        <f>J107+4</f>
        <v>19.400000000000002</v>
      </c>
      <c r="M108" s="24">
        <f>M107+4</f>
        <v>10.400000000000002</v>
      </c>
    </row>
    <row r="109" spans="1:13" hidden="1" x14ac:dyDescent="0.3">
      <c r="A109" s="285"/>
      <c r="B109" s="2" t="s">
        <v>472</v>
      </c>
      <c r="C109" s="187"/>
      <c r="D109" s="187">
        <f>(($C$25-D108)^2)/(2*$C$25)</f>
        <v>21.903999999999996</v>
      </c>
      <c r="E109" s="187"/>
      <c r="F109" s="187"/>
      <c r="G109" s="187">
        <f>(($C$25-G108)^2)/(2*$C$25)</f>
        <v>29.070250000000005</v>
      </c>
      <c r="H109" s="187"/>
      <c r="I109" s="187"/>
      <c r="J109" s="187">
        <f>(($C$25-J108)^2)/(2*$C$25)</f>
        <v>22.952249999999996</v>
      </c>
      <c r="K109" s="187"/>
      <c r="L109" s="187"/>
      <c r="M109" s="216">
        <f>(($C$25-M108)^2)/(2*$C$25)</f>
        <v>30.275999999999993</v>
      </c>
    </row>
    <row r="110" spans="1:13" hidden="1" x14ac:dyDescent="0.3">
      <c r="A110" s="285"/>
      <c r="B110" s="2" t="s">
        <v>476</v>
      </c>
      <c r="D110" s="2">
        <f>'Input sheet'!E17</f>
        <v>0</v>
      </c>
      <c r="G110" s="2">
        <f>'Input sheet'!Q17</f>
        <v>0</v>
      </c>
      <c r="J110" s="2">
        <f>'Input sheet'!O21</f>
        <v>0</v>
      </c>
      <c r="M110" s="24">
        <f>'Input sheet'!M6</f>
        <v>0</v>
      </c>
    </row>
    <row r="111" spans="1:13" hidden="1" x14ac:dyDescent="0.3">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5"/>
      <c r="B112" s="2" t="s">
        <v>477</v>
      </c>
      <c r="D112" s="178">
        <f>D111+G111+J111+M111</f>
        <v>0</v>
      </c>
      <c r="E112" s="178"/>
      <c r="F112" s="178"/>
      <c r="G112" s="178"/>
      <c r="H112" s="178"/>
      <c r="I112" s="178"/>
      <c r="J112" s="178"/>
      <c r="K112" s="178"/>
      <c r="L112" s="178"/>
      <c r="M112" s="217"/>
    </row>
    <row r="113" spans="1:58" hidden="1" x14ac:dyDescent="0.3">
      <c r="A113" s="285"/>
      <c r="B113" s="2" t="s">
        <v>486</v>
      </c>
      <c r="D113" s="165">
        <f>Phasing!P3</f>
        <v>48</v>
      </c>
      <c r="E113" s="165"/>
      <c r="F113" s="165"/>
      <c r="G113" s="165">
        <f>Phasing!R3</f>
        <v>48</v>
      </c>
      <c r="H113" s="165"/>
      <c r="I113" s="165"/>
      <c r="J113" s="165">
        <f>Phasing!T3</f>
        <v>72</v>
      </c>
      <c r="K113" s="165"/>
      <c r="L113" s="165"/>
      <c r="M113" s="219">
        <f>Phasing!V3</f>
        <v>72</v>
      </c>
    </row>
    <row r="114" spans="1:58" hidden="1" x14ac:dyDescent="0.3">
      <c r="A114" s="290"/>
      <c r="B114" s="159" t="s">
        <v>487</v>
      </c>
      <c r="C114" s="159"/>
      <c r="D114" s="220">
        <f>MAX(D113:M113)</f>
        <v>72</v>
      </c>
      <c r="E114" s="220"/>
      <c r="F114" s="220"/>
      <c r="G114" s="220"/>
      <c r="H114" s="220"/>
      <c r="I114" s="220"/>
      <c r="J114" s="220"/>
      <c r="K114" s="220"/>
      <c r="L114" s="220"/>
      <c r="M114" s="221"/>
    </row>
    <row r="115" spans="1:58" hidden="1" x14ac:dyDescent="0.3"/>
    <row r="116" spans="1:58" hidden="1" x14ac:dyDescent="0.3">
      <c r="A116" s="289" t="s">
        <v>485</v>
      </c>
      <c r="B116" s="138" t="s">
        <v>73</v>
      </c>
      <c r="C116" s="138"/>
      <c r="D116" s="138" t="s">
        <v>14</v>
      </c>
      <c r="E116" s="138"/>
      <c r="F116" s="138"/>
      <c r="G116" s="138" t="s">
        <v>19</v>
      </c>
      <c r="H116" s="138"/>
      <c r="I116" s="138"/>
      <c r="J116" s="138" t="s">
        <v>4</v>
      </c>
      <c r="K116" s="138"/>
      <c r="L116" s="138"/>
      <c r="M116" s="160" t="s">
        <v>9</v>
      </c>
    </row>
    <row r="117" spans="1:58" hidden="1" x14ac:dyDescent="0.3">
      <c r="A117" s="285"/>
      <c r="B117" s="2" t="s">
        <v>480</v>
      </c>
      <c r="D117" s="165">
        <f>2000*D38/$C$25</f>
        <v>1000</v>
      </c>
      <c r="E117" s="165"/>
      <c r="F117" s="165"/>
      <c r="G117" s="165">
        <f>2000*G38/$C$25</f>
        <v>775</v>
      </c>
      <c r="H117" s="165"/>
      <c r="I117" s="165"/>
      <c r="J117" s="165">
        <f>2000*J38/$C$25</f>
        <v>800</v>
      </c>
      <c r="K117" s="165"/>
      <c r="L117" s="165"/>
      <c r="M117" s="219">
        <f>2000*M38/$C$25</f>
        <v>575</v>
      </c>
    </row>
    <row r="118" spans="1:58" hidden="1" x14ac:dyDescent="0.3">
      <c r="A118" s="285"/>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3">
      <c r="A119" s="285"/>
      <c r="B119" s="2" t="s">
        <v>483</v>
      </c>
      <c r="D119" s="165">
        <f>D38</f>
        <v>40</v>
      </c>
      <c r="E119" s="165"/>
      <c r="F119" s="165"/>
      <c r="G119" s="165">
        <f>G38</f>
        <v>31</v>
      </c>
      <c r="H119" s="165"/>
      <c r="I119" s="165"/>
      <c r="J119" s="165">
        <f>J38</f>
        <v>32</v>
      </c>
      <c r="K119" s="165"/>
      <c r="L119" s="165"/>
      <c r="M119" s="219">
        <f>M38</f>
        <v>23</v>
      </c>
    </row>
    <row r="120" spans="1:58" hidden="1" x14ac:dyDescent="0.3">
      <c r="A120" s="285"/>
      <c r="B120" s="2" t="s">
        <v>481</v>
      </c>
      <c r="D120" s="187">
        <f>(0.5*$C$25*(1-D119/$C$25)^2)/(1-(D118/D117)*(D119/$C$25))</f>
        <v>10.004602116973809</v>
      </c>
      <c r="E120" s="187"/>
      <c r="F120" s="187"/>
      <c r="G120" s="187">
        <f>(0.5*$C$25*(1-G119/$C$25)^2)/(1-(G118/G117)*(G119/$C$25))</f>
        <v>15.013156051783824</v>
      </c>
      <c r="H120" s="187"/>
      <c r="I120" s="187"/>
      <c r="J120" s="187">
        <f>(0.5*$C$25*(1-J119/$C$25)^2)/(1-(J118/J117)*(J119/$C$25))</f>
        <v>14.406627048442282</v>
      </c>
      <c r="K120" s="187"/>
      <c r="L120" s="187"/>
      <c r="M120" s="216">
        <f>(0.5*$C$25*(1-M119/$C$25)^2)/(1-(M118/M117)*(M119/$C$25))</f>
        <v>20.31559517377994</v>
      </c>
    </row>
    <row r="121" spans="1:58" hidden="1" x14ac:dyDescent="0.3">
      <c r="A121" s="290"/>
      <c r="B121" s="159" t="s">
        <v>484</v>
      </c>
      <c r="C121" s="159"/>
      <c r="D121" s="218">
        <f>(D118*D120+G118*G120+J118*J120+M118*M120)/3600</f>
        <v>1.5266883877694851E-2</v>
      </c>
      <c r="E121" s="159"/>
      <c r="F121" s="159"/>
      <c r="G121" s="159"/>
      <c r="H121" s="159"/>
      <c r="I121" s="159"/>
      <c r="J121" s="159"/>
      <c r="K121" s="159"/>
      <c r="L121" s="159"/>
      <c r="M121" s="161"/>
    </row>
    <row r="122" spans="1:58" hidden="1" x14ac:dyDescent="0.3"/>
    <row r="123" spans="1:58" hidden="1" x14ac:dyDescent="0.3">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3">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5"/>
      <c r="B126" s="2" t="s">
        <v>54</v>
      </c>
      <c r="D126" s="178">
        <f>D111*'Input sheet'!$B$2</f>
        <v>0</v>
      </c>
      <c r="G126" s="178">
        <f>G111*'Input sheet'!$B$2</f>
        <v>0</v>
      </c>
      <c r="J126" s="178">
        <f>J111*'Input sheet'!$B$2</f>
        <v>0</v>
      </c>
      <c r="M126" s="178">
        <f>M111*'Input sheet'!$B$2</f>
        <v>0</v>
      </c>
      <c r="BF126" s="217">
        <f>SUM(C126:N126)</f>
        <v>0</v>
      </c>
    </row>
    <row r="127" spans="1:58" hidden="1" x14ac:dyDescent="0.3">
      <c r="A127" s="285"/>
      <c r="B127" s="2" t="s">
        <v>493</v>
      </c>
      <c r="D127" s="178">
        <f>(D118*D120/3600)*'Input sheet'!$B$2</f>
        <v>3.1959145651444115E-2</v>
      </c>
      <c r="G127" s="178">
        <f>(G118*G120/3600)*'Input sheet'!$B$2</f>
        <v>4.7958692943198329E-2</v>
      </c>
      <c r="J127" s="178">
        <f>(J118*J120/3600)*'Input sheet'!$B$2</f>
        <v>4.6021169738079515E-2</v>
      </c>
      <c r="M127" s="178">
        <f>(M118*M120/3600)*'Input sheet'!$B$2</f>
        <v>6.4897040138463688E-2</v>
      </c>
      <c r="BF127" s="217">
        <f>SUM(C127:N127)</f>
        <v>0.19083604847118563</v>
      </c>
    </row>
    <row r="128" spans="1:58" hidden="1" x14ac:dyDescent="0.3">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48</v>
      </c>
      <c r="D132" s="2">
        <f>Phasing!R3</f>
        <v>48</v>
      </c>
      <c r="E132" s="2">
        <f>Phasing!T3</f>
        <v>72</v>
      </c>
      <c r="F132" s="2">
        <f>Phasing!V3</f>
        <v>72</v>
      </c>
      <c r="G132" s="24"/>
      <c r="BI132" s="2">
        <v>8</v>
      </c>
      <c r="BJ132" s="2" t="s">
        <v>508</v>
      </c>
      <c r="BK132" s="2">
        <v>300</v>
      </c>
    </row>
    <row r="133" spans="1:63" hidden="1" x14ac:dyDescent="0.3">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91" t="s">
        <v>520</v>
      </c>
      <c r="B142" s="138" t="s">
        <v>73</v>
      </c>
      <c r="C142" s="138"/>
      <c r="D142" s="138" t="s">
        <v>14</v>
      </c>
      <c r="E142" s="138"/>
      <c r="F142" s="138"/>
      <c r="G142" s="138" t="s">
        <v>19</v>
      </c>
      <c r="H142" s="138"/>
      <c r="I142" s="138"/>
      <c r="J142" s="138" t="s">
        <v>4</v>
      </c>
      <c r="K142" s="138"/>
      <c r="L142" s="138"/>
      <c r="M142" s="160" t="s">
        <v>9</v>
      </c>
    </row>
    <row r="143" spans="1:63" hidden="1" x14ac:dyDescent="0.3">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92"/>
      <c r="B144" s="2" t="s">
        <v>522</v>
      </c>
      <c r="D144" s="165">
        <f>D38</f>
        <v>40</v>
      </c>
      <c r="E144" s="165"/>
      <c r="F144" s="165"/>
      <c r="G144" s="165">
        <f>G38</f>
        <v>31</v>
      </c>
      <c r="H144" s="165"/>
      <c r="I144" s="165"/>
      <c r="J144" s="165">
        <f>J38</f>
        <v>32</v>
      </c>
      <c r="K144" s="165"/>
      <c r="L144" s="165"/>
      <c r="M144" s="219">
        <f>M38</f>
        <v>23</v>
      </c>
    </row>
    <row r="145" spans="1:64" hidden="1" x14ac:dyDescent="0.3">
      <c r="A145" s="292"/>
      <c r="B145" s="2" t="s">
        <v>523</v>
      </c>
      <c r="D145" s="187">
        <f>D44</f>
        <v>0</v>
      </c>
      <c r="E145" s="187"/>
      <c r="F145" s="187"/>
      <c r="G145" s="187">
        <f>G44</f>
        <v>0</v>
      </c>
      <c r="H145" s="187"/>
      <c r="I145" s="187"/>
      <c r="J145" s="187">
        <f>J44</f>
        <v>0</v>
      </c>
      <c r="K145" s="187"/>
      <c r="L145" s="187"/>
      <c r="M145" s="216">
        <f>M44</f>
        <v>0</v>
      </c>
    </row>
    <row r="146" spans="1:64" hidden="1" x14ac:dyDescent="0.3">
      <c r="A146" s="293"/>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3">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3">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3">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3">
      <c r="B154" s="2" t="s">
        <v>581</v>
      </c>
    </row>
    <row r="155" spans="1:64" x14ac:dyDescent="0.3">
      <c r="B155" s="104" t="s">
        <v>582</v>
      </c>
      <c r="C155" s="2" t="str">
        <f>IF(C150=0,"",Sheet1!$B$2)</f>
        <v>SR 95 &amp; Camp Mohave South</v>
      </c>
      <c r="D155" s="2" t="str">
        <f>IF(D150=0,"",Sheet1!$B$2)</f>
        <v>SR 95 &amp; Camp Mohave South</v>
      </c>
      <c r="E155" s="2" t="str">
        <f>IF(E150=0,"",Sheet1!$B$2)</f>
        <v>SR 95 &amp; Camp Mohave South</v>
      </c>
      <c r="F155" s="2" t="str">
        <f>IF(F150=0,"",Sheet1!$B$2)</f>
        <v>SR 95 &amp; Camp Mohave South</v>
      </c>
      <c r="G155" s="2" t="str">
        <f>IF(G150=0,"",Sheet1!$B$2)</f>
        <v>SR 95 &amp; Camp Mohave South</v>
      </c>
      <c r="H155" s="2" t="str">
        <f>IF(H150=0,"",Sheet1!$B$2)</f>
        <v>SR 95 &amp; Camp Mohave South</v>
      </c>
      <c r="I155" s="2" t="str">
        <f>IF(I150=0,"",Sheet1!$B$2)</f>
        <v>SR 95 &amp; Camp Mohave South</v>
      </c>
      <c r="J155" s="2" t="str">
        <f>IF(J150=0,"",Sheet1!$B$2)</f>
        <v>SR 95 &amp; Camp Mohave South</v>
      </c>
      <c r="K155" s="2" t="str">
        <f>IF(K150=0,"",Sheet1!$B$2)</f>
        <v>SR 95 &amp; Camp Mohave South</v>
      </c>
      <c r="L155" s="2" t="str">
        <f>IF(L150=0,"",Sheet1!$B$2)</f>
        <v>SR 95 &amp; Camp Mohave South</v>
      </c>
      <c r="M155" s="2" t="str">
        <f>IF(M150=0,"",Sheet1!$B$2)</f>
        <v>SR 95 &amp; Camp Mohave South</v>
      </c>
      <c r="N155" s="2" t="str">
        <f>IF(N150=0,"",Sheet1!$B$2)</f>
        <v>SR 95 &amp; Camp Mohave South</v>
      </c>
    </row>
    <row r="156" spans="1:64" x14ac:dyDescent="0.3">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3">
      <c r="B157" s="104" t="s">
        <v>584</v>
      </c>
    </row>
    <row r="158" spans="1:64" x14ac:dyDescent="0.3">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3">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64" t="s">
        <v>116</v>
      </c>
      <c r="E3" s="264"/>
      <c r="F3" s="264"/>
      <c r="G3" s="264"/>
      <c r="H3" s="264"/>
      <c r="I3" s="264"/>
      <c r="J3" s="264"/>
      <c r="K3" s="264"/>
      <c r="L3" s="264" t="s">
        <v>117</v>
      </c>
      <c r="M3" s="264"/>
      <c r="N3" s="264"/>
    </row>
    <row r="4" spans="1:14" x14ac:dyDescent="0.3">
      <c r="D4" s="264" t="s">
        <v>118</v>
      </c>
      <c r="E4" s="264"/>
      <c r="F4" s="264"/>
      <c r="G4" s="264"/>
      <c r="H4" s="264"/>
      <c r="I4" s="264"/>
      <c r="J4" s="264"/>
      <c r="K4" s="264"/>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64" t="s">
        <v>121</v>
      </c>
      <c r="E6" s="264"/>
      <c r="F6" s="264"/>
      <c r="G6" s="264"/>
      <c r="H6" s="264"/>
      <c r="I6" s="264"/>
      <c r="J6" s="264"/>
      <c r="K6" s="264"/>
    </row>
    <row r="7" spans="1:14" x14ac:dyDescent="0.3">
      <c r="A7" s="268" t="s">
        <v>133</v>
      </c>
      <c r="B7" s="34">
        <v>0</v>
      </c>
      <c r="C7" s="34">
        <v>5</v>
      </c>
      <c r="D7" s="34">
        <v>5</v>
      </c>
      <c r="E7" s="34">
        <v>5</v>
      </c>
      <c r="F7" s="34">
        <v>5</v>
      </c>
      <c r="G7" s="34">
        <v>5</v>
      </c>
      <c r="H7" s="34">
        <v>5</v>
      </c>
      <c r="I7" s="34">
        <v>5</v>
      </c>
      <c r="J7" s="34">
        <v>5</v>
      </c>
      <c r="K7" s="34">
        <v>5</v>
      </c>
      <c r="L7" s="34">
        <v>5</v>
      </c>
      <c r="M7" s="34">
        <v>5</v>
      </c>
      <c r="N7" s="34">
        <v>5</v>
      </c>
    </row>
    <row r="8" spans="1:14" x14ac:dyDescent="0.3">
      <c r="A8" s="268"/>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0</v>
      </c>
      <c r="E3" s="2">
        <f>'Phase calculation'!D83</f>
        <v>36</v>
      </c>
      <c r="F3" s="2">
        <f>'Phase calculation'!E83</f>
        <v>0</v>
      </c>
      <c r="G3" s="2">
        <f>'Phase calculation'!F83</f>
        <v>44</v>
      </c>
      <c r="H3" s="2">
        <f>'Phase calculation'!C84</f>
        <v>9</v>
      </c>
      <c r="I3" s="2">
        <f>'Phase calculation'!D84</f>
        <v>27</v>
      </c>
      <c r="J3" s="2">
        <f>'Phase calculation'!E84</f>
        <v>9</v>
      </c>
      <c r="K3" s="2">
        <f>'Phase calculation'!F84</f>
        <v>35</v>
      </c>
      <c r="N3" s="2" t="s">
        <v>279</v>
      </c>
      <c r="P3" s="2">
        <f>IF('Summary sheet'!T15=0,0,MAX(30,12*'Summary sheet'!T15+12))</f>
        <v>48</v>
      </c>
      <c r="R3" s="2">
        <f>IF('Summary sheet'!Z15=0,0,MAX(30,12*'Summary sheet'!Z15+12))</f>
        <v>48</v>
      </c>
      <c r="T3" s="2">
        <f>IF('Summary sheet'!Y17=0,0,MAX(30,12*'Summary sheet'!Y17+12))</f>
        <v>72</v>
      </c>
      <c r="V3" s="2">
        <f>IF('Summary sheet'!Y4=0,0,MAX(30,12*'Summary sheet'!Y4+12))</f>
        <v>72</v>
      </c>
    </row>
    <row r="4" spans="2:22" x14ac:dyDescent="0.3">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3">
      <c r="B5" s="2" t="s">
        <v>42</v>
      </c>
      <c r="E5" s="2">
        <f>IF(E4="",0,INDEX($O$6:$V$6,1,E6))</f>
        <v>65</v>
      </c>
      <c r="G5" s="2">
        <f>IF(G4="",0,INDEX($O$6:$V$6,1,G6))</f>
        <v>65</v>
      </c>
      <c r="I5" s="2">
        <f>IF(I4="",0,INDEX($O$6:$V$6,1,I6))</f>
        <v>65</v>
      </c>
      <c r="K5" s="2">
        <f>IF(K4="",0,INDEX($O$6:$V$6,1,K6))</f>
        <v>65</v>
      </c>
      <c r="N5" s="147" t="s">
        <v>124</v>
      </c>
    </row>
    <row r="6" spans="2:22" x14ac:dyDescent="0.3">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3">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3">
      <c r="B8" s="2" t="s">
        <v>283</v>
      </c>
      <c r="D8" s="2">
        <f>IF(D6=0,0,INDEX($O$11:$V$11,1,D6))</f>
        <v>0</v>
      </c>
      <c r="E8" s="2">
        <f t="shared" ref="E8:K8" si="2">IF(E6=0,0,INDEX($O$11:$V$11,1,E6))</f>
        <v>1.2</v>
      </c>
      <c r="F8" s="2">
        <f t="shared" si="2"/>
        <v>0</v>
      </c>
      <c r="G8" s="2">
        <f t="shared" si="2"/>
        <v>0.8</v>
      </c>
      <c r="H8" s="2">
        <f t="shared" si="2"/>
        <v>1</v>
      </c>
      <c r="I8" s="2">
        <f t="shared" si="2"/>
        <v>1.2</v>
      </c>
      <c r="J8" s="2">
        <f t="shared" si="2"/>
        <v>1</v>
      </c>
      <c r="K8" s="2">
        <f t="shared" si="2"/>
        <v>0.8</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3">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3">
      <c r="B10" s="2" t="s">
        <v>284</v>
      </c>
      <c r="E10" s="2">
        <f>IF(E9=0,0,INDEX($O$19:$V$19,E6))</f>
        <v>14</v>
      </c>
      <c r="G10" s="2">
        <f>IF(G9=0,0,INDEX($O$19:$V$19,G6))</f>
        <v>21</v>
      </c>
      <c r="I10" s="2">
        <f>IF(I9=0,0,INDEX($O$19:$V$19,I6))</f>
        <v>14</v>
      </c>
      <c r="K10" s="2">
        <f>IF(K9=0,0,INDEX($O$19:$V$19,K6))</f>
        <v>21</v>
      </c>
      <c r="P10" s="2">
        <f>IF(P3=0,0,1+MATCH(P3,'Y-AllRed'!$3:$3))</f>
        <v>4</v>
      </c>
      <c r="R10" s="2">
        <f>IF(R3=0,0,1+MATCH(R3,'Y-AllRed'!$3:$3))</f>
        <v>4</v>
      </c>
      <c r="T10" s="2">
        <f>IF(T3=0,0,1+MATCH(T3,'Y-AllRed'!$3:$3))</f>
        <v>6</v>
      </c>
      <c r="V10" s="2">
        <f>IF(V3=0,0,1+MATCH(V3,'Y-AllRed'!$3:$3))</f>
        <v>6</v>
      </c>
    </row>
    <row r="11" spans="2:22" x14ac:dyDescent="0.3">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1</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3">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3">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0</v>
      </c>
      <c r="E18" s="2">
        <f>IF(E9=0,ROUNDUP(E11+E7+E8,0),ROUNDUP(E9+E10+E7+E8,0))</f>
        <v>26</v>
      </c>
      <c r="F18" s="2">
        <f>IF(F4="",0,9)</f>
        <v>0</v>
      </c>
      <c r="G18" s="2">
        <f>IF(G9=0,ROUNDUP(G11+G7+G8,0),ROUNDUP(G9+G10+G7+G8,0))</f>
        <v>33</v>
      </c>
      <c r="H18" s="2">
        <f>IF(H4="",0,9)</f>
        <v>9</v>
      </c>
      <c r="I18" s="2">
        <f>IF(I9=0,ROUNDUP(I11+I7+I8,0),ROUNDUP(I9+I10+I7+I8,0))</f>
        <v>26</v>
      </c>
      <c r="J18" s="2">
        <f>IF(J4="",0,9)</f>
        <v>9</v>
      </c>
      <c r="K18" s="2">
        <f>IF(K9=0,ROUNDUP(K11+K7+K8,0),ROUNDUP(K9+K10+K7+K8,0))</f>
        <v>33</v>
      </c>
      <c r="P18" s="2">
        <f>IF(E4="",0,MATCH(E4,$O$2:$V$2,0))</f>
        <v>6</v>
      </c>
      <c r="R18" s="2">
        <f>IF(G4="",0,MATCH(G4,$O$2:$V$2,0))</f>
        <v>2</v>
      </c>
      <c r="T18" s="2">
        <f>IF(I4="",0,MATCH(I4,$O$2:$V$2,0))</f>
        <v>8</v>
      </c>
      <c r="V18" s="2">
        <f>IF(K4="",0,MATCH(K4,$O$2:$V$2,0))</f>
        <v>4</v>
      </c>
    </row>
    <row r="19" spans="1:32" x14ac:dyDescent="0.3">
      <c r="B19" s="2" t="s">
        <v>270</v>
      </c>
      <c r="D19" s="2">
        <v>0</v>
      </c>
      <c r="E19" s="2">
        <f>IF(D3=0,0,D20)</f>
        <v>0</v>
      </c>
      <c r="F19" s="2">
        <f>E20</f>
        <v>36</v>
      </c>
      <c r="G19" s="2">
        <f>F20</f>
        <v>36</v>
      </c>
      <c r="H19" s="2">
        <v>0</v>
      </c>
      <c r="I19" s="2">
        <f>IF(H3=0,0,H20)</f>
        <v>9</v>
      </c>
      <c r="J19" s="2">
        <f>I20</f>
        <v>36</v>
      </c>
      <c r="K19" s="2">
        <f>J20</f>
        <v>45</v>
      </c>
      <c r="N19" s="258" t="s">
        <v>265</v>
      </c>
      <c r="P19" s="2">
        <f>ROUND(T3/'Input sheet'!$V$10,0)</f>
        <v>21</v>
      </c>
      <c r="R19" s="2">
        <f>ROUND(V3/'Input sheet'!$V$10,0)</f>
        <v>21</v>
      </c>
      <c r="T19" s="2">
        <f>ROUND(R3/'Input sheet'!$V$10,0)</f>
        <v>14</v>
      </c>
      <c r="V19" s="2">
        <f>ROUND(P3/'Input sheet'!$V$10,0)</f>
        <v>14</v>
      </c>
    </row>
    <row r="20" spans="1:32" x14ac:dyDescent="0.3">
      <c r="B20" s="2" t="s">
        <v>271</v>
      </c>
      <c r="D20" s="2">
        <f t="shared" ref="D20:K20" si="10">D19+D3</f>
        <v>0</v>
      </c>
      <c r="E20" s="2">
        <f t="shared" si="10"/>
        <v>36</v>
      </c>
      <c r="F20" s="2">
        <f t="shared" si="10"/>
        <v>36</v>
      </c>
      <c r="G20" s="2">
        <f t="shared" si="10"/>
        <v>80</v>
      </c>
      <c r="H20" s="2">
        <f t="shared" si="10"/>
        <v>9</v>
      </c>
      <c r="I20" s="2">
        <f t="shared" si="10"/>
        <v>36</v>
      </c>
      <c r="J20" s="2">
        <f t="shared" si="10"/>
        <v>45</v>
      </c>
      <c r="K20" s="2">
        <f t="shared" si="10"/>
        <v>80</v>
      </c>
      <c r="P20" s="2">
        <v>4</v>
      </c>
      <c r="R20" s="2">
        <v>4</v>
      </c>
      <c r="T20" s="2">
        <v>4</v>
      </c>
      <c r="V20" s="2">
        <v>4</v>
      </c>
    </row>
    <row r="21" spans="1:32" x14ac:dyDescent="0.3">
      <c r="B21" s="2" t="s">
        <v>272</v>
      </c>
      <c r="D21" s="2">
        <f>ROUND(IF(D3=0,0,D20-D7-D8),0)</f>
        <v>0</v>
      </c>
      <c r="E21" s="2">
        <f t="shared" ref="E21:K21" si="11">ROUND(IF(E3=0,0,E20-E7-E8),0)</f>
        <v>29</v>
      </c>
      <c r="F21" s="2">
        <f t="shared" si="11"/>
        <v>0</v>
      </c>
      <c r="G21" s="2">
        <f t="shared" si="11"/>
        <v>74</v>
      </c>
      <c r="H21" s="2">
        <f t="shared" si="11"/>
        <v>5</v>
      </c>
      <c r="I21" s="2">
        <f t="shared" si="11"/>
        <v>29</v>
      </c>
      <c r="J21" s="2">
        <f t="shared" si="11"/>
        <v>41</v>
      </c>
      <c r="K21" s="2">
        <f t="shared" si="11"/>
        <v>74</v>
      </c>
      <c r="N21" s="2" t="s">
        <v>288</v>
      </c>
      <c r="P21" s="2">
        <f>IF(E9=0,0,MIN(ROUNDDOWN(E3-E7-E8-E9,0),ROUNDUP(E9+P19+E7+E8,0)))</f>
        <v>24</v>
      </c>
      <c r="R21" s="2">
        <f>IF(G9=0,0,MIN(ROUNDDOWN(G3-G7-G8-G9,0),ROUNDUP(G9+R19+G7+G8,0)))</f>
        <v>32</v>
      </c>
      <c r="T21" s="2">
        <f>IF(I9=0,0,MIN(ROUNDDOWN(I3-I7-I8-I9,0),ROUNDUP(I9+T19+I7+I8,0)))</f>
        <v>15</v>
      </c>
      <c r="V21" s="2">
        <f>IF(K9=0,0,MIN(ROUNDDOWN(K3-K7-K8-K9,0),ROUNDUP(K9+V19+K7+K8,0)))</f>
        <v>23</v>
      </c>
    </row>
    <row r="22" spans="1:32" x14ac:dyDescent="0.3">
      <c r="B22" s="2" t="s">
        <v>273</v>
      </c>
      <c r="D22" s="2">
        <f>D21</f>
        <v>0</v>
      </c>
      <c r="E22" s="2">
        <f t="shared" ref="E22:K22" si="12">E21</f>
        <v>29</v>
      </c>
      <c r="F22" s="2">
        <f t="shared" si="12"/>
        <v>0</v>
      </c>
      <c r="G22" s="2">
        <f t="shared" si="12"/>
        <v>74</v>
      </c>
      <c r="H22" s="2">
        <f t="shared" si="12"/>
        <v>5</v>
      </c>
      <c r="I22" s="2">
        <f t="shared" si="12"/>
        <v>29</v>
      </c>
      <c r="J22" s="2">
        <f t="shared" si="12"/>
        <v>41</v>
      </c>
      <c r="K22" s="2">
        <f t="shared" si="12"/>
        <v>74</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0</v>
      </c>
      <c r="F23" s="2">
        <f t="shared" si="13"/>
        <v>36</v>
      </c>
      <c r="G23" s="2">
        <f t="shared" si="13"/>
        <v>36</v>
      </c>
      <c r="H23" s="2">
        <f t="shared" si="13"/>
        <v>0</v>
      </c>
      <c r="I23" s="2">
        <f t="shared" si="13"/>
        <v>9</v>
      </c>
      <c r="J23" s="2">
        <f t="shared" si="13"/>
        <v>36</v>
      </c>
      <c r="K23" s="2">
        <f t="shared" si="13"/>
        <v>45</v>
      </c>
      <c r="N23" s="2" t="s">
        <v>304</v>
      </c>
      <c r="P23" s="2">
        <f>IF(P6&lt;=25,3,3.5)</f>
        <v>3.5</v>
      </c>
      <c r="R23" s="2">
        <f>IF(R6&lt;=25,3,3.5)</f>
        <v>3.5</v>
      </c>
      <c r="T23" s="2">
        <f>IF(T6&lt;=25,3,3.5)</f>
        <v>3.5</v>
      </c>
      <c r="V23" s="2">
        <f>IF(V6&lt;=25,3,3.5)</f>
        <v>3.5</v>
      </c>
    </row>
    <row r="24" spans="1:32" x14ac:dyDescent="0.3">
      <c r="B24" s="2" t="s">
        <v>275</v>
      </c>
      <c r="D24" s="2">
        <f>D21</f>
        <v>0</v>
      </c>
      <c r="E24" s="2">
        <f t="shared" ref="E24:K24" si="14">E21</f>
        <v>29</v>
      </c>
      <c r="F24" s="2">
        <f t="shared" si="14"/>
        <v>0</v>
      </c>
      <c r="G24" s="2">
        <f t="shared" si="14"/>
        <v>74</v>
      </c>
      <c r="H24" s="2">
        <f t="shared" si="14"/>
        <v>5</v>
      </c>
      <c r="I24" s="2">
        <f t="shared" si="14"/>
        <v>29</v>
      </c>
      <c r="J24" s="2">
        <f t="shared" si="14"/>
        <v>41</v>
      </c>
      <c r="K24" s="2">
        <f t="shared" si="14"/>
        <v>74</v>
      </c>
      <c r="N24" s="2" t="s">
        <v>294</v>
      </c>
      <c r="P24" s="2" t="e">
        <f>VLOOKUP(P6,DetZone!$G$4:$H$10,2,FALSE)</f>
        <v>#N/A</v>
      </c>
      <c r="R24" s="2" t="e">
        <f>VLOOKUP(R6,DetZone!$G$4:$H$10,2,FALSE)</f>
        <v>#N/A</v>
      </c>
      <c r="T24" s="2" t="e">
        <f>VLOOKUP(T6,DetZone!$G$4:$H$10,2,FALSE)</f>
        <v>#N/A</v>
      </c>
      <c r="V24" s="2" t="e">
        <f>VLOOKUP(V6,DetZone!$G$4:$H$10,2,FALSE)</f>
        <v>#N/A</v>
      </c>
    </row>
    <row r="25" spans="1:32" x14ac:dyDescent="0.3">
      <c r="B25" s="2" t="s">
        <v>276</v>
      </c>
      <c r="D25" s="2">
        <f>D24</f>
        <v>0</v>
      </c>
      <c r="E25" s="2">
        <f t="shared" ref="E25:K25" si="15">E24</f>
        <v>29</v>
      </c>
      <c r="F25" s="2">
        <f t="shared" si="15"/>
        <v>0</v>
      </c>
      <c r="G25" s="2">
        <f t="shared" si="15"/>
        <v>74</v>
      </c>
      <c r="H25" s="2">
        <f t="shared" si="15"/>
        <v>5</v>
      </c>
      <c r="I25" s="2">
        <f t="shared" si="15"/>
        <v>29</v>
      </c>
      <c r="J25" s="2">
        <f t="shared" si="15"/>
        <v>41</v>
      </c>
      <c r="K25" s="2">
        <f t="shared" si="15"/>
        <v>74</v>
      </c>
      <c r="N25" s="2" t="s">
        <v>311</v>
      </c>
      <c r="P25" s="2" t="e">
        <f>MATCH(P24,DetZone!$B$18:$B$22,0)</f>
        <v>#N/A</v>
      </c>
      <c r="R25" s="2" t="e">
        <f>MATCH(R24,DetZone!$B$18:$B$22,0)</f>
        <v>#N/A</v>
      </c>
      <c r="T25" s="2" t="e">
        <f>MATCH(T24,DetZone!$B$18:$B$22,0)</f>
        <v>#N/A</v>
      </c>
      <c r="V25" s="2" t="e">
        <f>MATCH(V24,DetZone!$B$18:$B$22,0)</f>
        <v>#N/A</v>
      </c>
    </row>
    <row r="26" spans="1:32" x14ac:dyDescent="0.3">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3">
      <c r="G27" s="34">
        <f>MAX(D43+E43,H43+I43)</f>
        <v>35</v>
      </c>
      <c r="K27" s="34">
        <f>MAX(F43+G43,J43+K43)</f>
        <v>42</v>
      </c>
      <c r="L27" s="39">
        <f>G27+K27</f>
        <v>77</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3">
      <c r="A28" s="284" t="s">
        <v>204</v>
      </c>
      <c r="B28" s="284"/>
      <c r="C28" s="284"/>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Camp Mohave South</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3">
      <c r="B31" s="123" t="s">
        <v>255</v>
      </c>
      <c r="C31" s="123" t="str">
        <f>C30</f>
        <v>SR 95 &amp; Camp Mohave South</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64" t="s">
        <v>456</v>
      </c>
      <c r="X31" s="264"/>
      <c r="Y31" s="264"/>
      <c r="Z31" s="264"/>
      <c r="AA31" s="264"/>
      <c r="AB31" s="264"/>
      <c r="AC31" s="264"/>
      <c r="AD31" s="264"/>
      <c r="AE31" s="264"/>
      <c r="AF31" s="264"/>
    </row>
    <row r="32" spans="1:32" x14ac:dyDescent="0.3">
      <c r="B32" s="2" t="s">
        <v>256</v>
      </c>
      <c r="C32" s="2" t="str">
        <f t="shared" ref="C32:C52" si="18">C31</f>
        <v>SR 95 &amp; Camp Mohave South</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Camp Mohave South</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28.8</v>
      </c>
      <c r="Y33" s="3">
        <f>K56</f>
        <v>5.4</v>
      </c>
      <c r="Z33" s="31">
        <f>K59</f>
        <v>45.8</v>
      </c>
      <c r="AA33" s="34">
        <f>K57</f>
        <v>0.8</v>
      </c>
      <c r="AB33" s="2">
        <v>8</v>
      </c>
      <c r="AC33" s="2">
        <f>K62</f>
        <v>45.000000000000007</v>
      </c>
      <c r="AD33" s="2">
        <f>X33</f>
        <v>28.8</v>
      </c>
      <c r="AE33" s="2">
        <f>Y33</f>
        <v>5.4</v>
      </c>
      <c r="AF33" s="187">
        <f>$C$62-AE33-AD33-AC33</f>
        <v>0.79999999999999005</v>
      </c>
    </row>
    <row r="34" spans="2:32" x14ac:dyDescent="0.3">
      <c r="B34" s="2" t="s">
        <v>258</v>
      </c>
      <c r="C34" s="2" t="str">
        <f t="shared" si="18"/>
        <v>SR 95 &amp; Camp Mohave South</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72</v>
      </c>
      <c r="AA34" s="34">
        <f>J57</f>
        <v>1</v>
      </c>
      <c r="AB34" s="2">
        <v>7</v>
      </c>
      <c r="AC34" s="2">
        <f>J62</f>
        <v>36.000000000000007</v>
      </c>
      <c r="AD34" s="2">
        <f t="shared" ref="AD34:AD40" si="22">X34</f>
        <v>5</v>
      </c>
      <c r="AE34" s="2">
        <f t="shared" ref="AE34:AE40" si="23">Y34</f>
        <v>3</v>
      </c>
      <c r="AF34" s="187">
        <f t="shared" ref="AF34:AF40" si="24">$C$62-AE34-AD34-AC34</f>
        <v>35.999999999999993</v>
      </c>
    </row>
    <row r="35" spans="2:32" x14ac:dyDescent="0.3">
      <c r="B35" s="123" t="s">
        <v>259</v>
      </c>
      <c r="C35" s="123" t="str">
        <f t="shared" si="18"/>
        <v>SR 95 &amp; Camp Mohave South</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20.400000000000002</v>
      </c>
      <c r="Y35" s="3">
        <f>I56</f>
        <v>5.4</v>
      </c>
      <c r="Z35" s="31">
        <f>I59</f>
        <v>54.2</v>
      </c>
      <c r="AA35" s="34">
        <f>I57</f>
        <v>1.2</v>
      </c>
      <c r="AB35" s="2">
        <v>6</v>
      </c>
      <c r="AC35" s="2">
        <f>I62</f>
        <v>9</v>
      </c>
      <c r="AD35" s="2">
        <f t="shared" si="22"/>
        <v>20.400000000000002</v>
      </c>
      <c r="AE35" s="2">
        <f t="shared" si="23"/>
        <v>5.4</v>
      </c>
      <c r="AF35" s="187">
        <f t="shared" si="24"/>
        <v>45.199999999999989</v>
      </c>
    </row>
    <row r="36" spans="2:32" x14ac:dyDescent="0.3">
      <c r="B36" s="2" t="s">
        <v>260</v>
      </c>
      <c r="C36" s="2" t="str">
        <f t="shared" si="18"/>
        <v>SR 95 &amp; Camp Mohave South</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3">
      <c r="B37" s="123" t="s">
        <v>261</v>
      </c>
      <c r="C37" s="123" t="str">
        <f t="shared" si="18"/>
        <v>SR 95 &amp; Camp Mohave South</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37.800000000000004</v>
      </c>
      <c r="Y37" s="3">
        <f>G56</f>
        <v>5.4</v>
      </c>
      <c r="Z37" s="31">
        <f>G59</f>
        <v>36.799999999999997</v>
      </c>
      <c r="AA37" s="34">
        <f>G57</f>
        <v>0.8</v>
      </c>
      <c r="AB37" s="2">
        <v>4</v>
      </c>
      <c r="AC37" s="2">
        <f>G62</f>
        <v>36.000000000000007</v>
      </c>
      <c r="AD37" s="2">
        <f t="shared" si="22"/>
        <v>37.800000000000004</v>
      </c>
      <c r="AE37" s="2">
        <f t="shared" si="23"/>
        <v>5.4</v>
      </c>
      <c r="AF37" s="187">
        <f t="shared" si="24"/>
        <v>0.79999999999998295</v>
      </c>
    </row>
    <row r="38" spans="2:32" x14ac:dyDescent="0.3">
      <c r="B38" s="2" t="s">
        <v>262</v>
      </c>
      <c r="C38" s="2" t="str">
        <f t="shared" si="18"/>
        <v>SR 95 &amp; Camp Mohave South</v>
      </c>
      <c r="D38" s="2">
        <f>D8</f>
        <v>0</v>
      </c>
      <c r="E38" s="2">
        <f t="shared" si="26"/>
        <v>1.2</v>
      </c>
      <c r="F38" s="2">
        <f t="shared" si="26"/>
        <v>0</v>
      </c>
      <c r="G38" s="2">
        <f t="shared" si="26"/>
        <v>0.8</v>
      </c>
      <c r="H38" s="2">
        <f t="shared" si="26"/>
        <v>1</v>
      </c>
      <c r="I38" s="2">
        <f t="shared" si="26"/>
        <v>1.2</v>
      </c>
      <c r="J38" s="2">
        <f t="shared" si="26"/>
        <v>1</v>
      </c>
      <c r="K38" s="2">
        <f t="shared" si="26"/>
        <v>0.8</v>
      </c>
      <c r="W38" s="2">
        <v>3</v>
      </c>
      <c r="X38" s="38">
        <f>F58</f>
        <v>0</v>
      </c>
      <c r="Y38" s="3">
        <f>F56</f>
        <v>0</v>
      </c>
      <c r="Z38" s="31">
        <f>F59</f>
        <v>80</v>
      </c>
      <c r="AA38" s="34">
        <f>F57</f>
        <v>0</v>
      </c>
      <c r="AB38" s="2">
        <v>3</v>
      </c>
      <c r="AC38" s="2">
        <f>F62</f>
        <v>36.000000000000007</v>
      </c>
      <c r="AD38" s="2">
        <f t="shared" si="22"/>
        <v>0</v>
      </c>
      <c r="AE38" s="2">
        <f t="shared" si="23"/>
        <v>0</v>
      </c>
      <c r="AF38" s="187">
        <f t="shared" si="24"/>
        <v>43.999999999999993</v>
      </c>
    </row>
    <row r="39" spans="2:32" x14ac:dyDescent="0.3">
      <c r="B39" s="123" t="s">
        <v>263</v>
      </c>
      <c r="C39" s="123" t="str">
        <f t="shared" si="18"/>
        <v>SR 95 &amp; Camp Mohave South</v>
      </c>
      <c r="D39" s="123">
        <v>0</v>
      </c>
      <c r="E39" s="123">
        <f>IF(E9=0,0,1)</f>
        <v>1</v>
      </c>
      <c r="F39" s="123">
        <v>0</v>
      </c>
      <c r="G39" s="123">
        <f>IF(G9=0,0,1)</f>
        <v>1</v>
      </c>
      <c r="H39" s="123">
        <v>0</v>
      </c>
      <c r="I39" s="123">
        <f>IF(I9=0,0,1)</f>
        <v>1</v>
      </c>
      <c r="J39" s="123">
        <v>0</v>
      </c>
      <c r="K39" s="123">
        <f>IF(K9=0,0,1)</f>
        <v>1</v>
      </c>
      <c r="W39" s="2">
        <v>2</v>
      </c>
      <c r="X39" s="38">
        <f>E58</f>
        <v>29.400000000000002</v>
      </c>
      <c r="Y39" s="3">
        <f>E56</f>
        <v>5.4</v>
      </c>
      <c r="Z39" s="31">
        <f>E59</f>
        <v>45.2</v>
      </c>
      <c r="AA39" s="34">
        <f>E57</f>
        <v>1.2</v>
      </c>
      <c r="AB39" s="2">
        <v>2</v>
      </c>
      <c r="AC39" s="2">
        <f>E62</f>
        <v>0</v>
      </c>
      <c r="AD39" s="2">
        <f t="shared" si="22"/>
        <v>29.400000000000002</v>
      </c>
      <c r="AE39" s="2">
        <f t="shared" si="23"/>
        <v>5.4</v>
      </c>
      <c r="AF39" s="187">
        <f t="shared" si="24"/>
        <v>45.199999999999989</v>
      </c>
    </row>
    <row r="40" spans="2:32" x14ac:dyDescent="0.3">
      <c r="B40" s="2" t="s">
        <v>264</v>
      </c>
      <c r="C40" s="2" t="str">
        <f t="shared" si="18"/>
        <v>SR 95 &amp; Camp Mohave South</v>
      </c>
      <c r="E40" s="2">
        <f>E9</f>
        <v>5</v>
      </c>
      <c r="G40" s="2">
        <f>G9</f>
        <v>5</v>
      </c>
      <c r="I40" s="2">
        <f>I9</f>
        <v>5</v>
      </c>
      <c r="K40" s="2">
        <f>K9</f>
        <v>5</v>
      </c>
      <c r="W40" s="2">
        <v>1</v>
      </c>
      <c r="X40" s="38">
        <f>D58</f>
        <v>0</v>
      </c>
      <c r="Y40" s="3">
        <f>D56</f>
        <v>0</v>
      </c>
      <c r="Z40" s="31">
        <f>D59</f>
        <v>80</v>
      </c>
      <c r="AA40" s="34">
        <f>D57</f>
        <v>0</v>
      </c>
      <c r="AB40" s="2">
        <v>1</v>
      </c>
      <c r="AC40" s="2">
        <f>D62</f>
        <v>0</v>
      </c>
      <c r="AD40" s="2">
        <f t="shared" si="22"/>
        <v>0</v>
      </c>
      <c r="AE40" s="2">
        <f t="shared" si="23"/>
        <v>0</v>
      </c>
      <c r="AF40" s="187">
        <f t="shared" si="24"/>
        <v>80</v>
      </c>
    </row>
    <row r="41" spans="2:32" x14ac:dyDescent="0.3">
      <c r="B41" s="123" t="s">
        <v>265</v>
      </c>
      <c r="C41" s="123" t="str">
        <f t="shared" si="18"/>
        <v>SR 95 &amp; Camp Mohave South</v>
      </c>
      <c r="D41" s="123"/>
      <c r="E41" s="123">
        <f>E10</f>
        <v>14</v>
      </c>
      <c r="F41" s="123"/>
      <c r="G41" s="123">
        <f>G10</f>
        <v>21</v>
      </c>
      <c r="H41" s="123"/>
      <c r="I41" s="123">
        <f>I10</f>
        <v>14</v>
      </c>
      <c r="J41" s="123"/>
      <c r="K41" s="123">
        <f>K10</f>
        <v>21</v>
      </c>
    </row>
    <row r="42" spans="2:32" x14ac:dyDescent="0.3">
      <c r="B42" s="2" t="s">
        <v>266</v>
      </c>
      <c r="C42" s="2" t="str">
        <f t="shared" si="18"/>
        <v>SR 95 &amp; Camp Mohave South</v>
      </c>
      <c r="E42" s="2">
        <f>IF(E40=0,0,1)</f>
        <v>1</v>
      </c>
      <c r="G42" s="2">
        <f>IF(G40=0,0,1)</f>
        <v>1</v>
      </c>
      <c r="I42" s="2">
        <f>IF(I40=0,0,1)</f>
        <v>1</v>
      </c>
      <c r="K42" s="2">
        <f>IF(K40=0,0,1)</f>
        <v>1</v>
      </c>
      <c r="AF42" s="187"/>
    </row>
    <row r="43" spans="2:32" x14ac:dyDescent="0.3">
      <c r="B43" s="123" t="s">
        <v>267</v>
      </c>
      <c r="C43" s="123" t="str">
        <f t="shared" si="18"/>
        <v>SR 95 &amp; Camp Mohave South</v>
      </c>
      <c r="D43" s="123">
        <f>IF(D4="",0,D18)</f>
        <v>0</v>
      </c>
      <c r="E43" s="123">
        <f t="shared" ref="E43:K43" si="27">IF(E4="",0,E18)</f>
        <v>26</v>
      </c>
      <c r="F43" s="123">
        <f t="shared" si="27"/>
        <v>0</v>
      </c>
      <c r="G43" s="123">
        <f t="shared" si="27"/>
        <v>33</v>
      </c>
      <c r="H43" s="123">
        <f t="shared" si="27"/>
        <v>9</v>
      </c>
      <c r="I43" s="123">
        <f t="shared" si="27"/>
        <v>26</v>
      </c>
      <c r="J43" s="123">
        <f t="shared" si="27"/>
        <v>9</v>
      </c>
      <c r="K43" s="123">
        <f t="shared" si="27"/>
        <v>33</v>
      </c>
      <c r="AF43" s="187"/>
    </row>
    <row r="44" spans="2:32" x14ac:dyDescent="0.3">
      <c r="B44" s="2" t="s">
        <v>268</v>
      </c>
      <c r="C44" s="2" t="str">
        <f t="shared" si="18"/>
        <v>SR 95 &amp; Camp Mohave South</v>
      </c>
      <c r="D44" s="2">
        <v>0</v>
      </c>
      <c r="E44" s="2">
        <f>IF(E3=0,0,1)</f>
        <v>1</v>
      </c>
      <c r="F44" s="2">
        <v>0</v>
      </c>
      <c r="G44" s="2">
        <f>IF(G3=0,0,1)</f>
        <v>1</v>
      </c>
      <c r="H44" s="2">
        <v>0</v>
      </c>
      <c r="I44" s="2">
        <f>IF(I3=0,0,1)</f>
        <v>1</v>
      </c>
      <c r="J44" s="2">
        <v>0</v>
      </c>
      <c r="K44" s="2">
        <f>IF(K3=0,0,1)</f>
        <v>1</v>
      </c>
      <c r="AF44" s="187"/>
    </row>
    <row r="45" spans="2:32" x14ac:dyDescent="0.3">
      <c r="B45" s="123" t="s">
        <v>269</v>
      </c>
      <c r="C45" s="123" t="str">
        <f t="shared" si="18"/>
        <v>SR 95 &amp; Camp Mohave South</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3">
      <c r="B46" s="2" t="s">
        <v>270</v>
      </c>
      <c r="C46" s="2" t="str">
        <f t="shared" si="18"/>
        <v>SR 95 &amp; Camp Mohave South</v>
      </c>
      <c r="D46" s="2">
        <f>IF(D4="",0,D19)</f>
        <v>0</v>
      </c>
      <c r="E46" s="2">
        <f t="shared" ref="E46:K46" si="29">IF(E4="",0,E19)</f>
        <v>0</v>
      </c>
      <c r="F46" s="2">
        <f t="shared" si="29"/>
        <v>0</v>
      </c>
      <c r="G46" s="2">
        <f t="shared" si="29"/>
        <v>36</v>
      </c>
      <c r="H46" s="2">
        <f t="shared" si="29"/>
        <v>0</v>
      </c>
      <c r="I46" s="2">
        <f t="shared" si="29"/>
        <v>9</v>
      </c>
      <c r="J46" s="2">
        <f t="shared" si="29"/>
        <v>36</v>
      </c>
      <c r="K46" s="2">
        <f t="shared" si="29"/>
        <v>45</v>
      </c>
      <c r="AF46" s="187"/>
    </row>
    <row r="47" spans="2:32" x14ac:dyDescent="0.3">
      <c r="B47" s="123" t="s">
        <v>271</v>
      </c>
      <c r="C47" s="123" t="str">
        <f t="shared" si="18"/>
        <v>SR 95 &amp; Camp Mohave South</v>
      </c>
      <c r="D47" s="123">
        <f>IF(D4="",0,D20)</f>
        <v>0</v>
      </c>
      <c r="E47" s="123">
        <f t="shared" ref="E47:K47" si="30">IF(E4="",0,E20)</f>
        <v>36</v>
      </c>
      <c r="F47" s="123">
        <f t="shared" si="30"/>
        <v>0</v>
      </c>
      <c r="G47" s="123">
        <f t="shared" si="30"/>
        <v>80</v>
      </c>
      <c r="H47" s="123">
        <f t="shared" si="30"/>
        <v>9</v>
      </c>
      <c r="I47" s="123">
        <f t="shared" si="30"/>
        <v>36</v>
      </c>
      <c r="J47" s="123">
        <f t="shared" si="30"/>
        <v>45</v>
      </c>
      <c r="K47" s="123">
        <f t="shared" si="30"/>
        <v>80</v>
      </c>
      <c r="AF47" s="187"/>
    </row>
    <row r="48" spans="2:32" x14ac:dyDescent="0.3">
      <c r="B48" s="2" t="s">
        <v>272</v>
      </c>
      <c r="C48" s="2" t="str">
        <f t="shared" si="18"/>
        <v>SR 95 &amp; Camp Mohave South</v>
      </c>
      <c r="D48" s="2">
        <f>IF(D4="",0,D21)</f>
        <v>0</v>
      </c>
      <c r="E48" s="2">
        <f t="shared" ref="E48:K48" si="31">IF(E4="",0,E21)</f>
        <v>29</v>
      </c>
      <c r="F48" s="2">
        <f t="shared" si="31"/>
        <v>0</v>
      </c>
      <c r="G48" s="2">
        <f t="shared" si="31"/>
        <v>74</v>
      </c>
      <c r="H48" s="2">
        <f t="shared" si="31"/>
        <v>5</v>
      </c>
      <c r="I48" s="2">
        <f t="shared" si="31"/>
        <v>29</v>
      </c>
      <c r="J48" s="2">
        <f t="shared" si="31"/>
        <v>41</v>
      </c>
      <c r="K48" s="2">
        <f t="shared" si="31"/>
        <v>74</v>
      </c>
      <c r="AF48" s="187"/>
    </row>
    <row r="49" spans="2:32" x14ac:dyDescent="0.3">
      <c r="B49" s="123" t="s">
        <v>273</v>
      </c>
      <c r="C49" s="123" t="str">
        <f t="shared" si="18"/>
        <v>SR 95 &amp; Camp Mohave South</v>
      </c>
      <c r="D49" s="123">
        <f>IF(D4="",0,D22)</f>
        <v>0</v>
      </c>
      <c r="E49" s="123">
        <f t="shared" ref="E49:K49" si="32">IF(E4="",0,E22)</f>
        <v>29</v>
      </c>
      <c r="F49" s="123">
        <f t="shared" si="32"/>
        <v>0</v>
      </c>
      <c r="G49" s="123">
        <f t="shared" si="32"/>
        <v>74</v>
      </c>
      <c r="H49" s="123">
        <f t="shared" si="32"/>
        <v>5</v>
      </c>
      <c r="I49" s="123">
        <f t="shared" si="32"/>
        <v>29</v>
      </c>
      <c r="J49" s="123">
        <f t="shared" si="32"/>
        <v>41</v>
      </c>
      <c r="K49" s="123">
        <f t="shared" si="32"/>
        <v>74</v>
      </c>
      <c r="AF49" s="187"/>
    </row>
    <row r="50" spans="2:32" x14ac:dyDescent="0.3">
      <c r="B50" s="2" t="s">
        <v>274</v>
      </c>
      <c r="C50" s="2" t="str">
        <f t="shared" si="18"/>
        <v>SR 95 &amp; Camp Mohave South</v>
      </c>
      <c r="D50" s="2">
        <f>IF(D4="",0,D23)</f>
        <v>0</v>
      </c>
      <c r="E50" s="2">
        <f t="shared" ref="E50:K50" si="33">IF(E4="",0,E23)</f>
        <v>0</v>
      </c>
      <c r="F50" s="2">
        <f t="shared" si="33"/>
        <v>0</v>
      </c>
      <c r="G50" s="2">
        <f t="shared" si="33"/>
        <v>36</v>
      </c>
      <c r="H50" s="2">
        <f t="shared" si="33"/>
        <v>0</v>
      </c>
      <c r="I50" s="2">
        <f t="shared" si="33"/>
        <v>9</v>
      </c>
      <c r="J50" s="2">
        <f t="shared" si="33"/>
        <v>36</v>
      </c>
      <c r="K50" s="2">
        <f t="shared" si="33"/>
        <v>45</v>
      </c>
    </row>
    <row r="51" spans="2:32" x14ac:dyDescent="0.3">
      <c r="B51" s="123" t="s">
        <v>275</v>
      </c>
      <c r="C51" s="123" t="str">
        <f t="shared" si="18"/>
        <v>SR 95 &amp; Camp Mohave South</v>
      </c>
      <c r="D51" s="123">
        <f>IF(D4="",0,D24)</f>
        <v>0</v>
      </c>
      <c r="E51" s="123">
        <f t="shared" ref="E51:K51" si="34">IF(E4="",0,E24)</f>
        <v>29</v>
      </c>
      <c r="F51" s="123">
        <f t="shared" si="34"/>
        <v>0</v>
      </c>
      <c r="G51" s="123">
        <f t="shared" si="34"/>
        <v>74</v>
      </c>
      <c r="H51" s="123">
        <f t="shared" si="34"/>
        <v>5</v>
      </c>
      <c r="I51" s="123">
        <f t="shared" si="34"/>
        <v>29</v>
      </c>
      <c r="J51" s="123">
        <f t="shared" si="34"/>
        <v>41</v>
      </c>
      <c r="K51" s="123">
        <f t="shared" si="34"/>
        <v>74</v>
      </c>
    </row>
    <row r="52" spans="2:32" x14ac:dyDescent="0.3">
      <c r="B52" s="2" t="s">
        <v>276</v>
      </c>
      <c r="C52" s="2" t="str">
        <f t="shared" si="18"/>
        <v>SR 95 &amp; Camp Mohave South</v>
      </c>
      <c r="D52" s="2">
        <f>IF(D4="",0,D25)</f>
        <v>0</v>
      </c>
      <c r="E52" s="2">
        <f t="shared" ref="E52:K52" si="35">IF(E4="",0,E25)</f>
        <v>29</v>
      </c>
      <c r="F52" s="2">
        <f t="shared" si="35"/>
        <v>0</v>
      </c>
      <c r="G52" s="2">
        <f t="shared" si="35"/>
        <v>74</v>
      </c>
      <c r="H52" s="2">
        <f t="shared" si="35"/>
        <v>5</v>
      </c>
      <c r="I52" s="2">
        <f t="shared" si="35"/>
        <v>29</v>
      </c>
      <c r="J52" s="2">
        <f t="shared" si="35"/>
        <v>41</v>
      </c>
      <c r="K52" s="2">
        <f t="shared" si="35"/>
        <v>74</v>
      </c>
    </row>
    <row r="53" spans="2:32" x14ac:dyDescent="0.3">
      <c r="B53" s="123" t="s">
        <v>567</v>
      </c>
      <c r="C53" s="123">
        <f>UTDF_input!B123</f>
        <v>39</v>
      </c>
      <c r="D53" s="123">
        <f>UTDF_input!C123</f>
        <v>6</v>
      </c>
      <c r="E53" s="123">
        <f>UTDF_input!D123</f>
        <v>20</v>
      </c>
      <c r="F53" s="123">
        <f>UTDF_input!E123</f>
        <v>6</v>
      </c>
      <c r="G53" s="123">
        <f>UTDF_input!F123</f>
        <v>18</v>
      </c>
      <c r="H53" s="123">
        <f>UTDF_input!G123</f>
        <v>6</v>
      </c>
      <c r="I53" s="123">
        <f>UTDF_input!H123</f>
        <v>20</v>
      </c>
      <c r="J53" s="123">
        <f>UTDF_input!I123</f>
        <v>6</v>
      </c>
      <c r="K53" s="123">
        <f>UTDF_input!J123</f>
        <v>18.899999999999999</v>
      </c>
    </row>
    <row r="54" spans="2:32" x14ac:dyDescent="0.3">
      <c r="D54" s="2">
        <v>1</v>
      </c>
      <c r="E54" s="2">
        <v>2</v>
      </c>
      <c r="F54" s="2">
        <v>3</v>
      </c>
      <c r="G54" s="2">
        <v>4</v>
      </c>
      <c r="H54" s="2">
        <v>5</v>
      </c>
      <c r="I54" s="2">
        <v>6</v>
      </c>
      <c r="J54" s="2">
        <v>7</v>
      </c>
      <c r="K54" s="2">
        <v>8</v>
      </c>
    </row>
    <row r="55" spans="2:32" x14ac:dyDescent="0.3">
      <c r="B55" s="123" t="s">
        <v>316</v>
      </c>
      <c r="C55" s="123"/>
      <c r="D55" s="123">
        <f>D3</f>
        <v>0</v>
      </c>
      <c r="E55" s="123">
        <f t="shared" ref="E55:K55" si="36">E3</f>
        <v>36</v>
      </c>
      <c r="F55" s="123">
        <f t="shared" si="36"/>
        <v>0</v>
      </c>
      <c r="G55" s="123">
        <f t="shared" si="36"/>
        <v>44</v>
      </c>
      <c r="H55" s="123">
        <f t="shared" si="36"/>
        <v>9</v>
      </c>
      <c r="I55" s="123">
        <f t="shared" si="36"/>
        <v>27</v>
      </c>
      <c r="J55" s="123">
        <f t="shared" si="36"/>
        <v>9</v>
      </c>
      <c r="K55" s="123">
        <f t="shared" si="36"/>
        <v>35</v>
      </c>
    </row>
    <row r="56" spans="2:32" x14ac:dyDescent="0.3">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3">
      <c r="B57" s="123" t="s">
        <v>283</v>
      </c>
      <c r="C57" s="123"/>
      <c r="D57" s="123">
        <f>D8</f>
        <v>0</v>
      </c>
      <c r="E57" s="123">
        <f t="shared" ref="E57:K57" si="38">E8</f>
        <v>1.2</v>
      </c>
      <c r="F57" s="123">
        <f t="shared" si="38"/>
        <v>0</v>
      </c>
      <c r="G57" s="123">
        <f t="shared" si="38"/>
        <v>0.8</v>
      </c>
      <c r="H57" s="123">
        <f t="shared" si="38"/>
        <v>1</v>
      </c>
      <c r="I57" s="123">
        <f t="shared" si="38"/>
        <v>1.2</v>
      </c>
      <c r="J57" s="123">
        <f t="shared" si="38"/>
        <v>1</v>
      </c>
      <c r="K57" s="123">
        <f t="shared" si="38"/>
        <v>0.8</v>
      </c>
    </row>
    <row r="58" spans="2:32" x14ac:dyDescent="0.3">
      <c r="B58" s="2" t="s">
        <v>446</v>
      </c>
      <c r="D58" s="38">
        <f>D55-D56-D57</f>
        <v>0</v>
      </c>
      <c r="E58" s="38">
        <f t="shared" ref="E58:K58" si="39">E55-E56-E57</f>
        <v>29.400000000000002</v>
      </c>
      <c r="F58" s="38">
        <f t="shared" si="39"/>
        <v>0</v>
      </c>
      <c r="G58" s="38">
        <f t="shared" si="39"/>
        <v>37.800000000000004</v>
      </c>
      <c r="H58" s="38">
        <f t="shared" si="39"/>
        <v>5</v>
      </c>
      <c r="I58" s="38">
        <f t="shared" si="39"/>
        <v>20.400000000000002</v>
      </c>
      <c r="J58" s="38">
        <f t="shared" si="39"/>
        <v>5</v>
      </c>
      <c r="K58" s="38">
        <f t="shared" si="39"/>
        <v>28.8</v>
      </c>
    </row>
    <row r="59" spans="2:32" x14ac:dyDescent="0.3">
      <c r="B59" s="2" t="s">
        <v>451</v>
      </c>
      <c r="D59" s="2">
        <f>$C$62-D55+D57</f>
        <v>80</v>
      </c>
      <c r="E59" s="2">
        <f t="shared" ref="E59:K59" si="40">$C$62-E55+E57</f>
        <v>45.2</v>
      </c>
      <c r="F59" s="2">
        <f t="shared" si="40"/>
        <v>80</v>
      </c>
      <c r="G59" s="2">
        <f t="shared" si="40"/>
        <v>36.799999999999997</v>
      </c>
      <c r="H59" s="2">
        <f t="shared" si="40"/>
        <v>72</v>
      </c>
      <c r="I59" s="2">
        <f t="shared" si="40"/>
        <v>54.2</v>
      </c>
      <c r="J59" s="2">
        <f t="shared" si="40"/>
        <v>72</v>
      </c>
      <c r="K59" s="2">
        <f t="shared" si="40"/>
        <v>45.8</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80</v>
      </c>
      <c r="D62" s="38">
        <v>0</v>
      </c>
      <c r="E62" s="38">
        <f>D65</f>
        <v>0</v>
      </c>
      <c r="F62" s="38">
        <f>E65</f>
        <v>36.000000000000007</v>
      </c>
      <c r="G62" s="38">
        <f>F65</f>
        <v>36.000000000000007</v>
      </c>
      <c r="H62" s="183">
        <v>0</v>
      </c>
      <c r="I62" s="38">
        <f>H65</f>
        <v>9</v>
      </c>
      <c r="J62" s="38">
        <f>I65</f>
        <v>36.000000000000007</v>
      </c>
      <c r="K62" s="38">
        <f>J65</f>
        <v>45.000000000000007</v>
      </c>
    </row>
    <row r="63" spans="2:32" x14ac:dyDescent="0.3">
      <c r="B63" s="2" t="s">
        <v>448</v>
      </c>
      <c r="D63" s="3">
        <f t="shared" ref="D63:K63" si="41">D62+D58</f>
        <v>0</v>
      </c>
      <c r="E63" s="3">
        <f t="shared" si="41"/>
        <v>29.400000000000002</v>
      </c>
      <c r="F63" s="3">
        <f t="shared" si="41"/>
        <v>36.000000000000007</v>
      </c>
      <c r="G63" s="3">
        <f t="shared" si="41"/>
        <v>73.800000000000011</v>
      </c>
      <c r="H63" s="184">
        <f t="shared" si="41"/>
        <v>5</v>
      </c>
      <c r="I63" s="3">
        <f t="shared" si="41"/>
        <v>29.400000000000002</v>
      </c>
      <c r="J63" s="3">
        <f t="shared" si="41"/>
        <v>41.000000000000007</v>
      </c>
      <c r="K63" s="3">
        <f t="shared" si="41"/>
        <v>73.800000000000011</v>
      </c>
    </row>
    <row r="64" spans="2:32" x14ac:dyDescent="0.3">
      <c r="B64" s="123" t="s">
        <v>449</v>
      </c>
      <c r="C64" s="123"/>
      <c r="D64" s="31">
        <f t="shared" ref="D64:K65" si="42">D63+D56</f>
        <v>0</v>
      </c>
      <c r="E64" s="31">
        <f t="shared" si="42"/>
        <v>34.800000000000004</v>
      </c>
      <c r="F64" s="31">
        <f t="shared" si="42"/>
        <v>36.000000000000007</v>
      </c>
      <c r="G64" s="31">
        <f t="shared" si="42"/>
        <v>79.200000000000017</v>
      </c>
      <c r="H64" s="185">
        <f t="shared" si="42"/>
        <v>8</v>
      </c>
      <c r="I64" s="31">
        <f t="shared" si="42"/>
        <v>34.800000000000004</v>
      </c>
      <c r="J64" s="31">
        <f t="shared" si="42"/>
        <v>44.000000000000007</v>
      </c>
      <c r="K64" s="31">
        <f t="shared" si="42"/>
        <v>79.200000000000017</v>
      </c>
    </row>
    <row r="65" spans="2:11" x14ac:dyDescent="0.3">
      <c r="B65" s="2" t="s">
        <v>450</v>
      </c>
      <c r="D65" s="2">
        <f t="shared" si="42"/>
        <v>0</v>
      </c>
      <c r="E65" s="2">
        <f t="shared" si="42"/>
        <v>36.000000000000007</v>
      </c>
      <c r="F65" s="2">
        <f t="shared" si="42"/>
        <v>36.000000000000007</v>
      </c>
      <c r="G65" s="2">
        <f t="shared" si="42"/>
        <v>80.000000000000014</v>
      </c>
      <c r="H65" s="157">
        <f t="shared" si="42"/>
        <v>9</v>
      </c>
      <c r="I65" s="2">
        <f t="shared" si="42"/>
        <v>36.000000000000007</v>
      </c>
      <c r="J65" s="2">
        <f t="shared" si="42"/>
        <v>45.000000000000007</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3">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3">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3">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3">
      <c r="I6" s="9" t="s">
        <v>76</v>
      </c>
      <c r="S6" s="2"/>
    </row>
    <row r="7" spans="1:36" x14ac:dyDescent="0.3">
      <c r="S7" s="2"/>
    </row>
    <row r="9" spans="1:36" x14ac:dyDescent="0.3">
      <c r="B9" s="45">
        <f>IF(T15=0,0,Sheet1!N4)</f>
        <v>0</v>
      </c>
      <c r="C9" s="41"/>
      <c r="H9" s="57">
        <f>IF(Z15=0,0,Sheet1!U4)</f>
        <v>0</v>
      </c>
      <c r="L9" s="66" t="str">
        <f>IF(T9=0,"N/A",AC5)</f>
        <v>7+0</v>
      </c>
      <c r="R9" s="68">
        <f>'Phase calculation'!H33</f>
        <v>8</v>
      </c>
      <c r="S9" s="2"/>
      <c r="T9" s="45">
        <f>Sheet1!N5</f>
        <v>1</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t="str">
        <f>Sheet1!O38</f>
        <v>Camp Mohave South</v>
      </c>
      <c r="B11" s="45">
        <f>IF(T15=0,0,Sheet1!O4)</f>
        <v>0</v>
      </c>
      <c r="D11" s="5"/>
      <c r="E11" s="6" t="str">
        <f>Sheet1!B2</f>
        <v>SR 95 &amp; Camp Mohave South</v>
      </c>
      <c r="F11" s="5"/>
      <c r="G11" s="5"/>
      <c r="H11" s="58">
        <f>IF(Z15=0,0,Sheet1!T4)</f>
        <v>0</v>
      </c>
      <c r="I11" s="106" t="str">
        <f>Sheet1!T38</f>
        <v>Camp Mohave South</v>
      </c>
      <c r="K11" s="107" t="str">
        <f>A11</f>
        <v>Camp Mohave South</v>
      </c>
      <c r="L11" s="66">
        <f>IF(T11=0,"N/A",AD5)</f>
        <v>4</v>
      </c>
      <c r="M11" s="5"/>
      <c r="N11" s="5"/>
      <c r="O11" s="5"/>
      <c r="P11" s="5"/>
      <c r="R11" s="68">
        <f>IF(Z11=0,"N/A",AF5)</f>
        <v>8</v>
      </c>
      <c r="T11" s="45">
        <f>Sheet1!O5</f>
        <v>1</v>
      </c>
      <c r="V11" s="5"/>
      <c r="W11" s="5"/>
      <c r="X11" s="5"/>
      <c r="Y11" s="5"/>
      <c r="Z11" s="58">
        <f>Sheet1!T5</f>
        <v>1</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3">
      <c r="D18" s="299" t="str">
        <f>Sheet1!E38</f>
        <v>SR 95</v>
      </c>
      <c r="E18" s="299"/>
      <c r="F18" s="299"/>
      <c r="N18" s="299" t="str">
        <f>D18</f>
        <v>SR 95</v>
      </c>
      <c r="O18" s="299"/>
      <c r="P18" s="299"/>
    </row>
    <row r="20" spans="1:25" x14ac:dyDescent="0.3">
      <c r="B20" s="309" t="s">
        <v>215</v>
      </c>
      <c r="C20" s="309"/>
      <c r="D20" s="309"/>
      <c r="E20" s="309"/>
      <c r="F20" s="309"/>
      <c r="G20" s="309"/>
      <c r="H20" s="22"/>
      <c r="L20" s="263" t="s">
        <v>214</v>
      </c>
      <c r="M20" s="263"/>
      <c r="N20" s="263"/>
      <c r="O20" s="263"/>
      <c r="P20" s="263"/>
      <c r="Q20" s="263"/>
    </row>
    <row r="21" spans="1:25" x14ac:dyDescent="0.3">
      <c r="D21" s="299" t="str">
        <f>D3</f>
        <v>SR 95</v>
      </c>
      <c r="E21" s="299"/>
      <c r="F21" s="299"/>
      <c r="N21" s="299" t="str">
        <f>D3</f>
        <v>SR 95</v>
      </c>
      <c r="O21" s="299"/>
      <c r="P21" s="299"/>
    </row>
    <row r="22" spans="1:25" x14ac:dyDescent="0.3">
      <c r="D22" s="38">
        <f>'Phase calculation'!N34</f>
        <v>27</v>
      </c>
      <c r="E22" s="38">
        <f>IF(W4=0,0,'Phase calculation'!M34)</f>
        <v>27</v>
      </c>
      <c r="F22" s="38">
        <f>IF(Y17=0,'Phase calculation'!M34,'Phase calculation'!L34)</f>
        <v>0</v>
      </c>
      <c r="N22" s="3">
        <f>'Phase calculation'!N41</f>
        <v>175950</v>
      </c>
      <c r="O22" s="3">
        <f>IF(W4=0,0,'Phase calculation'!M41)</f>
        <v>87975</v>
      </c>
      <c r="P22" s="3" t="e">
        <f>IF(X4=0,0,'Phase calculation'!L41)</f>
        <v>#N/A</v>
      </c>
    </row>
    <row r="24" spans="1:25" x14ac:dyDescent="0.3">
      <c r="I24" s="9" t="s">
        <v>76</v>
      </c>
    </row>
    <row r="27" spans="1:25" x14ac:dyDescent="0.3">
      <c r="B27" s="60">
        <f>IF(Z15=0,'Phase calculation'!D34,'Phase calculation'!C34)</f>
        <v>9</v>
      </c>
      <c r="E27" s="64"/>
      <c r="H27" s="61">
        <f>'Phase calculation'!H34</f>
        <v>35</v>
      </c>
      <c r="L27" s="23" t="e">
        <f>IF(T9=0,0,'Phase calculation'!C41)</f>
        <v>#N/A</v>
      </c>
      <c r="N27" s="64"/>
      <c r="O27" s="64"/>
      <c r="R27" s="4">
        <f>'Phase calculation'!H41</f>
        <v>0</v>
      </c>
    </row>
    <row r="28" spans="1:25" x14ac:dyDescent="0.3">
      <c r="C28" s="5"/>
      <c r="D28" s="64"/>
      <c r="E28" s="311" t="str">
        <f>IF(E22+F22+H27+H29+E35+D35+B29+B27=0,0,"C = "&amp;'Phase calculation'!C25&amp;" s")</f>
        <v>C = 80 s</v>
      </c>
      <c r="G28" s="5"/>
      <c r="H28" s="12"/>
      <c r="I28" s="5"/>
      <c r="L28" s="41"/>
      <c r="M28" s="5"/>
      <c r="N28" s="64"/>
      <c r="O28" s="64"/>
      <c r="P28" s="5"/>
    </row>
    <row r="29" spans="1:25" x14ac:dyDescent="0.3">
      <c r="A29" s="107" t="str">
        <f>A11</f>
        <v>Camp Mohave South</v>
      </c>
      <c r="B29" s="36">
        <f>IF(T11=0,0,'Phase calculation'!D34)</f>
        <v>44</v>
      </c>
      <c r="C29" s="5"/>
      <c r="D29" s="5"/>
      <c r="E29" s="311"/>
      <c r="G29" s="5"/>
      <c r="H29" s="62">
        <f>IF(Z11=0,0,'Phase calculation'!G34)</f>
        <v>35</v>
      </c>
      <c r="I29" s="107" t="str">
        <f>I11</f>
        <v>Camp Mohave South</v>
      </c>
      <c r="K29" s="107" t="str">
        <f>A11</f>
        <v>Camp Mohave South</v>
      </c>
      <c r="L29" s="23">
        <f>IF(T11=0,0,'Phase calculation'!D41)</f>
        <v>76500</v>
      </c>
      <c r="M29" s="5"/>
      <c r="N29" s="5"/>
      <c r="O29" s="5"/>
      <c r="P29" s="5"/>
      <c r="R29" s="4">
        <f>IF(Z11=0,0,'Phase calculation'!G41)</f>
        <v>59288</v>
      </c>
    </row>
    <row r="30" spans="1:25" x14ac:dyDescent="0.3">
      <c r="C30" s="15"/>
      <c r="D30" s="8"/>
      <c r="E30" s="311"/>
      <c r="G30" s="8"/>
      <c r="H30" s="5"/>
      <c r="I30" s="7"/>
      <c r="M30" s="15"/>
      <c r="N30" s="8"/>
      <c r="O30" s="8"/>
      <c r="P30" s="8"/>
      <c r="Q30" s="5"/>
      <c r="R30" s="12"/>
    </row>
    <row r="31" spans="1:25" x14ac:dyDescent="0.3">
      <c r="B31" s="36">
        <f>'Phase calculation'!E34</f>
        <v>44</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9</v>
      </c>
      <c r="E35" s="63">
        <f>IF(W17=0,0,'Phase calculation'!J34)</f>
        <v>36</v>
      </c>
      <c r="F35" s="38">
        <f>'Phase calculation'!K34</f>
        <v>36</v>
      </c>
      <c r="N35" s="18" t="e">
        <f>IF(V17=0,0,'Phase calculation'!I41)</f>
        <v>#N/A</v>
      </c>
      <c r="O35" s="18">
        <f>IF(W17=0,0,'Phase calculation'!J41)</f>
        <v>122400</v>
      </c>
      <c r="P35" s="3">
        <f>'Phase calculation'!K41</f>
        <v>1530000</v>
      </c>
    </row>
    <row r="36" spans="2:19" x14ac:dyDescent="0.3">
      <c r="D36" s="299" t="str">
        <f>D18</f>
        <v>SR 95</v>
      </c>
      <c r="E36" s="299"/>
      <c r="F36" s="299"/>
      <c r="N36" s="299" t="str">
        <f>D18</f>
        <v>SR 95</v>
      </c>
      <c r="O36" s="299"/>
      <c r="P36" s="299"/>
    </row>
    <row r="37" spans="2:19" x14ac:dyDescent="0.3">
      <c r="D37" s="2"/>
      <c r="E37" s="2"/>
    </row>
    <row r="39" spans="2:19" x14ac:dyDescent="0.3">
      <c r="M39" s="301" t="s">
        <v>219</v>
      </c>
      <c r="N39" s="301"/>
      <c r="O39" s="301"/>
      <c r="P39" s="301"/>
      <c r="Q39" s="301"/>
      <c r="R39" s="301"/>
    </row>
    <row r="40" spans="2:19" x14ac:dyDescent="0.3">
      <c r="B40" s="304" t="s">
        <v>218</v>
      </c>
      <c r="C40" s="304"/>
      <c r="D40" s="304"/>
      <c r="E40" s="304"/>
      <c r="F40" s="304"/>
      <c r="G40" s="304"/>
      <c r="L40" s="84"/>
      <c r="M40" s="84"/>
      <c r="O40" s="299" t="str">
        <f>D3</f>
        <v>SR 95</v>
      </c>
      <c r="P40" s="299"/>
      <c r="Q40" s="299"/>
    </row>
    <row r="41" spans="2:19" x14ac:dyDescent="0.3">
      <c r="D41" s="299" t="str">
        <f>D3</f>
        <v>SR 95</v>
      </c>
      <c r="E41" s="299"/>
      <c r="F41" s="299"/>
      <c r="O41" s="302" t="e">
        <f>'Phase calculation'!L46</f>
        <v>#N/A</v>
      </c>
      <c r="P41" s="302"/>
      <c r="Q41" s="302"/>
    </row>
    <row r="42" spans="2:19" x14ac:dyDescent="0.3">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e">
        <f>IF(T9=0,"N/A",'Phase calculation'!C40)</f>
        <v>#N/A</v>
      </c>
      <c r="C47" s="70"/>
      <c r="H47" s="73">
        <f>'Phase calculation'!H40</f>
        <v>0</v>
      </c>
      <c r="M47" s="129">
        <f>IF(T9=0,"N/A",'Phase calculation'!C44)</f>
        <v>0</v>
      </c>
      <c r="N47" s="127"/>
      <c r="P47" s="152"/>
      <c r="Q47" s="127"/>
    </row>
    <row r="48" spans="2:19" x14ac:dyDescent="0.3">
      <c r="B48" s="70"/>
      <c r="C48" s="74"/>
      <c r="D48" s="300">
        <f>'Phase calculation'!T82</f>
        <v>0</v>
      </c>
      <c r="E48" s="300"/>
      <c r="F48" s="300"/>
      <c r="M48" s="127"/>
      <c r="N48" s="130"/>
      <c r="O48" s="310">
        <f>'Phase calculation'!T84</f>
        <v>0</v>
      </c>
      <c r="P48" s="310"/>
      <c r="Q48" s="310"/>
    </row>
    <row r="49" spans="1:20" x14ac:dyDescent="0.3">
      <c r="A49" s="107" t="str">
        <f>A11</f>
        <v>Camp Mohave South</v>
      </c>
      <c r="B49" s="72">
        <f>IF(T11=0,"N/A",'Phase calculation'!D40)</f>
        <v>0</v>
      </c>
      <c r="C49" s="74"/>
      <c r="D49" s="300" t="str">
        <f>'Phase calculation'!C52</f>
        <v>Under Capacity</v>
      </c>
      <c r="E49" s="300"/>
      <c r="F49" s="300"/>
      <c r="H49" s="73">
        <f>IF(Z11=0,"N/A",'Phase calculation'!G40)</f>
        <v>0</v>
      </c>
      <c r="I49" s="107" t="str">
        <f>I11</f>
        <v>Camp Mohave South</v>
      </c>
      <c r="K49" s="107" t="str">
        <f>A11</f>
        <v>Camp Mohave South</v>
      </c>
      <c r="L49" s="177">
        <f>'Phase calculation'!C46</f>
        <v>0</v>
      </c>
      <c r="M49" s="129">
        <f>IF(T11=0,"N/A",'Phase calculation'!D44)</f>
        <v>0</v>
      </c>
      <c r="N49" s="130"/>
      <c r="O49" s="310"/>
      <c r="P49" s="310"/>
      <c r="Q49" s="310"/>
      <c r="S49" s="177" t="e">
        <f>'Phase calculation'!F46</f>
        <v>#N/A</v>
      </c>
      <c r="T49" s="107" t="str">
        <f>I11</f>
        <v>Camp Mohave South</v>
      </c>
    </row>
    <row r="50" spans="1:20" x14ac:dyDescent="0.3">
      <c r="B50" s="70"/>
      <c r="C50" s="16"/>
      <c r="D50" s="16"/>
      <c r="E50" s="16"/>
      <c r="F50" s="16"/>
      <c r="G50" s="74"/>
      <c r="H50" s="75"/>
      <c r="M50" s="127"/>
      <c r="N50" s="131"/>
      <c r="O50" s="310"/>
      <c r="P50" s="310"/>
      <c r="Q50" s="310"/>
      <c r="R50" s="130"/>
    </row>
    <row r="51" spans="1:20" x14ac:dyDescent="0.3">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3">
      <c r="D56" s="299" t="str">
        <f>D18</f>
        <v>SR 95</v>
      </c>
      <c r="E56" s="299"/>
      <c r="F56" s="299"/>
      <c r="O56" s="302">
        <f>'Phase calculation'!I46</f>
        <v>0</v>
      </c>
      <c r="P56" s="302"/>
      <c r="Q56" s="302"/>
    </row>
    <row r="57" spans="1:20" x14ac:dyDescent="0.3">
      <c r="O57" s="299" t="str">
        <f>D18</f>
        <v>SR 95</v>
      </c>
      <c r="P57" s="299"/>
      <c r="Q57" s="299"/>
    </row>
    <row r="58" spans="1:20" x14ac:dyDescent="0.3">
      <c r="G58" s="305" t="s">
        <v>220</v>
      </c>
      <c r="H58" s="305"/>
      <c r="I58" s="305"/>
      <c r="J58" s="305"/>
      <c r="K58" s="305"/>
      <c r="L58" s="305"/>
      <c r="M58" s="22"/>
    </row>
    <row r="59" spans="1:20" x14ac:dyDescent="0.3">
      <c r="I59" s="299" t="str">
        <f>D3</f>
        <v>SR 95</v>
      </c>
      <c r="J59" s="299"/>
      <c r="K59" s="299"/>
    </row>
    <row r="60" spans="1:20" x14ac:dyDescent="0.3">
      <c r="I60" s="2"/>
      <c r="J60" s="9" t="e">
        <f>'Phase calculation'!L47</f>
        <v>#N/A</v>
      </c>
      <c r="K60" s="2"/>
    </row>
    <row r="61" spans="1:20" x14ac:dyDescent="0.3">
      <c r="I61" s="84" t="str">
        <f>'Phase calculation'!N45</f>
        <v>N/A</v>
      </c>
      <c r="J61" s="84" t="str">
        <f>'Phase calculation'!M45</f>
        <v>N/A</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6" t="str">
        <f>'Phase calculation'!U84</f>
        <v>N/A</v>
      </c>
      <c r="J67" s="306"/>
      <c r="K67" s="306"/>
      <c r="P67" s="2" t="s">
        <v>147</v>
      </c>
      <c r="Q67" s="28"/>
    </row>
    <row r="68" spans="5:17" ht="15" customHeight="1" x14ac:dyDescent="0.3">
      <c r="E68" s="107" t="str">
        <f>A11</f>
        <v>Camp Mohave South</v>
      </c>
      <c r="F68" s="9" t="str">
        <f>'Phase calculation'!C47</f>
        <v>N/A</v>
      </c>
      <c r="G68" s="40" t="str">
        <f>'Phase calculation'!D45</f>
        <v>N/A</v>
      </c>
      <c r="H68" s="5"/>
      <c r="I68" s="306"/>
      <c r="J68" s="306"/>
      <c r="K68" s="306"/>
      <c r="M68" s="85" t="str">
        <f>'Phase calculation'!G45</f>
        <v>N/A</v>
      </c>
      <c r="N68" s="9" t="e">
        <f>'Phase calculation'!F47</f>
        <v>#N/A</v>
      </c>
      <c r="O68" s="107" t="str">
        <f>I11</f>
        <v>Camp Mohave South</v>
      </c>
    </row>
    <row r="69" spans="5:17" ht="15" customHeight="1" x14ac:dyDescent="0.3">
      <c r="H69" s="15"/>
      <c r="I69" s="306"/>
      <c r="J69" s="306"/>
      <c r="K69" s="306"/>
      <c r="L69" s="5"/>
      <c r="M69" s="86"/>
      <c r="N69" s="5"/>
    </row>
    <row r="70" spans="5:17" x14ac:dyDescent="0.3">
      <c r="G70" s="40" t="str">
        <f>'Phase calculation'!E45</f>
        <v>N/A</v>
      </c>
      <c r="H70" s="16"/>
      <c r="I70" s="17"/>
      <c r="J70" s="17"/>
      <c r="K70" s="8"/>
      <c r="L70" s="8"/>
      <c r="M70" s="86" t="e">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N/A</v>
      </c>
      <c r="K74" s="84" t="str">
        <f>'Phase calculation'!K45</f>
        <v>N/A</v>
      </c>
    </row>
    <row r="75" spans="5:17" x14ac:dyDescent="0.3">
      <c r="J75" s="9" t="str">
        <f>'Phase calculation'!I47</f>
        <v>N/A</v>
      </c>
    </row>
    <row r="76" spans="5:17" x14ac:dyDescent="0.3">
      <c r="I76" s="299" t="str">
        <f>D18</f>
        <v>SR 95</v>
      </c>
      <c r="J76" s="299"/>
      <c r="K76" s="299"/>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3">
      <c r="F84" s="2" t="s">
        <v>316</v>
      </c>
      <c r="G84" s="2">
        <f>'Phase calculation'!C34</f>
        <v>9</v>
      </c>
      <c r="H84" s="2">
        <f>'Phase calculation'!D34</f>
        <v>44</v>
      </c>
      <c r="I84" s="2">
        <f>'Phase calculation'!F34</f>
        <v>0</v>
      </c>
      <c r="J84" s="2">
        <f>'Phase calculation'!G34</f>
        <v>35</v>
      </c>
      <c r="K84" s="2">
        <f>'Phase calculation'!I34</f>
        <v>9</v>
      </c>
      <c r="L84" s="2">
        <f>'Phase calculation'!J34</f>
        <v>36</v>
      </c>
      <c r="M84" s="2">
        <f>'Phase calculation'!L34</f>
        <v>0</v>
      </c>
      <c r="N84" s="2">
        <f>'Phase calculation'!M34</f>
        <v>27</v>
      </c>
    </row>
    <row r="85" spans="6:19" x14ac:dyDescent="0.3">
      <c r="F85" s="2" t="s">
        <v>149</v>
      </c>
      <c r="G85" s="2" t="e">
        <f>'Phase calculation'!C41</f>
        <v>#N/A</v>
      </c>
      <c r="H85" s="2">
        <f>'Phase calculation'!D41</f>
        <v>76500</v>
      </c>
      <c r="I85" s="2" t="e">
        <f>'Phase calculation'!F41</f>
        <v>#N/A</v>
      </c>
      <c r="J85" s="2">
        <f>'Phase calculation'!G41</f>
        <v>59288</v>
      </c>
      <c r="K85" s="2" t="e">
        <f>'Phase calculation'!I41</f>
        <v>#N/A</v>
      </c>
      <c r="L85" s="2">
        <f>'Phase calculation'!J41</f>
        <v>122400</v>
      </c>
      <c r="M85" s="2" t="e">
        <f>'Phase calculation'!L41</f>
        <v>#N/A</v>
      </c>
      <c r="N85" s="2">
        <f>'Phase calculation'!M41</f>
        <v>87975</v>
      </c>
    </row>
    <row r="86" spans="6:19" x14ac:dyDescent="0.3">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3">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3">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4">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399999999999999" x14ac:dyDescent="0.35">
      <c r="F92" s="303"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2" x14ac:dyDescent="0.45">
      <c r="F93" s="303"/>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399999999999999" x14ac:dyDescent="0.35">
      <c r="F94" s="114" t="s">
        <v>317</v>
      </c>
      <c r="G94" s="114" t="str">
        <f>IF(G91=0,"Not used",INDEX($G$84:$N$84,G91))</f>
        <v>Not used</v>
      </c>
      <c r="H94" s="84">
        <f t="shared" ref="H94:N94" si="4">IF(H91=0,"Not used",INDEX($G$84:$N$84,H91))</f>
        <v>36</v>
      </c>
      <c r="I94" s="84" t="str">
        <f t="shared" si="4"/>
        <v>Not used</v>
      </c>
      <c r="J94" s="84">
        <f t="shared" si="4"/>
        <v>44</v>
      </c>
      <c r="K94" s="84">
        <f t="shared" si="4"/>
        <v>9</v>
      </c>
      <c r="L94" s="84">
        <f t="shared" si="4"/>
        <v>27</v>
      </c>
      <c r="M94" s="84">
        <f t="shared" si="4"/>
        <v>9</v>
      </c>
      <c r="N94" s="115">
        <f t="shared" si="4"/>
        <v>35</v>
      </c>
      <c r="P94" s="2">
        <v>5</v>
      </c>
      <c r="Q94" s="248" t="str">
        <f t="shared" si="1"/>
        <v>:</v>
      </c>
      <c r="R94" s="248"/>
      <c r="S94" s="248"/>
    </row>
    <row r="95" spans="6:19" s="2" customFormat="1" ht="20.399999999999999" x14ac:dyDescent="0.35">
      <c r="F95" s="114" t="s">
        <v>318</v>
      </c>
      <c r="G95" s="114" t="str">
        <f>IF(G91=0,"Not used",INDEX($G$85:$N$85,G91))</f>
        <v>Not used</v>
      </c>
      <c r="H95" s="84">
        <f t="shared" ref="H95:N95" si="5">IF(H91=0,"Not used",INDEX($G$85:$N$85,H91))</f>
        <v>122400</v>
      </c>
      <c r="I95" s="84" t="str">
        <f t="shared" si="5"/>
        <v>Not used</v>
      </c>
      <c r="J95" s="84">
        <f t="shared" si="5"/>
        <v>76500</v>
      </c>
      <c r="K95" s="84" t="e">
        <f t="shared" si="5"/>
        <v>#N/A</v>
      </c>
      <c r="L95" s="84">
        <f t="shared" si="5"/>
        <v>87975</v>
      </c>
      <c r="M95" s="84" t="e">
        <f t="shared" si="5"/>
        <v>#N/A</v>
      </c>
      <c r="N95" s="115">
        <f t="shared" si="5"/>
        <v>59288</v>
      </c>
      <c r="P95" s="2">
        <v>4</v>
      </c>
      <c r="Q95" s="248" t="str">
        <f t="shared" si="1"/>
        <v>"</v>
      </c>
      <c r="R95" s="248"/>
      <c r="S95" s="248"/>
    </row>
    <row r="96" spans="6:19" s="2" customFormat="1" ht="20.399999999999999" x14ac:dyDescent="0.35">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399999999999999" x14ac:dyDescent="0.35">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4">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M3" sqref="M3"/>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workbookViewId="0">
      <selection activeCell="A24" sqref="A24:J4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workbookViewId="0">
      <selection activeCell="A4" sqref="A4:AD60"/>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4" sqref="A4:C1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workbookViewId="0">
      <selection activeCell="A4" sqref="A4:R27"/>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39</v>
      </c>
      <c r="C4">
        <v>75</v>
      </c>
      <c r="D4">
        <v>106</v>
      </c>
      <c r="E4">
        <v>73</v>
      </c>
      <c r="F4">
        <v>74</v>
      </c>
    </row>
    <row r="5" spans="1:6" x14ac:dyDescent="0.3">
      <c r="A5" t="s">
        <v>36</v>
      </c>
      <c r="B5">
        <v>39</v>
      </c>
      <c r="C5">
        <v>3</v>
      </c>
      <c r="D5">
        <v>3</v>
      </c>
      <c r="E5">
        <v>2</v>
      </c>
      <c r="F5">
        <v>2</v>
      </c>
    </row>
    <row r="6" spans="1:6" x14ac:dyDescent="0.3">
      <c r="A6" t="s">
        <v>503</v>
      </c>
      <c r="B6">
        <v>39</v>
      </c>
      <c r="C6" t="s">
        <v>735</v>
      </c>
      <c r="D6" t="s">
        <v>735</v>
      </c>
      <c r="E6" t="s">
        <v>736</v>
      </c>
      <c r="F6" t="s">
        <v>736</v>
      </c>
    </row>
    <row r="7" spans="1:6" x14ac:dyDescent="0.3">
      <c r="A7" t="s">
        <v>674</v>
      </c>
      <c r="B7">
        <v>39</v>
      </c>
      <c r="C7">
        <v>2985</v>
      </c>
      <c r="D7">
        <v>99</v>
      </c>
      <c r="E7">
        <v>218</v>
      </c>
      <c r="F7">
        <v>282</v>
      </c>
    </row>
    <row r="8" spans="1:6" x14ac:dyDescent="0.3">
      <c r="A8" t="s">
        <v>42</v>
      </c>
      <c r="B8">
        <v>39</v>
      </c>
      <c r="C8">
        <v>45</v>
      </c>
      <c r="D8">
        <v>45</v>
      </c>
      <c r="E8">
        <v>45</v>
      </c>
      <c r="F8">
        <v>45</v>
      </c>
    </row>
    <row r="9" spans="1:6" x14ac:dyDescent="0.3">
      <c r="A9" t="s">
        <v>675</v>
      </c>
      <c r="B9">
        <v>39</v>
      </c>
      <c r="C9">
        <v>45.2</v>
      </c>
      <c r="D9">
        <v>1.5</v>
      </c>
      <c r="E9">
        <v>3.3</v>
      </c>
      <c r="F9">
        <v>4.3</v>
      </c>
    </row>
    <row r="10" spans="1:6" x14ac:dyDescent="0.3">
      <c r="A10" t="s">
        <v>41</v>
      </c>
      <c r="B10">
        <v>39</v>
      </c>
      <c r="C10">
        <v>0</v>
      </c>
      <c r="D10">
        <v>0</v>
      </c>
      <c r="E10">
        <v>0</v>
      </c>
      <c r="F10">
        <v>0</v>
      </c>
    </row>
    <row r="11" spans="1:6" x14ac:dyDescent="0.3">
      <c r="A11" t="s">
        <v>676</v>
      </c>
      <c r="B11">
        <v>39</v>
      </c>
      <c r="C11">
        <v>12</v>
      </c>
      <c r="D11">
        <v>12</v>
      </c>
      <c r="E11">
        <v>12</v>
      </c>
      <c r="F11">
        <v>12</v>
      </c>
    </row>
    <row r="12" spans="1:6" x14ac:dyDescent="0.3">
      <c r="A12" t="s">
        <v>563</v>
      </c>
      <c r="B12">
        <v>39</v>
      </c>
      <c r="C12">
        <v>0</v>
      </c>
      <c r="D12">
        <v>0</v>
      </c>
      <c r="E12">
        <v>0</v>
      </c>
      <c r="F12">
        <v>0</v>
      </c>
    </row>
    <row r="13" spans="1:6" x14ac:dyDescent="0.3">
      <c r="A13" t="s">
        <v>677</v>
      </c>
      <c r="B13">
        <v>39</v>
      </c>
      <c r="C13">
        <v>0</v>
      </c>
      <c r="D13">
        <v>0</v>
      </c>
      <c r="E13">
        <v>0</v>
      </c>
      <c r="F13">
        <v>0</v>
      </c>
    </row>
    <row r="14" spans="1:6" x14ac:dyDescent="0.3">
      <c r="A14" t="s">
        <v>678</v>
      </c>
      <c r="B14">
        <v>39</v>
      </c>
      <c r="C14">
        <v>16</v>
      </c>
      <c r="D14">
        <v>16</v>
      </c>
      <c r="E14">
        <v>16</v>
      </c>
      <c r="F14">
        <v>16</v>
      </c>
    </row>
    <row r="15" spans="1:6" x14ac:dyDescent="0.3">
      <c r="A15" t="s">
        <v>679</v>
      </c>
      <c r="B15">
        <v>39</v>
      </c>
      <c r="C15">
        <v>305</v>
      </c>
      <c r="D15">
        <v>305</v>
      </c>
      <c r="E15">
        <v>305</v>
      </c>
      <c r="F15">
        <v>305</v>
      </c>
    </row>
    <row r="16" spans="1:6" x14ac:dyDescent="0.3">
      <c r="A16" t="s">
        <v>680</v>
      </c>
      <c r="B16">
        <v>39</v>
      </c>
      <c r="C16">
        <v>1980</v>
      </c>
      <c r="D16">
        <v>1980</v>
      </c>
      <c r="E16">
        <v>1980</v>
      </c>
      <c r="F16">
        <v>1980</v>
      </c>
    </row>
    <row r="17" spans="1:16" x14ac:dyDescent="0.3">
      <c r="A17" t="s">
        <v>681</v>
      </c>
      <c r="B17">
        <v>39</v>
      </c>
      <c r="C17">
        <v>1320</v>
      </c>
      <c r="D17">
        <v>1320</v>
      </c>
      <c r="E17">
        <v>1320</v>
      </c>
      <c r="F17">
        <v>1320</v>
      </c>
    </row>
    <row r="18" spans="1:16" x14ac:dyDescent="0.3">
      <c r="A18" t="s">
        <v>682</v>
      </c>
      <c r="B18">
        <v>39</v>
      </c>
      <c r="C18">
        <v>2640</v>
      </c>
      <c r="D18">
        <v>2640</v>
      </c>
      <c r="E18">
        <v>2640</v>
      </c>
      <c r="F18">
        <v>2640</v>
      </c>
    </row>
    <row r="19" spans="1:16" x14ac:dyDescent="0.3">
      <c r="A19" t="s">
        <v>683</v>
      </c>
      <c r="B19">
        <v>39</v>
      </c>
    </row>
    <row r="20" spans="1:16" x14ac:dyDescent="0.3">
      <c r="A20" t="s">
        <v>684</v>
      </c>
      <c r="B20">
        <v>39</v>
      </c>
    </row>
    <row r="21" spans="1:16" x14ac:dyDescent="0.3">
      <c r="A21" t="s">
        <v>685</v>
      </c>
      <c r="B21">
        <v>39</v>
      </c>
    </row>
    <row r="22" spans="1:16" x14ac:dyDescent="0.3">
      <c r="A22" t="s">
        <v>686</v>
      </c>
      <c r="B22">
        <v>39</v>
      </c>
      <c r="C22" t="b">
        <v>0</v>
      </c>
      <c r="D22" t="b">
        <v>0</v>
      </c>
      <c r="E22" t="b">
        <v>0</v>
      </c>
      <c r="F22" t="b">
        <v>0</v>
      </c>
    </row>
    <row r="23" spans="1:16" x14ac:dyDescent="0.3">
      <c r="A23" t="s">
        <v>687</v>
      </c>
      <c r="B23">
        <v>39</v>
      </c>
      <c r="C23" t="b">
        <v>0</v>
      </c>
      <c r="D23" t="b">
        <v>0</v>
      </c>
      <c r="E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39</v>
      </c>
      <c r="C27">
        <v>75</v>
      </c>
      <c r="D27">
        <v>75</v>
      </c>
      <c r="E27">
        <v>75</v>
      </c>
      <c r="F27">
        <v>106</v>
      </c>
      <c r="G27">
        <v>106</v>
      </c>
      <c r="H27">
        <v>106</v>
      </c>
      <c r="I27">
        <v>73</v>
      </c>
      <c r="J27">
        <v>73</v>
      </c>
      <c r="K27">
        <v>73</v>
      </c>
      <c r="L27">
        <v>74</v>
      </c>
      <c r="M27">
        <v>74</v>
      </c>
      <c r="N27">
        <v>74</v>
      </c>
    </row>
    <row r="28" spans="1:16" x14ac:dyDescent="0.3">
      <c r="A28" t="s">
        <v>35</v>
      </c>
      <c r="B28">
        <v>39</v>
      </c>
      <c r="C28">
        <v>73</v>
      </c>
      <c r="D28">
        <v>106</v>
      </c>
      <c r="E28">
        <v>74</v>
      </c>
      <c r="F28">
        <v>74</v>
      </c>
      <c r="G28">
        <v>75</v>
      </c>
      <c r="H28">
        <v>73</v>
      </c>
      <c r="I28">
        <v>106</v>
      </c>
      <c r="J28">
        <v>74</v>
      </c>
      <c r="K28">
        <v>75</v>
      </c>
      <c r="L28">
        <v>75</v>
      </c>
      <c r="M28">
        <v>73</v>
      </c>
      <c r="N28">
        <v>106</v>
      </c>
    </row>
    <row r="29" spans="1:16" x14ac:dyDescent="0.3">
      <c r="A29" t="s">
        <v>36</v>
      </c>
      <c r="B29">
        <v>39</v>
      </c>
      <c r="C29">
        <v>1</v>
      </c>
      <c r="D29">
        <v>2</v>
      </c>
      <c r="E29">
        <v>0</v>
      </c>
      <c r="F29">
        <v>1</v>
      </c>
      <c r="G29">
        <v>2</v>
      </c>
      <c r="H29">
        <v>0</v>
      </c>
      <c r="I29">
        <v>1</v>
      </c>
      <c r="J29">
        <v>1</v>
      </c>
      <c r="K29">
        <v>0</v>
      </c>
      <c r="L29">
        <v>1</v>
      </c>
      <c r="M29">
        <v>1</v>
      </c>
      <c r="N29">
        <v>0</v>
      </c>
    </row>
    <row r="30" spans="1:16" x14ac:dyDescent="0.3">
      <c r="A30" t="s">
        <v>37</v>
      </c>
      <c r="B30">
        <v>39</v>
      </c>
      <c r="C30">
        <v>0</v>
      </c>
      <c r="D30">
        <v>2</v>
      </c>
      <c r="F30">
        <v>0</v>
      </c>
      <c r="G30">
        <v>2</v>
      </c>
      <c r="I30">
        <v>0</v>
      </c>
      <c r="J30">
        <v>2</v>
      </c>
      <c r="L30">
        <v>0</v>
      </c>
      <c r="M30">
        <v>2</v>
      </c>
    </row>
    <row r="31" spans="1:16" x14ac:dyDescent="0.3">
      <c r="A31" t="s">
        <v>38</v>
      </c>
      <c r="B31">
        <v>39</v>
      </c>
      <c r="C31">
        <v>12</v>
      </c>
      <c r="D31">
        <v>12</v>
      </c>
      <c r="E31">
        <v>12</v>
      </c>
      <c r="F31">
        <v>12</v>
      </c>
      <c r="G31">
        <v>12</v>
      </c>
      <c r="H31">
        <v>12</v>
      </c>
      <c r="I31">
        <v>12</v>
      </c>
      <c r="J31">
        <v>12</v>
      </c>
      <c r="K31">
        <v>12</v>
      </c>
      <c r="L31">
        <v>12</v>
      </c>
      <c r="M31">
        <v>12</v>
      </c>
      <c r="N31">
        <v>12</v>
      </c>
    </row>
    <row r="32" spans="1:16" x14ac:dyDescent="0.3">
      <c r="A32" t="s">
        <v>39</v>
      </c>
      <c r="B32">
        <v>39</v>
      </c>
    </row>
    <row r="33" spans="1:14" x14ac:dyDescent="0.3">
      <c r="A33" t="s">
        <v>689</v>
      </c>
      <c r="B33">
        <v>39</v>
      </c>
    </row>
    <row r="34" spans="1:14" x14ac:dyDescent="0.3">
      <c r="A34" t="s">
        <v>40</v>
      </c>
      <c r="B34">
        <v>39</v>
      </c>
    </row>
    <row r="35" spans="1:14" x14ac:dyDescent="0.3">
      <c r="A35" t="s">
        <v>41</v>
      </c>
      <c r="B35">
        <v>39</v>
      </c>
    </row>
    <row r="36" spans="1:14" x14ac:dyDescent="0.3">
      <c r="A36" t="s">
        <v>42</v>
      </c>
      <c r="B36">
        <v>39</v>
      </c>
      <c r="D36">
        <v>45</v>
      </c>
      <c r="G36">
        <v>45</v>
      </c>
      <c r="J36">
        <v>45</v>
      </c>
      <c r="M36">
        <v>45</v>
      </c>
    </row>
    <row r="37" spans="1:14" x14ac:dyDescent="0.3">
      <c r="A37" t="s">
        <v>45</v>
      </c>
      <c r="B37">
        <v>39</v>
      </c>
      <c r="C37">
        <v>5</v>
      </c>
      <c r="D37">
        <v>2</v>
      </c>
      <c r="F37">
        <v>1</v>
      </c>
      <c r="G37">
        <v>6</v>
      </c>
      <c r="I37">
        <v>3</v>
      </c>
      <c r="J37">
        <v>8</v>
      </c>
      <c r="L37">
        <v>7</v>
      </c>
      <c r="M37">
        <v>4</v>
      </c>
    </row>
    <row r="38" spans="1:14" x14ac:dyDescent="0.3">
      <c r="A38" t="s">
        <v>49</v>
      </c>
      <c r="B38">
        <v>39</v>
      </c>
      <c r="C38">
        <v>6</v>
      </c>
      <c r="D38">
        <v>5.3</v>
      </c>
      <c r="E38">
        <v>4</v>
      </c>
      <c r="F38">
        <v>6</v>
      </c>
      <c r="G38">
        <v>5.3</v>
      </c>
      <c r="H38">
        <v>4</v>
      </c>
      <c r="I38">
        <v>6</v>
      </c>
      <c r="J38">
        <v>5.0999999999999996</v>
      </c>
      <c r="K38">
        <v>4</v>
      </c>
      <c r="L38">
        <v>5.9</v>
      </c>
      <c r="M38">
        <v>5.9</v>
      </c>
      <c r="N38">
        <v>4</v>
      </c>
    </row>
    <row r="39" spans="1:14" x14ac:dyDescent="0.3">
      <c r="A39" t="s">
        <v>690</v>
      </c>
      <c r="B39">
        <v>39</v>
      </c>
      <c r="C39">
        <v>0</v>
      </c>
      <c r="D39">
        <v>0</v>
      </c>
      <c r="E39">
        <v>0</v>
      </c>
      <c r="F39">
        <v>0</v>
      </c>
      <c r="G39">
        <v>0</v>
      </c>
      <c r="H39">
        <v>0</v>
      </c>
      <c r="I39">
        <v>0</v>
      </c>
      <c r="J39">
        <v>0</v>
      </c>
      <c r="K39">
        <v>0</v>
      </c>
      <c r="L39">
        <v>0</v>
      </c>
      <c r="M39">
        <v>0</v>
      </c>
      <c r="N39">
        <v>0</v>
      </c>
    </row>
    <row r="40" spans="1:14" x14ac:dyDescent="0.3">
      <c r="A40" t="s">
        <v>48</v>
      </c>
      <c r="B40">
        <v>39</v>
      </c>
      <c r="C40">
        <v>1900</v>
      </c>
      <c r="D40">
        <v>1900</v>
      </c>
      <c r="E40">
        <v>1900</v>
      </c>
      <c r="F40">
        <v>1900</v>
      </c>
      <c r="G40">
        <v>1900</v>
      </c>
      <c r="H40">
        <v>1900</v>
      </c>
      <c r="I40">
        <v>1900</v>
      </c>
      <c r="J40">
        <v>1900</v>
      </c>
      <c r="K40">
        <v>1900</v>
      </c>
      <c r="L40">
        <v>1900</v>
      </c>
      <c r="M40">
        <v>1900</v>
      </c>
      <c r="N40">
        <v>1900</v>
      </c>
    </row>
    <row r="41" spans="1:14" x14ac:dyDescent="0.3">
      <c r="A41" t="s">
        <v>691</v>
      </c>
      <c r="B41">
        <v>39</v>
      </c>
      <c r="C41">
        <v>1770</v>
      </c>
      <c r="D41">
        <v>3518</v>
      </c>
      <c r="E41">
        <v>0</v>
      </c>
      <c r="F41">
        <v>1770</v>
      </c>
      <c r="G41">
        <v>3532</v>
      </c>
      <c r="H41">
        <v>0</v>
      </c>
      <c r="I41">
        <v>1770</v>
      </c>
      <c r="J41">
        <v>1712</v>
      </c>
      <c r="K41">
        <v>0</v>
      </c>
      <c r="L41">
        <v>1770</v>
      </c>
      <c r="M41">
        <v>1669</v>
      </c>
      <c r="N41">
        <v>0</v>
      </c>
    </row>
    <row r="42" spans="1:14" x14ac:dyDescent="0.3">
      <c r="A42" t="s">
        <v>50</v>
      </c>
      <c r="B42">
        <v>39</v>
      </c>
      <c r="C42">
        <v>1770</v>
      </c>
      <c r="D42">
        <v>3518</v>
      </c>
      <c r="E42">
        <v>0</v>
      </c>
      <c r="F42">
        <v>1770</v>
      </c>
      <c r="G42">
        <v>3532</v>
      </c>
      <c r="H42">
        <v>0</v>
      </c>
      <c r="I42">
        <v>1770</v>
      </c>
      <c r="J42">
        <v>1712</v>
      </c>
      <c r="K42">
        <v>0</v>
      </c>
      <c r="L42">
        <v>1770</v>
      </c>
      <c r="M42">
        <v>1669</v>
      </c>
      <c r="N42">
        <v>0</v>
      </c>
    </row>
    <row r="43" spans="1:14" x14ac:dyDescent="0.3">
      <c r="A43" t="s">
        <v>692</v>
      </c>
      <c r="B43">
        <v>39</v>
      </c>
      <c r="C43">
        <v>1</v>
      </c>
      <c r="D43">
        <v>1</v>
      </c>
      <c r="E43">
        <v>1</v>
      </c>
      <c r="F43">
        <v>1</v>
      </c>
      <c r="G43">
        <v>1</v>
      </c>
      <c r="H43">
        <v>1</v>
      </c>
      <c r="I43">
        <v>1</v>
      </c>
      <c r="J43">
        <v>1</v>
      </c>
      <c r="K43">
        <v>1</v>
      </c>
      <c r="L43">
        <v>1</v>
      </c>
      <c r="M43">
        <v>1</v>
      </c>
      <c r="N43">
        <v>1</v>
      </c>
    </row>
    <row r="44" spans="1:14" x14ac:dyDescent="0.3">
      <c r="A44" t="s">
        <v>51</v>
      </c>
      <c r="B44">
        <v>39</v>
      </c>
      <c r="C44">
        <v>0</v>
      </c>
      <c r="D44">
        <v>5</v>
      </c>
      <c r="E44">
        <v>0</v>
      </c>
      <c r="F44">
        <v>0</v>
      </c>
      <c r="G44">
        <v>2</v>
      </c>
      <c r="H44">
        <v>0</v>
      </c>
      <c r="I44">
        <v>0</v>
      </c>
      <c r="J44">
        <v>77</v>
      </c>
      <c r="K44">
        <v>0</v>
      </c>
      <c r="L44">
        <v>0</v>
      </c>
      <c r="M44">
        <v>147</v>
      </c>
      <c r="N44">
        <v>0</v>
      </c>
    </row>
    <row r="45" spans="1:14" x14ac:dyDescent="0.3">
      <c r="A45" t="s">
        <v>53</v>
      </c>
      <c r="B45">
        <v>39</v>
      </c>
      <c r="C45">
        <v>181</v>
      </c>
      <c r="D45">
        <v>7732</v>
      </c>
      <c r="E45">
        <v>300</v>
      </c>
      <c r="F45">
        <v>214</v>
      </c>
      <c r="G45">
        <v>4961</v>
      </c>
      <c r="H45">
        <v>58</v>
      </c>
      <c r="I45">
        <v>182</v>
      </c>
      <c r="J45">
        <v>122</v>
      </c>
      <c r="K45">
        <v>143</v>
      </c>
      <c r="L45">
        <v>580</v>
      </c>
      <c r="M45">
        <v>140</v>
      </c>
      <c r="N45">
        <v>315</v>
      </c>
    </row>
    <row r="46" spans="1:14" x14ac:dyDescent="0.3">
      <c r="A46" t="s">
        <v>54</v>
      </c>
      <c r="B46">
        <v>39</v>
      </c>
      <c r="C46">
        <v>0</v>
      </c>
      <c r="D46">
        <v>0</v>
      </c>
      <c r="E46">
        <v>0</v>
      </c>
      <c r="F46">
        <v>0</v>
      </c>
      <c r="G46">
        <v>0</v>
      </c>
      <c r="H46">
        <v>0</v>
      </c>
      <c r="I46">
        <v>0</v>
      </c>
      <c r="J46">
        <v>0</v>
      </c>
      <c r="K46">
        <v>0</v>
      </c>
      <c r="L46">
        <v>0</v>
      </c>
      <c r="M46">
        <v>0</v>
      </c>
      <c r="N46">
        <v>0</v>
      </c>
    </row>
    <row r="47" spans="1:14" x14ac:dyDescent="0.3">
      <c r="A47" t="s">
        <v>55</v>
      </c>
      <c r="B47">
        <v>39</v>
      </c>
      <c r="C47">
        <v>0</v>
      </c>
      <c r="D47">
        <v>0</v>
      </c>
      <c r="E47">
        <v>0</v>
      </c>
      <c r="F47">
        <v>0</v>
      </c>
      <c r="G47">
        <v>0</v>
      </c>
      <c r="H47">
        <v>0</v>
      </c>
      <c r="I47">
        <v>0</v>
      </c>
      <c r="J47">
        <v>0</v>
      </c>
      <c r="K47">
        <v>0</v>
      </c>
      <c r="L47">
        <v>0</v>
      </c>
      <c r="M47">
        <v>0</v>
      </c>
      <c r="N47">
        <v>0</v>
      </c>
    </row>
    <row r="48" spans="1:14" x14ac:dyDescent="0.3">
      <c r="A48" t="s">
        <v>56</v>
      </c>
      <c r="B48">
        <v>39</v>
      </c>
      <c r="C48">
        <v>0.92</v>
      </c>
      <c r="D48">
        <v>0.92</v>
      </c>
      <c r="E48">
        <v>0.92</v>
      </c>
      <c r="F48">
        <v>0.92</v>
      </c>
      <c r="G48">
        <v>0.92</v>
      </c>
      <c r="H48">
        <v>0.92</v>
      </c>
      <c r="I48">
        <v>0.92</v>
      </c>
      <c r="J48">
        <v>0.92</v>
      </c>
      <c r="K48">
        <v>0.92</v>
      </c>
      <c r="L48">
        <v>0.92</v>
      </c>
      <c r="M48">
        <v>0.92</v>
      </c>
      <c r="N48">
        <v>0.92</v>
      </c>
    </row>
    <row r="49" spans="1:14" x14ac:dyDescent="0.3">
      <c r="A49" t="s">
        <v>57</v>
      </c>
      <c r="B49">
        <v>39</v>
      </c>
      <c r="C49">
        <v>100</v>
      </c>
      <c r="D49">
        <v>100</v>
      </c>
      <c r="E49">
        <v>100</v>
      </c>
      <c r="F49">
        <v>100</v>
      </c>
      <c r="G49">
        <v>100</v>
      </c>
      <c r="H49">
        <v>100</v>
      </c>
      <c r="I49">
        <v>100</v>
      </c>
      <c r="J49">
        <v>100</v>
      </c>
      <c r="K49">
        <v>100</v>
      </c>
      <c r="L49">
        <v>100</v>
      </c>
      <c r="M49">
        <v>100</v>
      </c>
      <c r="N49">
        <v>100</v>
      </c>
    </row>
    <row r="50" spans="1:14" x14ac:dyDescent="0.3">
      <c r="A50" t="s">
        <v>58</v>
      </c>
      <c r="B50">
        <v>39</v>
      </c>
      <c r="C50">
        <v>2</v>
      </c>
      <c r="D50">
        <v>2</v>
      </c>
      <c r="E50">
        <v>2</v>
      </c>
      <c r="F50">
        <v>2</v>
      </c>
      <c r="G50">
        <v>2</v>
      </c>
      <c r="H50">
        <v>2</v>
      </c>
      <c r="I50">
        <v>2</v>
      </c>
      <c r="J50">
        <v>2</v>
      </c>
      <c r="K50">
        <v>2</v>
      </c>
      <c r="L50">
        <v>2</v>
      </c>
      <c r="M50">
        <v>2</v>
      </c>
      <c r="N50">
        <v>2</v>
      </c>
    </row>
    <row r="51" spans="1:14" x14ac:dyDescent="0.3">
      <c r="A51" t="s">
        <v>59</v>
      </c>
      <c r="B51">
        <v>39</v>
      </c>
      <c r="C51">
        <v>0</v>
      </c>
      <c r="D51">
        <v>0</v>
      </c>
      <c r="E51">
        <v>0</v>
      </c>
      <c r="F51">
        <v>0</v>
      </c>
      <c r="G51">
        <v>0</v>
      </c>
      <c r="H51">
        <v>0</v>
      </c>
      <c r="I51">
        <v>0</v>
      </c>
      <c r="J51">
        <v>0</v>
      </c>
      <c r="K51">
        <v>0</v>
      </c>
      <c r="L51">
        <v>0</v>
      </c>
      <c r="M51">
        <v>0</v>
      </c>
      <c r="N51">
        <v>0</v>
      </c>
    </row>
    <row r="52" spans="1:14" x14ac:dyDescent="0.3">
      <c r="A52" t="s">
        <v>693</v>
      </c>
      <c r="B52">
        <v>39</v>
      </c>
      <c r="D52">
        <v>0</v>
      </c>
      <c r="G52">
        <v>0</v>
      </c>
      <c r="J52">
        <v>0</v>
      </c>
      <c r="M52">
        <v>0</v>
      </c>
    </row>
    <row r="53" spans="1:14" x14ac:dyDescent="0.3">
      <c r="A53" t="s">
        <v>674</v>
      </c>
      <c r="B53">
        <v>39</v>
      </c>
      <c r="D53">
        <v>2985</v>
      </c>
      <c r="G53">
        <v>99</v>
      </c>
      <c r="J53">
        <v>218</v>
      </c>
      <c r="M53">
        <v>282</v>
      </c>
    </row>
    <row r="54" spans="1:14" x14ac:dyDescent="0.3">
      <c r="A54" t="s">
        <v>78</v>
      </c>
      <c r="B54">
        <v>39</v>
      </c>
      <c r="D54">
        <v>45.2</v>
      </c>
      <c r="G54">
        <v>1.5</v>
      </c>
      <c r="J54">
        <v>3.3</v>
      </c>
      <c r="M54">
        <v>4.3</v>
      </c>
    </row>
    <row r="55" spans="1:14" x14ac:dyDescent="0.3">
      <c r="A55" t="s">
        <v>694</v>
      </c>
      <c r="B55">
        <v>39</v>
      </c>
      <c r="E55">
        <v>0</v>
      </c>
      <c r="H55">
        <v>0</v>
      </c>
      <c r="K55">
        <v>0</v>
      </c>
      <c r="N55">
        <v>0</v>
      </c>
    </row>
    <row r="56" spans="1:14" x14ac:dyDescent="0.3">
      <c r="A56" t="s">
        <v>695</v>
      </c>
      <c r="B56">
        <v>39</v>
      </c>
      <c r="C56">
        <v>0</v>
      </c>
      <c r="D56">
        <v>0</v>
      </c>
      <c r="E56">
        <v>1</v>
      </c>
      <c r="F56">
        <v>0</v>
      </c>
      <c r="G56">
        <v>0</v>
      </c>
      <c r="H56">
        <v>1</v>
      </c>
      <c r="I56">
        <v>0</v>
      </c>
      <c r="J56">
        <v>0</v>
      </c>
      <c r="K56">
        <v>1</v>
      </c>
      <c r="L56">
        <v>0</v>
      </c>
      <c r="M56">
        <v>0</v>
      </c>
      <c r="N56">
        <v>1</v>
      </c>
    </row>
    <row r="57" spans="1:14" x14ac:dyDescent="0.3">
      <c r="A57" t="s">
        <v>696</v>
      </c>
      <c r="B57">
        <v>39</v>
      </c>
      <c r="C57">
        <v>0</v>
      </c>
      <c r="D57">
        <v>0</v>
      </c>
      <c r="E57">
        <v>0</v>
      </c>
      <c r="F57">
        <v>0</v>
      </c>
      <c r="G57">
        <v>0</v>
      </c>
      <c r="H57">
        <v>0</v>
      </c>
      <c r="I57">
        <v>0</v>
      </c>
      <c r="J57">
        <v>0</v>
      </c>
      <c r="K57">
        <v>0</v>
      </c>
      <c r="L57">
        <v>0</v>
      </c>
      <c r="M57">
        <v>0</v>
      </c>
      <c r="N57">
        <v>0</v>
      </c>
    </row>
    <row r="58" spans="1:14" x14ac:dyDescent="0.3">
      <c r="A58" t="s">
        <v>52</v>
      </c>
      <c r="B58">
        <v>39</v>
      </c>
      <c r="C58">
        <v>1</v>
      </c>
      <c r="D58">
        <v>1</v>
      </c>
      <c r="E58">
        <v>1</v>
      </c>
      <c r="F58">
        <v>1</v>
      </c>
      <c r="G58">
        <v>1</v>
      </c>
      <c r="H58">
        <v>1</v>
      </c>
      <c r="I58">
        <v>1</v>
      </c>
      <c r="J58">
        <v>1</v>
      </c>
      <c r="K58">
        <v>1</v>
      </c>
      <c r="L58">
        <v>1</v>
      </c>
      <c r="M58">
        <v>1</v>
      </c>
      <c r="N58">
        <v>1</v>
      </c>
    </row>
    <row r="59" spans="1:14" x14ac:dyDescent="0.3">
      <c r="A59" t="s">
        <v>697</v>
      </c>
      <c r="B59">
        <v>39</v>
      </c>
      <c r="C59">
        <v>15</v>
      </c>
      <c r="D59">
        <v>60</v>
      </c>
      <c r="E59">
        <v>9</v>
      </c>
      <c r="F59">
        <v>15</v>
      </c>
      <c r="G59">
        <v>60</v>
      </c>
      <c r="H59">
        <v>9</v>
      </c>
      <c r="I59">
        <v>15</v>
      </c>
      <c r="J59">
        <v>60</v>
      </c>
      <c r="K59">
        <v>9</v>
      </c>
      <c r="L59">
        <v>15</v>
      </c>
      <c r="M59">
        <v>60</v>
      </c>
      <c r="N59">
        <v>9</v>
      </c>
    </row>
    <row r="60" spans="1:14" x14ac:dyDescent="0.3">
      <c r="A60" t="s">
        <v>43</v>
      </c>
      <c r="B60">
        <v>39</v>
      </c>
      <c r="C60">
        <v>20</v>
      </c>
      <c r="D60">
        <v>100</v>
      </c>
      <c r="F60">
        <v>20</v>
      </c>
      <c r="G60">
        <v>100</v>
      </c>
      <c r="I60">
        <v>20</v>
      </c>
      <c r="J60">
        <v>100</v>
      </c>
      <c r="L60">
        <v>20</v>
      </c>
      <c r="M60">
        <v>100</v>
      </c>
    </row>
    <row r="61" spans="1:14" x14ac:dyDescent="0.3">
      <c r="A61" t="s">
        <v>44</v>
      </c>
      <c r="B61">
        <v>39</v>
      </c>
      <c r="C61">
        <v>0</v>
      </c>
      <c r="D61">
        <v>0</v>
      </c>
      <c r="F61">
        <v>0</v>
      </c>
      <c r="G61">
        <v>0</v>
      </c>
      <c r="I61">
        <v>0</v>
      </c>
      <c r="J61">
        <v>0</v>
      </c>
      <c r="L61">
        <v>0</v>
      </c>
      <c r="M61">
        <v>0</v>
      </c>
    </row>
    <row r="62" spans="1:14" x14ac:dyDescent="0.3">
      <c r="A62" t="s">
        <v>47</v>
      </c>
      <c r="B62">
        <v>39</v>
      </c>
      <c r="C62">
        <v>5</v>
      </c>
      <c r="D62">
        <v>2</v>
      </c>
      <c r="F62">
        <v>1</v>
      </c>
      <c r="G62">
        <v>6</v>
      </c>
      <c r="I62">
        <v>3</v>
      </c>
      <c r="J62">
        <v>8</v>
      </c>
      <c r="L62">
        <v>7</v>
      </c>
      <c r="M62">
        <v>4</v>
      </c>
    </row>
    <row r="63" spans="1:14" x14ac:dyDescent="0.3">
      <c r="A63" t="s">
        <v>698</v>
      </c>
      <c r="B63">
        <v>39</v>
      </c>
      <c r="C63">
        <v>0</v>
      </c>
      <c r="D63">
        <v>0</v>
      </c>
      <c r="F63">
        <v>0</v>
      </c>
      <c r="G63">
        <v>0</v>
      </c>
      <c r="I63">
        <v>0</v>
      </c>
      <c r="J63">
        <v>0</v>
      </c>
      <c r="L63">
        <v>0</v>
      </c>
      <c r="M63">
        <v>0</v>
      </c>
    </row>
    <row r="64" spans="1:14" x14ac:dyDescent="0.3">
      <c r="A64" t="s">
        <v>699</v>
      </c>
      <c r="B64">
        <v>39</v>
      </c>
      <c r="C64">
        <v>0</v>
      </c>
      <c r="D64">
        <v>0</v>
      </c>
      <c r="F64">
        <v>0</v>
      </c>
      <c r="G64">
        <v>0</v>
      </c>
      <c r="I64">
        <v>0</v>
      </c>
      <c r="J64">
        <v>0</v>
      </c>
      <c r="L64">
        <v>0</v>
      </c>
      <c r="M64">
        <v>0</v>
      </c>
    </row>
    <row r="65" spans="1:14" x14ac:dyDescent="0.3">
      <c r="A65" t="s">
        <v>700</v>
      </c>
      <c r="B65">
        <v>39</v>
      </c>
      <c r="C65">
        <v>0</v>
      </c>
      <c r="D65">
        <v>0</v>
      </c>
      <c r="F65">
        <v>0</v>
      </c>
      <c r="G65">
        <v>0</v>
      </c>
      <c r="I65">
        <v>0</v>
      </c>
      <c r="J65">
        <v>0</v>
      </c>
      <c r="L65">
        <v>0</v>
      </c>
      <c r="M65">
        <v>0</v>
      </c>
    </row>
    <row r="66" spans="1:14" x14ac:dyDescent="0.3">
      <c r="A66" t="s">
        <v>701</v>
      </c>
      <c r="B66">
        <v>39</v>
      </c>
      <c r="C66">
        <v>0</v>
      </c>
      <c r="D66">
        <v>0</v>
      </c>
      <c r="F66">
        <v>0</v>
      </c>
      <c r="G66">
        <v>0</v>
      </c>
      <c r="I66">
        <v>0</v>
      </c>
      <c r="J66">
        <v>0</v>
      </c>
      <c r="L66">
        <v>0</v>
      </c>
      <c r="M66">
        <v>0</v>
      </c>
    </row>
    <row r="67" spans="1:14" x14ac:dyDescent="0.3">
      <c r="A67" t="s">
        <v>702</v>
      </c>
      <c r="B67">
        <v>39</v>
      </c>
      <c r="C67">
        <v>1</v>
      </c>
      <c r="D67">
        <v>2</v>
      </c>
      <c r="F67">
        <v>1</v>
      </c>
      <c r="G67">
        <v>2</v>
      </c>
      <c r="I67">
        <v>1</v>
      </c>
      <c r="J67">
        <v>2</v>
      </c>
      <c r="L67">
        <v>1</v>
      </c>
      <c r="M67">
        <v>2</v>
      </c>
    </row>
    <row r="68" spans="1:14" x14ac:dyDescent="0.3">
      <c r="A68" t="s">
        <v>703</v>
      </c>
      <c r="B68">
        <v>39</v>
      </c>
      <c r="C68">
        <v>0</v>
      </c>
      <c r="D68">
        <v>0</v>
      </c>
      <c r="F68">
        <v>0</v>
      </c>
      <c r="G68">
        <v>0</v>
      </c>
      <c r="I68">
        <v>0</v>
      </c>
      <c r="J68">
        <v>0</v>
      </c>
      <c r="L68">
        <v>0</v>
      </c>
      <c r="M68">
        <v>0</v>
      </c>
    </row>
    <row r="69" spans="1:14" x14ac:dyDescent="0.3">
      <c r="A69" t="s">
        <v>704</v>
      </c>
      <c r="B69">
        <v>39</v>
      </c>
      <c r="C69">
        <v>20</v>
      </c>
      <c r="D69">
        <v>6</v>
      </c>
      <c r="F69">
        <v>20</v>
      </c>
      <c r="G69">
        <v>6</v>
      </c>
      <c r="I69">
        <v>20</v>
      </c>
      <c r="J69">
        <v>6</v>
      </c>
      <c r="L69">
        <v>20</v>
      </c>
      <c r="M69">
        <v>6</v>
      </c>
    </row>
    <row r="70" spans="1:14" x14ac:dyDescent="0.3">
      <c r="A70" t="s">
        <v>705</v>
      </c>
      <c r="B70">
        <v>39</v>
      </c>
      <c r="C70">
        <v>3</v>
      </c>
      <c r="D70">
        <v>3</v>
      </c>
      <c r="F70">
        <v>3</v>
      </c>
      <c r="G70">
        <v>3</v>
      </c>
      <c r="I70">
        <v>3</v>
      </c>
      <c r="J70">
        <v>3</v>
      </c>
      <c r="L70">
        <v>3</v>
      </c>
      <c r="M70">
        <v>3</v>
      </c>
    </row>
    <row r="71" spans="1:14" x14ac:dyDescent="0.3">
      <c r="A71" t="s">
        <v>706</v>
      </c>
      <c r="B71">
        <v>39</v>
      </c>
      <c r="C71">
        <v>0</v>
      </c>
      <c r="D71">
        <v>0</v>
      </c>
      <c r="F71">
        <v>0</v>
      </c>
      <c r="G71">
        <v>0</v>
      </c>
      <c r="I71">
        <v>0</v>
      </c>
      <c r="J71">
        <v>0</v>
      </c>
      <c r="L71">
        <v>0</v>
      </c>
      <c r="M71">
        <v>0</v>
      </c>
    </row>
    <row r="72" spans="1:14" x14ac:dyDescent="0.3">
      <c r="A72" t="s">
        <v>707</v>
      </c>
      <c r="B72">
        <v>39</v>
      </c>
      <c r="C72">
        <v>0</v>
      </c>
      <c r="D72">
        <v>0</v>
      </c>
      <c r="F72">
        <v>0</v>
      </c>
      <c r="G72">
        <v>0</v>
      </c>
      <c r="I72">
        <v>0</v>
      </c>
      <c r="J72">
        <v>0</v>
      </c>
      <c r="L72">
        <v>0</v>
      </c>
      <c r="M72">
        <v>0</v>
      </c>
    </row>
    <row r="73" spans="1:14" x14ac:dyDescent="0.3">
      <c r="A73" t="s">
        <v>708</v>
      </c>
      <c r="B73">
        <v>39</v>
      </c>
      <c r="C73">
        <v>0</v>
      </c>
      <c r="D73">
        <v>0</v>
      </c>
      <c r="F73">
        <v>0</v>
      </c>
      <c r="G73">
        <v>0</v>
      </c>
      <c r="I73">
        <v>0</v>
      </c>
      <c r="J73">
        <v>0</v>
      </c>
      <c r="L73">
        <v>0</v>
      </c>
      <c r="M73">
        <v>0</v>
      </c>
    </row>
    <row r="74" spans="1:14" x14ac:dyDescent="0.3">
      <c r="A74" t="s">
        <v>709</v>
      </c>
      <c r="B74">
        <v>39</v>
      </c>
      <c r="D74">
        <v>94</v>
      </c>
      <c r="G74">
        <v>94</v>
      </c>
      <c r="J74">
        <v>94</v>
      </c>
      <c r="M74">
        <v>94</v>
      </c>
    </row>
    <row r="75" spans="1:14" x14ac:dyDescent="0.3">
      <c r="A75" t="s">
        <v>710</v>
      </c>
      <c r="B75">
        <v>39</v>
      </c>
      <c r="D75">
        <v>6</v>
      </c>
      <c r="G75">
        <v>6</v>
      </c>
      <c r="J75">
        <v>6</v>
      </c>
      <c r="M75">
        <v>6</v>
      </c>
    </row>
    <row r="76" spans="1:14" x14ac:dyDescent="0.3">
      <c r="A76" t="s">
        <v>711</v>
      </c>
      <c r="B76">
        <v>39</v>
      </c>
      <c r="D76">
        <v>3</v>
      </c>
      <c r="G76">
        <v>3</v>
      </c>
      <c r="J76">
        <v>3</v>
      </c>
      <c r="M76">
        <v>3</v>
      </c>
    </row>
    <row r="77" spans="1:14" x14ac:dyDescent="0.3">
      <c r="A77" t="s">
        <v>712</v>
      </c>
      <c r="B77">
        <v>39</v>
      </c>
      <c r="D77">
        <v>0</v>
      </c>
      <c r="G77">
        <v>0</v>
      </c>
      <c r="J77">
        <v>0</v>
      </c>
      <c r="M77">
        <v>0</v>
      </c>
    </row>
    <row r="78" spans="1:14" x14ac:dyDescent="0.3">
      <c r="A78" t="s">
        <v>713</v>
      </c>
      <c r="B78">
        <v>39</v>
      </c>
      <c r="D78">
        <v>0</v>
      </c>
      <c r="G78">
        <v>0</v>
      </c>
      <c r="J78">
        <v>0</v>
      </c>
      <c r="M78">
        <v>0</v>
      </c>
    </row>
    <row r="79" spans="1:14" x14ac:dyDescent="0.3">
      <c r="A79" t="s">
        <v>405</v>
      </c>
      <c r="B79">
        <v>39</v>
      </c>
      <c r="D79">
        <v>0</v>
      </c>
    </row>
    <row r="80" spans="1:14" x14ac:dyDescent="0.3">
      <c r="A80" t="s">
        <v>714</v>
      </c>
      <c r="B80">
        <v>39</v>
      </c>
      <c r="C80">
        <v>197</v>
      </c>
      <c r="D80">
        <v>8730</v>
      </c>
      <c r="E80">
        <v>0</v>
      </c>
      <c r="F80">
        <v>233</v>
      </c>
      <c r="G80">
        <v>5455</v>
      </c>
      <c r="H80">
        <v>0</v>
      </c>
      <c r="I80">
        <v>198</v>
      </c>
      <c r="J80">
        <v>288</v>
      </c>
      <c r="K80">
        <v>0</v>
      </c>
      <c r="L80">
        <v>630</v>
      </c>
      <c r="M80">
        <v>494</v>
      </c>
      <c r="N80">
        <v>0</v>
      </c>
    </row>
    <row r="81" spans="1:14" x14ac:dyDescent="0.3">
      <c r="A81" t="s">
        <v>34</v>
      </c>
      <c r="B81">
        <v>75</v>
      </c>
      <c r="C81">
        <v>78</v>
      </c>
      <c r="D81">
        <v>78</v>
      </c>
      <c r="E81">
        <v>78</v>
      </c>
      <c r="F81">
        <v>39</v>
      </c>
      <c r="G81">
        <v>39</v>
      </c>
      <c r="H81">
        <v>39</v>
      </c>
      <c r="I81">
        <v>76</v>
      </c>
      <c r="J81">
        <v>76</v>
      </c>
      <c r="K81">
        <v>76</v>
      </c>
      <c r="L81">
        <v>77</v>
      </c>
      <c r="M81">
        <v>77</v>
      </c>
      <c r="N81">
        <v>77</v>
      </c>
    </row>
    <row r="82" spans="1:14" x14ac:dyDescent="0.3">
      <c r="A82" t="s">
        <v>35</v>
      </c>
      <c r="B82">
        <v>75</v>
      </c>
      <c r="C82">
        <v>76</v>
      </c>
      <c r="D82">
        <v>39</v>
      </c>
      <c r="E82">
        <v>77</v>
      </c>
      <c r="F82">
        <v>77</v>
      </c>
      <c r="G82">
        <v>78</v>
      </c>
      <c r="H82">
        <v>76</v>
      </c>
      <c r="I82">
        <v>39</v>
      </c>
      <c r="J82">
        <v>77</v>
      </c>
      <c r="K82">
        <v>78</v>
      </c>
      <c r="L82">
        <v>78</v>
      </c>
      <c r="M82">
        <v>76</v>
      </c>
      <c r="N82">
        <v>39</v>
      </c>
    </row>
    <row r="83" spans="1:14" x14ac:dyDescent="0.3">
      <c r="A83" t="s">
        <v>36</v>
      </c>
      <c r="B83">
        <v>75</v>
      </c>
      <c r="C83">
        <v>1</v>
      </c>
      <c r="D83">
        <v>2</v>
      </c>
      <c r="E83">
        <v>0</v>
      </c>
      <c r="F83">
        <v>1</v>
      </c>
      <c r="G83">
        <v>2</v>
      </c>
      <c r="H83">
        <v>0</v>
      </c>
      <c r="I83">
        <v>1</v>
      </c>
      <c r="J83">
        <v>1</v>
      </c>
      <c r="K83">
        <v>0</v>
      </c>
      <c r="L83">
        <v>1</v>
      </c>
      <c r="M83">
        <v>1</v>
      </c>
      <c r="N83">
        <v>0</v>
      </c>
    </row>
    <row r="87" spans="1:14" x14ac:dyDescent="0.3">
      <c r="A87" t="s">
        <v>716</v>
      </c>
      <c r="B87">
        <v>39</v>
      </c>
      <c r="C87">
        <v>0</v>
      </c>
    </row>
    <row r="88" spans="1:14" x14ac:dyDescent="0.3">
      <c r="A88" t="s">
        <v>717</v>
      </c>
      <c r="B88">
        <v>39</v>
      </c>
      <c r="C88">
        <v>73.2</v>
      </c>
    </row>
    <row r="89" spans="1:14" x14ac:dyDescent="0.3">
      <c r="A89" t="s">
        <v>718</v>
      </c>
      <c r="B89">
        <v>39</v>
      </c>
      <c r="C89">
        <v>0</v>
      </c>
    </row>
    <row r="90" spans="1:14" x14ac:dyDescent="0.3">
      <c r="A90" t="s">
        <v>719</v>
      </c>
      <c r="B90">
        <v>39</v>
      </c>
      <c r="C90">
        <v>0</v>
      </c>
    </row>
    <row r="91" spans="1:14" x14ac:dyDescent="0.3">
      <c r="A91" t="s">
        <v>720</v>
      </c>
      <c r="B91">
        <v>39</v>
      </c>
      <c r="C91">
        <v>206</v>
      </c>
    </row>
    <row r="92" spans="1:14" x14ac:dyDescent="0.3">
      <c r="A92" t="s">
        <v>563</v>
      </c>
      <c r="B92">
        <v>39</v>
      </c>
      <c r="C92">
        <v>54.5</v>
      </c>
    </row>
    <row r="93" spans="1:14" x14ac:dyDescent="0.3">
      <c r="A93" t="s">
        <v>721</v>
      </c>
      <c r="B93">
        <v>39</v>
      </c>
      <c r="C93">
        <v>0</v>
      </c>
    </row>
    <row r="94" spans="1:14" x14ac:dyDescent="0.3">
      <c r="A94" t="s">
        <v>272</v>
      </c>
      <c r="B94">
        <v>39</v>
      </c>
      <c r="C94">
        <v>0</v>
      </c>
    </row>
    <row r="95" spans="1:14" x14ac:dyDescent="0.3">
      <c r="A95" t="s">
        <v>722</v>
      </c>
      <c r="B95">
        <v>39</v>
      </c>
      <c r="C95">
        <v>39</v>
      </c>
    </row>
    <row r="96" spans="1:14" x14ac:dyDescent="0.3">
      <c r="A96" t="s">
        <v>723</v>
      </c>
      <c r="B96">
        <v>39</v>
      </c>
      <c r="C96">
        <v>0</v>
      </c>
    </row>
    <row r="100" spans="1:10" x14ac:dyDescent="0.3">
      <c r="A100" t="s">
        <v>254</v>
      </c>
      <c r="B100">
        <v>39</v>
      </c>
      <c r="C100">
        <v>111</v>
      </c>
      <c r="D100">
        <v>112</v>
      </c>
      <c r="E100">
        <v>211</v>
      </c>
      <c r="F100">
        <v>212</v>
      </c>
      <c r="G100">
        <v>121</v>
      </c>
      <c r="H100">
        <v>122</v>
      </c>
      <c r="I100">
        <v>221</v>
      </c>
      <c r="J100">
        <v>222</v>
      </c>
    </row>
    <row r="101" spans="1:10" x14ac:dyDescent="0.3">
      <c r="A101" t="s">
        <v>255</v>
      </c>
      <c r="B101">
        <v>39</v>
      </c>
      <c r="C101">
        <v>6</v>
      </c>
      <c r="D101">
        <v>20</v>
      </c>
      <c r="E101">
        <v>6</v>
      </c>
      <c r="F101">
        <v>6</v>
      </c>
      <c r="G101">
        <v>6</v>
      </c>
      <c r="H101">
        <v>20</v>
      </c>
      <c r="I101">
        <v>6</v>
      </c>
      <c r="J101">
        <v>6</v>
      </c>
    </row>
    <row r="102" spans="1:10" x14ac:dyDescent="0.3">
      <c r="A102" t="s">
        <v>256</v>
      </c>
      <c r="B102">
        <v>39</v>
      </c>
      <c r="C102">
        <v>6</v>
      </c>
      <c r="D102">
        <v>20</v>
      </c>
      <c r="E102">
        <v>6</v>
      </c>
      <c r="F102">
        <v>18</v>
      </c>
      <c r="G102">
        <v>6</v>
      </c>
      <c r="H102">
        <v>20</v>
      </c>
      <c r="I102">
        <v>6</v>
      </c>
      <c r="J102">
        <v>18</v>
      </c>
    </row>
    <row r="103" spans="1:10" x14ac:dyDescent="0.3">
      <c r="A103" t="s">
        <v>257</v>
      </c>
      <c r="B103">
        <v>39</v>
      </c>
      <c r="C103">
        <v>3</v>
      </c>
      <c r="D103">
        <v>3</v>
      </c>
      <c r="E103">
        <v>3</v>
      </c>
      <c r="F103">
        <v>3</v>
      </c>
      <c r="G103">
        <v>3</v>
      </c>
      <c r="H103">
        <v>3</v>
      </c>
      <c r="I103">
        <v>3</v>
      </c>
      <c r="J103">
        <v>3</v>
      </c>
    </row>
    <row r="104" spans="1:10" x14ac:dyDescent="0.3">
      <c r="A104" t="s">
        <v>258</v>
      </c>
      <c r="B104">
        <v>39</v>
      </c>
      <c r="C104">
        <v>0</v>
      </c>
      <c r="D104">
        <v>0</v>
      </c>
      <c r="E104">
        <v>0</v>
      </c>
      <c r="F104">
        <v>0</v>
      </c>
      <c r="G104">
        <v>0</v>
      </c>
      <c r="H104">
        <v>0</v>
      </c>
      <c r="I104">
        <v>0</v>
      </c>
      <c r="J104">
        <v>0</v>
      </c>
    </row>
    <row r="105" spans="1:10" x14ac:dyDescent="0.3">
      <c r="A105" t="s">
        <v>259</v>
      </c>
      <c r="B105">
        <v>39</v>
      </c>
      <c r="C105">
        <v>0</v>
      </c>
      <c r="D105">
        <v>0</v>
      </c>
      <c r="E105">
        <v>0</v>
      </c>
      <c r="F105">
        <v>0</v>
      </c>
      <c r="G105">
        <v>0</v>
      </c>
      <c r="H105">
        <v>0</v>
      </c>
      <c r="I105">
        <v>0</v>
      </c>
      <c r="J105">
        <v>0</v>
      </c>
    </row>
    <row r="106" spans="1:10" x14ac:dyDescent="0.3">
      <c r="A106" t="s">
        <v>260</v>
      </c>
      <c r="B106">
        <v>39</v>
      </c>
      <c r="C106">
        <v>3</v>
      </c>
      <c r="D106">
        <v>3</v>
      </c>
      <c r="E106">
        <v>3</v>
      </c>
      <c r="F106">
        <v>3</v>
      </c>
      <c r="G106">
        <v>3</v>
      </c>
      <c r="H106">
        <v>3</v>
      </c>
      <c r="I106">
        <v>3</v>
      </c>
      <c r="J106">
        <v>3</v>
      </c>
    </row>
    <row r="107" spans="1:10" x14ac:dyDescent="0.3">
      <c r="A107" t="s">
        <v>261</v>
      </c>
      <c r="B107">
        <v>39</v>
      </c>
      <c r="C107">
        <v>3</v>
      </c>
      <c r="D107">
        <v>4.3</v>
      </c>
      <c r="E107">
        <v>3</v>
      </c>
      <c r="F107">
        <v>3.6</v>
      </c>
      <c r="G107">
        <v>3</v>
      </c>
      <c r="H107">
        <v>4.3</v>
      </c>
      <c r="I107">
        <v>3</v>
      </c>
      <c r="J107">
        <v>3.6</v>
      </c>
    </row>
    <row r="108" spans="1:10" x14ac:dyDescent="0.3">
      <c r="A108" t="s">
        <v>262</v>
      </c>
      <c r="B108">
        <v>39</v>
      </c>
      <c r="C108">
        <v>3</v>
      </c>
      <c r="D108">
        <v>1</v>
      </c>
      <c r="E108">
        <v>3</v>
      </c>
      <c r="F108">
        <v>2.2999999999999998</v>
      </c>
      <c r="G108">
        <v>3</v>
      </c>
      <c r="H108">
        <v>1</v>
      </c>
      <c r="I108">
        <v>2.9</v>
      </c>
      <c r="J108">
        <v>1.5</v>
      </c>
    </row>
    <row r="109" spans="1:10" x14ac:dyDescent="0.3">
      <c r="A109" t="s">
        <v>263</v>
      </c>
      <c r="B109">
        <v>39</v>
      </c>
      <c r="C109">
        <v>3</v>
      </c>
      <c r="D109">
        <v>3</v>
      </c>
      <c r="E109">
        <v>3</v>
      </c>
      <c r="F109">
        <v>3</v>
      </c>
      <c r="G109">
        <v>3</v>
      </c>
      <c r="H109">
        <v>3</v>
      </c>
      <c r="I109">
        <v>3</v>
      </c>
      <c r="J109">
        <v>3</v>
      </c>
    </row>
    <row r="110" spans="1:10" x14ac:dyDescent="0.3">
      <c r="A110" t="s">
        <v>264</v>
      </c>
      <c r="B110">
        <v>39</v>
      </c>
      <c r="D110">
        <v>7</v>
      </c>
      <c r="F110">
        <v>7</v>
      </c>
      <c r="H110">
        <v>7</v>
      </c>
      <c r="J110">
        <v>7</v>
      </c>
    </row>
    <row r="111" spans="1:10" x14ac:dyDescent="0.3">
      <c r="A111" t="s">
        <v>265</v>
      </c>
      <c r="B111">
        <v>39</v>
      </c>
      <c r="D111">
        <v>11</v>
      </c>
      <c r="F111">
        <v>11</v>
      </c>
      <c r="H111">
        <v>11</v>
      </c>
      <c r="J111">
        <v>11</v>
      </c>
    </row>
    <row r="112" spans="1:10" x14ac:dyDescent="0.3">
      <c r="A112" t="s">
        <v>266</v>
      </c>
      <c r="B112">
        <v>39</v>
      </c>
      <c r="D112">
        <v>0</v>
      </c>
      <c r="F112">
        <v>0</v>
      </c>
      <c r="H112">
        <v>0</v>
      </c>
      <c r="J112">
        <v>0</v>
      </c>
    </row>
    <row r="113" spans="1:10" x14ac:dyDescent="0.3">
      <c r="A113" t="s">
        <v>267</v>
      </c>
      <c r="B113">
        <v>39</v>
      </c>
      <c r="C113">
        <v>12</v>
      </c>
      <c r="D113">
        <v>25.3</v>
      </c>
      <c r="E113">
        <v>12</v>
      </c>
      <c r="F113">
        <v>23.9</v>
      </c>
      <c r="G113">
        <v>12</v>
      </c>
      <c r="H113">
        <v>25.3</v>
      </c>
      <c r="I113">
        <v>11.9</v>
      </c>
      <c r="J113">
        <v>23.1</v>
      </c>
    </row>
    <row r="114" spans="1:10" x14ac:dyDescent="0.3">
      <c r="A114" t="s">
        <v>268</v>
      </c>
      <c r="B114">
        <v>39</v>
      </c>
      <c r="C114">
        <v>0</v>
      </c>
      <c r="D114">
        <v>1</v>
      </c>
      <c r="E114">
        <v>0</v>
      </c>
      <c r="F114">
        <v>1</v>
      </c>
      <c r="G114">
        <v>0</v>
      </c>
      <c r="H114">
        <v>1</v>
      </c>
      <c r="I114">
        <v>0</v>
      </c>
      <c r="J114">
        <v>1</v>
      </c>
    </row>
    <row r="115" spans="1:10" x14ac:dyDescent="0.3">
      <c r="A115" t="s">
        <v>269</v>
      </c>
      <c r="B115">
        <v>39</v>
      </c>
      <c r="C115">
        <v>1</v>
      </c>
      <c r="D115">
        <v>1</v>
      </c>
      <c r="E115">
        <v>1</v>
      </c>
      <c r="F115">
        <v>1</v>
      </c>
      <c r="G115">
        <v>1</v>
      </c>
      <c r="H115">
        <v>1</v>
      </c>
      <c r="I115">
        <v>1</v>
      </c>
      <c r="J115">
        <v>1</v>
      </c>
    </row>
    <row r="116" spans="1:10" x14ac:dyDescent="0.3">
      <c r="A116" t="s">
        <v>270</v>
      </c>
      <c r="B116">
        <v>39</v>
      </c>
      <c r="C116">
        <v>42.5</v>
      </c>
      <c r="D116">
        <v>54.5</v>
      </c>
      <c r="E116">
        <v>6.6</v>
      </c>
      <c r="F116">
        <v>18.600000000000001</v>
      </c>
      <c r="G116">
        <v>42.5</v>
      </c>
      <c r="H116">
        <v>54.5</v>
      </c>
      <c r="I116">
        <v>6.6</v>
      </c>
      <c r="J116">
        <v>18.5</v>
      </c>
    </row>
    <row r="117" spans="1:10" x14ac:dyDescent="0.3">
      <c r="A117" t="s">
        <v>271</v>
      </c>
      <c r="B117">
        <v>39</v>
      </c>
      <c r="C117">
        <v>54.5</v>
      </c>
      <c r="D117">
        <v>6.6</v>
      </c>
      <c r="E117">
        <v>18.600000000000001</v>
      </c>
      <c r="F117">
        <v>42.5</v>
      </c>
      <c r="G117">
        <v>54.5</v>
      </c>
      <c r="H117">
        <v>6.6</v>
      </c>
      <c r="I117">
        <v>18.5</v>
      </c>
      <c r="J117">
        <v>42.5</v>
      </c>
    </row>
    <row r="118" spans="1:10" x14ac:dyDescent="0.3">
      <c r="A118" t="s">
        <v>272</v>
      </c>
      <c r="B118">
        <v>39</v>
      </c>
      <c r="C118">
        <v>48.5</v>
      </c>
      <c r="D118">
        <v>1.3</v>
      </c>
      <c r="E118">
        <v>12.6</v>
      </c>
      <c r="F118">
        <v>36.6</v>
      </c>
      <c r="G118">
        <v>48.5</v>
      </c>
      <c r="H118">
        <v>1.3</v>
      </c>
      <c r="I118">
        <v>12.6</v>
      </c>
      <c r="J118">
        <v>37.4</v>
      </c>
    </row>
    <row r="119" spans="1:10" x14ac:dyDescent="0.3">
      <c r="A119" t="s">
        <v>273</v>
      </c>
      <c r="B119">
        <v>39</v>
      </c>
      <c r="C119">
        <v>48.5</v>
      </c>
      <c r="D119">
        <v>63.5</v>
      </c>
      <c r="E119">
        <v>12.6</v>
      </c>
      <c r="F119">
        <v>25.6</v>
      </c>
      <c r="G119">
        <v>48.5</v>
      </c>
      <c r="H119">
        <v>63.5</v>
      </c>
      <c r="I119">
        <v>12.6</v>
      </c>
      <c r="J119">
        <v>26.4</v>
      </c>
    </row>
    <row r="120" spans="1:10" x14ac:dyDescent="0.3">
      <c r="A120" t="s">
        <v>274</v>
      </c>
      <c r="B120">
        <v>39</v>
      </c>
      <c r="C120">
        <v>61.2</v>
      </c>
      <c r="D120">
        <v>0</v>
      </c>
      <c r="E120">
        <v>25.3</v>
      </c>
      <c r="F120">
        <v>37.299999999999997</v>
      </c>
      <c r="G120">
        <v>61.2</v>
      </c>
      <c r="H120">
        <v>0</v>
      </c>
      <c r="I120">
        <v>25.3</v>
      </c>
      <c r="J120">
        <v>37.200000000000003</v>
      </c>
    </row>
    <row r="121" spans="1:10" x14ac:dyDescent="0.3">
      <c r="A121" t="s">
        <v>275</v>
      </c>
      <c r="B121">
        <v>39</v>
      </c>
      <c r="C121">
        <v>67.2</v>
      </c>
      <c r="D121">
        <v>20</v>
      </c>
      <c r="E121">
        <v>31.3</v>
      </c>
      <c r="F121">
        <v>55.3</v>
      </c>
      <c r="G121">
        <v>67.2</v>
      </c>
      <c r="H121">
        <v>20</v>
      </c>
      <c r="I121">
        <v>31.3</v>
      </c>
      <c r="J121">
        <v>56.1</v>
      </c>
    </row>
    <row r="122" spans="1:10" x14ac:dyDescent="0.3">
      <c r="A122" t="s">
        <v>276</v>
      </c>
      <c r="B122">
        <v>39</v>
      </c>
      <c r="C122">
        <v>67.2</v>
      </c>
      <c r="D122">
        <v>9</v>
      </c>
      <c r="E122">
        <v>31.3</v>
      </c>
      <c r="F122">
        <v>44.3</v>
      </c>
      <c r="G122">
        <v>67.2</v>
      </c>
      <c r="H122">
        <v>9</v>
      </c>
      <c r="I122">
        <v>31.3</v>
      </c>
      <c r="J122">
        <v>45.1</v>
      </c>
    </row>
    <row r="123" spans="1:10" x14ac:dyDescent="0.3">
      <c r="A123" t="s">
        <v>567</v>
      </c>
      <c r="B123">
        <v>39</v>
      </c>
      <c r="C123">
        <v>6</v>
      </c>
      <c r="D123">
        <v>20</v>
      </c>
      <c r="E123">
        <v>6</v>
      </c>
      <c r="F123">
        <v>18</v>
      </c>
      <c r="G123">
        <v>6</v>
      </c>
      <c r="H123">
        <v>20</v>
      </c>
      <c r="I123">
        <v>6</v>
      </c>
      <c r="J123">
        <v>18.899999999999999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39_SR 95_Camp Mohave South</v>
      </c>
    </row>
    <row r="2" spans="1:9" x14ac:dyDescent="0.3">
      <c r="A2" s="162">
        <f>UTDF_input!B4</f>
        <v>39</v>
      </c>
      <c r="B2" s="162">
        <f>'Phase calculation'!C156</f>
        <v>7</v>
      </c>
      <c r="C2" s="162"/>
      <c r="D2" s="162">
        <f>'Phase calculation'!C158</f>
        <v>7</v>
      </c>
      <c r="E2" s="162" t="str">
        <f>'Phase calculation'!C159</f>
        <v>Protected</v>
      </c>
      <c r="F2" s="257" t="str">
        <f>'Phase calculation'!C160</f>
        <v>EBL</v>
      </c>
    </row>
    <row r="3" spans="1:9" x14ac:dyDescent="0.3">
      <c r="A3" s="162">
        <f>$A$2</f>
        <v>39</v>
      </c>
      <c r="B3" s="162">
        <f>'Phase calculation'!D156</f>
        <v>4</v>
      </c>
      <c r="C3" s="162"/>
      <c r="D3" s="162">
        <f>'Phase calculation'!D158</f>
        <v>4</v>
      </c>
      <c r="E3" s="162" t="str">
        <f>'Phase calculation'!D159</f>
        <v>Protected</v>
      </c>
      <c r="F3" s="257" t="str">
        <f>'Phase calculation'!D160</f>
        <v>EBT</v>
      </c>
    </row>
    <row r="4" spans="1:9" x14ac:dyDescent="0.3">
      <c r="A4" s="162">
        <f t="shared" ref="A4:A13" si="0">$A$2</f>
        <v>39</v>
      </c>
      <c r="B4" s="162" t="str">
        <f>'Phase calculation'!E156</f>
        <v>41</v>
      </c>
      <c r="C4" s="162"/>
      <c r="D4" s="162">
        <f>'Phase calculation'!E158</f>
        <v>4</v>
      </c>
      <c r="E4" s="162" t="str">
        <f>'Phase calculation'!E159</f>
        <v>RTOR</v>
      </c>
      <c r="F4" s="257" t="str">
        <f>'Phase calculation'!E160</f>
        <v>EBR</v>
      </c>
    </row>
    <row r="5" spans="1:9" x14ac:dyDescent="0.3">
      <c r="A5" s="162">
        <f t="shared" si="0"/>
        <v>39</v>
      </c>
      <c r="B5" s="162" t="str">
        <f>'Phase calculation'!F156</f>
        <v>82</v>
      </c>
      <c r="C5" s="162"/>
      <c r="D5" s="162">
        <f>'Phase calculation'!F158</f>
        <v>8</v>
      </c>
      <c r="E5" s="162" t="str">
        <f>'Phase calculation'!F159</f>
        <v>Permissive</v>
      </c>
      <c r="F5" s="257" t="str">
        <f>'Phase calculation'!F160</f>
        <v>WBL</v>
      </c>
    </row>
    <row r="6" spans="1:9" x14ac:dyDescent="0.3">
      <c r="A6" s="162">
        <f t="shared" si="0"/>
        <v>39</v>
      </c>
      <c r="B6" s="162">
        <f>'Phase calculation'!G156</f>
        <v>8</v>
      </c>
      <c r="C6" s="162"/>
      <c r="D6" s="162">
        <f>'Phase calculation'!G158</f>
        <v>8</v>
      </c>
      <c r="E6" s="162" t="str">
        <f>'Phase calculation'!G159</f>
        <v>Protected</v>
      </c>
      <c r="F6" s="257" t="str">
        <f>'Phase calculation'!G160</f>
        <v>WBT</v>
      </c>
    </row>
    <row r="7" spans="1:9" x14ac:dyDescent="0.3">
      <c r="A7" s="162">
        <f t="shared" si="0"/>
        <v>39</v>
      </c>
      <c r="B7" s="162" t="str">
        <f>'Phase calculation'!H156</f>
        <v>81</v>
      </c>
      <c r="C7" s="162"/>
      <c r="D7" s="162">
        <f>'Phase calculation'!H158</f>
        <v>8</v>
      </c>
      <c r="E7" s="162" t="str">
        <f>'Phase calculation'!H159</f>
        <v>RTOR</v>
      </c>
      <c r="F7" s="257" t="str">
        <f>'Phase calculation'!H160</f>
        <v>WBR</v>
      </c>
    </row>
    <row r="8" spans="1:9" x14ac:dyDescent="0.3">
      <c r="A8" s="162">
        <f t="shared" si="0"/>
        <v>39</v>
      </c>
      <c r="B8" s="162">
        <f>'Phase calculation'!I156</f>
        <v>5</v>
      </c>
      <c r="C8" s="162"/>
      <c r="D8" s="162">
        <f>'Phase calculation'!I158</f>
        <v>5</v>
      </c>
      <c r="E8" s="162" t="str">
        <f>'Phase calculation'!I159</f>
        <v>Protected</v>
      </c>
      <c r="F8" s="257" t="str">
        <f>'Phase calculation'!I160</f>
        <v>NBL</v>
      </c>
    </row>
    <row r="9" spans="1:9" x14ac:dyDescent="0.3">
      <c r="A9" s="162">
        <f t="shared" si="0"/>
        <v>39</v>
      </c>
      <c r="B9" s="162">
        <f>'Phase calculation'!J156</f>
        <v>2</v>
      </c>
      <c r="C9" s="162"/>
      <c r="D9" s="162">
        <f>'Phase calculation'!J158</f>
        <v>2</v>
      </c>
      <c r="E9" s="162" t="str">
        <f>'Phase calculation'!J159</f>
        <v>Protected</v>
      </c>
      <c r="F9" s="257" t="str">
        <f>'Phase calculation'!J160</f>
        <v>NBT</v>
      </c>
    </row>
    <row r="10" spans="1:9" x14ac:dyDescent="0.3">
      <c r="A10" s="162">
        <f t="shared" si="0"/>
        <v>39</v>
      </c>
      <c r="B10" s="162" t="str">
        <f>'Phase calculation'!K156</f>
        <v>21</v>
      </c>
      <c r="C10" s="162"/>
      <c r="D10" s="162">
        <f>'Phase calculation'!K158</f>
        <v>2</v>
      </c>
      <c r="E10" s="162" t="str">
        <f>'Phase calculation'!K159</f>
        <v>RTOR</v>
      </c>
      <c r="F10" s="257" t="str">
        <f>'Phase calculation'!K160</f>
        <v>NBR</v>
      </c>
    </row>
    <row r="11" spans="1:9" x14ac:dyDescent="0.3">
      <c r="A11" s="162">
        <f t="shared" si="0"/>
        <v>39</v>
      </c>
      <c r="B11" s="162" t="str">
        <f>'Phase calculation'!L156</f>
        <v>62</v>
      </c>
      <c r="C11" s="162"/>
      <c r="D11" s="162">
        <f>'Phase calculation'!L158</f>
        <v>6</v>
      </c>
      <c r="E11" s="162" t="str">
        <f>'Phase calculation'!L159</f>
        <v>Permissive</v>
      </c>
      <c r="F11" s="257" t="str">
        <f>'Phase calculation'!L160</f>
        <v>SBL</v>
      </c>
    </row>
    <row r="12" spans="1:9" x14ac:dyDescent="0.3">
      <c r="A12" s="162">
        <f t="shared" si="0"/>
        <v>39</v>
      </c>
      <c r="B12" s="162">
        <f>'Phase calculation'!M156</f>
        <v>6</v>
      </c>
      <c r="C12" s="162"/>
      <c r="D12" s="162">
        <f>'Phase calculation'!M158</f>
        <v>6</v>
      </c>
      <c r="E12" s="162" t="str">
        <f>'Phase calculation'!M159</f>
        <v>Protected</v>
      </c>
      <c r="F12" s="257" t="str">
        <f>'Phase calculation'!M160</f>
        <v>SBT</v>
      </c>
    </row>
    <row r="13" spans="1:9" x14ac:dyDescent="0.3">
      <c r="A13" s="162">
        <f t="shared" si="0"/>
        <v>39</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39</v>
      </c>
      <c r="B16" t="str">
        <f>IF(Phasing!D58=0,"",Phasing!D54)</f>
        <v/>
      </c>
      <c r="C16" t="str">
        <f>IF(B16="","",IF(B16&lt;=4,1,2))</f>
        <v/>
      </c>
      <c r="D16" t="str">
        <f>IF(C16="","",IF(OR(B16=1,B16=2,B16=5,B16=6),1,2))</f>
        <v/>
      </c>
    </row>
    <row r="17" spans="1:13" x14ac:dyDescent="0.3">
      <c r="A17">
        <f t="shared" ref="A17:A23" si="1">$A$2</f>
        <v>39</v>
      </c>
      <c r="B17">
        <f>IF(Phasing!E58=0,"",Phasing!E54)</f>
        <v>2</v>
      </c>
      <c r="C17">
        <f t="shared" ref="C17:C23" si="2">IF(B17="","",IF(B17&lt;=4,1,2))</f>
        <v>1</v>
      </c>
      <c r="D17">
        <f t="shared" ref="D17:D23" si="3">IF(C17="","",IF(OR(B17=1,B17=2,B17=5,B17=6),1,2))</f>
        <v>1</v>
      </c>
    </row>
    <row r="18" spans="1:13" x14ac:dyDescent="0.3">
      <c r="A18">
        <f t="shared" si="1"/>
        <v>39</v>
      </c>
      <c r="B18" t="str">
        <f>IF(Phasing!F58=0,"",Phasing!F54)</f>
        <v/>
      </c>
      <c r="C18" t="str">
        <f t="shared" si="2"/>
        <v/>
      </c>
      <c r="D18" t="str">
        <f t="shared" si="3"/>
        <v/>
      </c>
    </row>
    <row r="19" spans="1:13" x14ac:dyDescent="0.3">
      <c r="A19">
        <f t="shared" si="1"/>
        <v>39</v>
      </c>
      <c r="B19">
        <f>IF(Phasing!G58=0,"",Phasing!G54)</f>
        <v>4</v>
      </c>
      <c r="C19">
        <f t="shared" si="2"/>
        <v>1</v>
      </c>
      <c r="D19">
        <f t="shared" si="3"/>
        <v>2</v>
      </c>
    </row>
    <row r="20" spans="1:13" x14ac:dyDescent="0.3">
      <c r="A20">
        <f t="shared" si="1"/>
        <v>39</v>
      </c>
      <c r="B20">
        <f>IF(Phasing!H58=0,"",Phasing!H54)</f>
        <v>5</v>
      </c>
      <c r="C20">
        <f t="shared" si="2"/>
        <v>2</v>
      </c>
      <c r="D20">
        <f t="shared" si="3"/>
        <v>1</v>
      </c>
    </row>
    <row r="21" spans="1:13" x14ac:dyDescent="0.3">
      <c r="A21">
        <f t="shared" si="1"/>
        <v>39</v>
      </c>
      <c r="B21">
        <f>IF(Phasing!I58=0,"",Phasing!I54)</f>
        <v>6</v>
      </c>
      <c r="C21">
        <f t="shared" si="2"/>
        <v>2</v>
      </c>
      <c r="D21">
        <f t="shared" si="3"/>
        <v>1</v>
      </c>
    </row>
    <row r="22" spans="1:13" x14ac:dyDescent="0.3">
      <c r="A22">
        <f t="shared" si="1"/>
        <v>39</v>
      </c>
      <c r="B22">
        <f>IF(Phasing!J58=0,"",Phasing!J54)</f>
        <v>7</v>
      </c>
      <c r="C22">
        <f t="shared" si="2"/>
        <v>2</v>
      </c>
      <c r="D22">
        <f t="shared" si="3"/>
        <v>2</v>
      </c>
    </row>
    <row r="23" spans="1:13" x14ac:dyDescent="0.3">
      <c r="A23">
        <f t="shared" si="1"/>
        <v>39</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t="str">
        <f t="shared" ref="A26:A33" si="4">IF(C26="","",1)</f>
        <v/>
      </c>
      <c r="B26" s="162">
        <f>$A$2</f>
        <v>39</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3">
      <c r="A27" s="162">
        <f t="shared" si="4"/>
        <v>1</v>
      </c>
      <c r="B27" s="162">
        <f t="shared" ref="B27:B33" si="6">$A$2</f>
        <v>39</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14</v>
      </c>
      <c r="J27" t="str">
        <f t="shared" ref="J27:J33" si="7">IFERROR(INDEX($F$2:$F$13,MATCH(C27,$B$2:$B$13,0)),"")</f>
        <v>NBT</v>
      </c>
      <c r="K27">
        <v>0</v>
      </c>
    </row>
    <row r="28" spans="1:13" x14ac:dyDescent="0.3">
      <c r="A28" s="162" t="str">
        <f t="shared" si="4"/>
        <v/>
      </c>
      <c r="B28" s="162">
        <f t="shared" si="6"/>
        <v>39</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3">
      <c r="A29" s="162">
        <f t="shared" si="4"/>
        <v>1</v>
      </c>
      <c r="B29" s="162">
        <f t="shared" si="6"/>
        <v>39</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21</v>
      </c>
      <c r="J29" t="str">
        <f t="shared" si="7"/>
        <v>EBT</v>
      </c>
      <c r="K29">
        <v>0</v>
      </c>
    </row>
    <row r="30" spans="1:13" x14ac:dyDescent="0.3">
      <c r="A30" s="162">
        <f t="shared" si="4"/>
        <v>1</v>
      </c>
      <c r="B30" s="162">
        <f t="shared" si="6"/>
        <v>39</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3">
      <c r="A31" s="162">
        <f t="shared" si="4"/>
        <v>1</v>
      </c>
      <c r="B31" s="162">
        <f t="shared" si="6"/>
        <v>39</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3">
      <c r="A32" s="162">
        <f t="shared" si="4"/>
        <v>1</v>
      </c>
      <c r="B32" s="162">
        <f t="shared" si="6"/>
        <v>39</v>
      </c>
      <c r="C32" s="162">
        <f t="shared" si="5"/>
        <v>7</v>
      </c>
      <c r="D32" s="162">
        <f>IF(C32="","",Phasing!J31)</f>
        <v>5</v>
      </c>
      <c r="E32" s="162">
        <f>IF(C32="","",Phasing!J32)</f>
        <v>1</v>
      </c>
      <c r="F32" s="162" t="e">
        <f>IF(C32="","",Phasing!J33)</f>
        <v>#N/A</v>
      </c>
      <c r="G32" s="162">
        <f>IF(C32="","",INDEX(Phasing!$Y$33:$Y$40,MATCH(C32,Phasing!$W$33:$W$40,0))+INDEX(Phasing!$AA$33:$AA$40,MATCH(C32,Phasing!$W$33:$W$40,0)))</f>
        <v>4</v>
      </c>
      <c r="H32" s="162"/>
      <c r="I32" s="162"/>
      <c r="J32" t="str">
        <f t="shared" si="7"/>
        <v>EBL</v>
      </c>
      <c r="K32">
        <v>0</v>
      </c>
    </row>
    <row r="33" spans="1:12" x14ac:dyDescent="0.3">
      <c r="A33" s="162">
        <f t="shared" si="4"/>
        <v>1</v>
      </c>
      <c r="B33" s="162">
        <f t="shared" si="6"/>
        <v>39</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21</v>
      </c>
      <c r="J33" t="str">
        <f t="shared" si="7"/>
        <v>WBT</v>
      </c>
      <c r="K33">
        <v>0</v>
      </c>
    </row>
    <row r="35" spans="1:12" x14ac:dyDescent="0.3">
      <c r="A35" t="s">
        <v>582</v>
      </c>
      <c r="B35" t="s">
        <v>629</v>
      </c>
      <c r="C35" t="s">
        <v>630</v>
      </c>
      <c r="D35" t="s">
        <v>595</v>
      </c>
      <c r="E35" t="s">
        <v>631</v>
      </c>
      <c r="F35" t="s">
        <v>632</v>
      </c>
      <c r="G35" t="s">
        <v>633</v>
      </c>
      <c r="L35" s="1" t="s">
        <v>634</v>
      </c>
    </row>
    <row r="36" spans="1:12" x14ac:dyDescent="0.3">
      <c r="A36">
        <f>$A$2</f>
        <v>39</v>
      </c>
      <c r="B36">
        <v>1</v>
      </c>
      <c r="C36" t="s">
        <v>635</v>
      </c>
      <c r="D36">
        <f>'Phase calculation'!C25</f>
        <v>80</v>
      </c>
      <c r="E36">
        <f>'Phase calculation'!G25</f>
        <v>0</v>
      </c>
      <c r="F36">
        <f>UTDF_input!C91</f>
        <v>206</v>
      </c>
      <c r="G36">
        <f>'Phase calculation'!E25</f>
        <v>54.5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39</v>
      </c>
      <c r="B2" t="str">
        <f>T2&amp;"_"&amp;U2</f>
        <v>000036_000045</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000036</v>
      </c>
      <c r="N2" t="str">
        <f>U2</f>
        <v>000045</v>
      </c>
      <c r="O2" s="1">
        <v>0</v>
      </c>
      <c r="Q2">
        <f>IF('Phase calculation'!C33=0,'Phase calculation'!D33,'Phase calculation'!C33)</f>
        <v>7</v>
      </c>
      <c r="R2">
        <f>IFERROR(INDEX(Phasing!$D$46:$K$46,1,MATCH(Q2,Phasing!$D$54:$K$54,0)),0)</f>
        <v>36</v>
      </c>
      <c r="S2">
        <f>IFERROR(INDEX(Phasing!$D$47:$K$47,1,MATCH(Q2,Phasing!$D$54:$K$54,0)),0)</f>
        <v>45</v>
      </c>
      <c r="T2" s="254" t="str">
        <f t="shared" ref="T2:U13" si="0">IF(R2&lt;10,"00000"&amp;R2,"00"&amp;(IF(R2&lt;60,"00","0"&amp;ROUNDDOWN(R2/60,0))&amp;""&amp;IF(OR(R2=0,R2=60,R2=120,R2=180),"00",IF(R2&lt;60,R2,R2-60*ROUNDDOWN(R2/60,0)))))</f>
        <v>000036</v>
      </c>
      <c r="U2" s="254" t="str">
        <f t="shared" si="0"/>
        <v>000045</v>
      </c>
    </row>
    <row r="3" spans="1:21" x14ac:dyDescent="0.3">
      <c r="A3">
        <f>GMNS!$A$2</f>
        <v>39</v>
      </c>
      <c r="B3" t="str">
        <f t="shared" ref="B3:B13" si="1">T3&amp;"_"&amp;U3</f>
        <v>000036_000120</v>
      </c>
      <c r="C3" s="1" t="s">
        <v>608</v>
      </c>
      <c r="D3" s="1" t="s">
        <v>608</v>
      </c>
      <c r="E3">
        <f>IF(Q3=0,"",'Phase calculation'!D41)</f>
        <v>76500</v>
      </c>
      <c r="F3" s="70">
        <f>IF(Q3=0,"",'Phase calculation'!D40)</f>
        <v>0</v>
      </c>
      <c r="G3" s="1">
        <v>0</v>
      </c>
      <c r="H3">
        <f>'Phase calculation'!$C$25</f>
        <v>80</v>
      </c>
      <c r="I3">
        <f>IF(E3="","",'Phase calculation'!D34)</f>
        <v>44</v>
      </c>
      <c r="J3">
        <f t="shared" ref="J3:J13" si="2">IF(E3="","",H3-I3)</f>
        <v>36</v>
      </c>
      <c r="K3">
        <f t="shared" ref="K3:K13" si="3">IF(OR(Q3=1,Q3=2,Q3=5,Q3=6),1,2)</f>
        <v>2</v>
      </c>
      <c r="L3" t="s">
        <v>14</v>
      </c>
      <c r="M3" t="str">
        <f t="shared" ref="M3:N13" si="4">T3</f>
        <v>000036</v>
      </c>
      <c r="N3" t="str">
        <f t="shared" si="4"/>
        <v>000120</v>
      </c>
      <c r="O3" s="1">
        <v>0</v>
      </c>
      <c r="Q3">
        <f>'Phase calculation'!D33</f>
        <v>4</v>
      </c>
      <c r="R3">
        <f>IFERROR(INDEX(Phasing!$D$46:$K$46,1,MATCH(Q3,Phasing!$D$54:$K$54,0)),0)</f>
        <v>36</v>
      </c>
      <c r="S3">
        <f>IFERROR(INDEX(Phasing!$D$47:$K$47,1,MATCH(Q3,Phasing!$D$54:$K$54,0)),0)</f>
        <v>80</v>
      </c>
      <c r="T3" s="254" t="str">
        <f t="shared" si="0"/>
        <v>000036</v>
      </c>
      <c r="U3" s="254" t="str">
        <f t="shared" si="0"/>
        <v>000120</v>
      </c>
    </row>
    <row r="4" spans="1:21" x14ac:dyDescent="0.3">
      <c r="A4">
        <f>GMNS!$A$2</f>
        <v>39</v>
      </c>
      <c r="B4" t="str">
        <f t="shared" si="1"/>
        <v>000036_000120</v>
      </c>
      <c r="C4" s="1" t="s">
        <v>608</v>
      </c>
      <c r="D4" s="1" t="s">
        <v>608</v>
      </c>
      <c r="E4">
        <f>IF(Q4=0,"",'Phase calculation'!E41)</f>
        <v>0</v>
      </c>
      <c r="F4" s="70">
        <f>IF(Q4=0,"",'Phase calculation'!E40)</f>
        <v>0</v>
      </c>
      <c r="G4" s="1">
        <v>0</v>
      </c>
      <c r="H4">
        <f>'Phase calculation'!$C$25</f>
        <v>80</v>
      </c>
      <c r="I4">
        <f>IF(E4="","",'Phase calculation'!E34)</f>
        <v>44</v>
      </c>
      <c r="J4">
        <f t="shared" si="2"/>
        <v>36</v>
      </c>
      <c r="K4">
        <f t="shared" si="3"/>
        <v>2</v>
      </c>
      <c r="L4" t="s">
        <v>15</v>
      </c>
      <c r="M4" t="str">
        <f t="shared" si="4"/>
        <v>000036</v>
      </c>
      <c r="N4" t="str">
        <f t="shared" si="4"/>
        <v>000120</v>
      </c>
      <c r="O4" s="1">
        <v>0</v>
      </c>
      <c r="Q4">
        <f>Q3</f>
        <v>4</v>
      </c>
      <c r="R4">
        <f>IFERROR(INDEX(Phasing!$D$46:$K$46,1,MATCH(Q4,Phasing!$D$54:$K$54,0)),0)</f>
        <v>36</v>
      </c>
      <c r="S4">
        <f>IFERROR(INDEX(Phasing!$D$47:$K$47,1,MATCH(Q4,Phasing!$D$54:$K$54,0)),0)</f>
        <v>80</v>
      </c>
      <c r="T4" s="254" t="str">
        <f t="shared" si="0"/>
        <v>000036</v>
      </c>
      <c r="U4" s="254" t="str">
        <f t="shared" si="0"/>
        <v>000120</v>
      </c>
    </row>
    <row r="5" spans="1:21" x14ac:dyDescent="0.3">
      <c r="A5">
        <f>GMNS!$A$2</f>
        <v>39</v>
      </c>
      <c r="B5" t="str">
        <f t="shared" si="1"/>
        <v>000045_000120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000045</v>
      </c>
      <c r="N5" t="str">
        <f t="shared" si="4"/>
        <v>000120</v>
      </c>
      <c r="O5" s="1">
        <v>0</v>
      </c>
      <c r="Q5">
        <f>IF('Phase calculation'!F33=0,'Phase calculation'!G33,'Phase calculation'!F33)</f>
        <v>8</v>
      </c>
      <c r="R5">
        <f>IFERROR(INDEX(Phasing!$D$46:$K$46,1,MATCH(Q5,Phasing!$D$54:$K$54,0)),0)</f>
        <v>45</v>
      </c>
      <c r="S5">
        <f>IFERROR(INDEX(Phasing!$D$47:$K$47,1,MATCH(Q5,Phasing!$D$54:$K$54,0)),0)</f>
        <v>80</v>
      </c>
      <c r="T5" s="254" t="str">
        <f t="shared" si="0"/>
        <v>000045</v>
      </c>
      <c r="U5" s="254" t="str">
        <f t="shared" si="0"/>
        <v>000120</v>
      </c>
    </row>
    <row r="6" spans="1:21" x14ac:dyDescent="0.3">
      <c r="A6">
        <f>GMNS!$A$2</f>
        <v>39</v>
      </c>
      <c r="B6" t="str">
        <f t="shared" si="1"/>
        <v>000045_000120</v>
      </c>
      <c r="C6" s="1" t="s">
        <v>608</v>
      </c>
      <c r="D6" s="1" t="s">
        <v>608</v>
      </c>
      <c r="E6">
        <f>IF(Q6=0,"",'Phase calculation'!G41)</f>
        <v>59288</v>
      </c>
      <c r="F6" s="70">
        <f>IF(Q6=0,"",'Phase calculation'!G40)</f>
        <v>0</v>
      </c>
      <c r="G6" s="1">
        <v>0</v>
      </c>
      <c r="H6">
        <f>'Phase calculation'!$C$25</f>
        <v>80</v>
      </c>
      <c r="I6">
        <f>IF(E6="","",'Phase calculation'!G34)</f>
        <v>35</v>
      </c>
      <c r="J6">
        <f t="shared" si="2"/>
        <v>45</v>
      </c>
      <c r="K6">
        <f t="shared" si="3"/>
        <v>2</v>
      </c>
      <c r="L6" t="s">
        <v>19</v>
      </c>
      <c r="M6" t="str">
        <f t="shared" si="4"/>
        <v>000045</v>
      </c>
      <c r="N6" t="str">
        <f t="shared" si="4"/>
        <v>000120</v>
      </c>
      <c r="O6" s="1">
        <v>0</v>
      </c>
      <c r="Q6">
        <f>'Phase calculation'!G33</f>
        <v>8</v>
      </c>
      <c r="R6">
        <f>IFERROR(INDEX(Phasing!$D$46:$K$46,1,MATCH(Q6,Phasing!$D$54:$K$54,0)),0)</f>
        <v>45</v>
      </c>
      <c r="S6">
        <f>IFERROR(INDEX(Phasing!$D$47:$K$47,1,MATCH(Q6,Phasing!$D$54:$K$54,0)),0)</f>
        <v>80</v>
      </c>
      <c r="T6" s="254" t="str">
        <f t="shared" si="0"/>
        <v>000045</v>
      </c>
      <c r="U6" s="254" t="str">
        <f t="shared" si="0"/>
        <v>000120</v>
      </c>
    </row>
    <row r="7" spans="1:21" x14ac:dyDescent="0.3">
      <c r="A7">
        <f>GMNS!$A$2</f>
        <v>39</v>
      </c>
      <c r="B7" t="str">
        <f t="shared" si="1"/>
        <v>000045_000120</v>
      </c>
      <c r="C7" s="1" t="s">
        <v>608</v>
      </c>
      <c r="D7" s="1" t="s">
        <v>608</v>
      </c>
      <c r="E7">
        <f>IF(Q7=0,"",'Phase calculation'!H41)</f>
        <v>0</v>
      </c>
      <c r="F7" s="70">
        <f>IF(Q7=0,"",'Phase calculation'!H40)</f>
        <v>0</v>
      </c>
      <c r="G7" s="1">
        <v>0</v>
      </c>
      <c r="H7">
        <f>'Phase calculation'!$C$25</f>
        <v>80</v>
      </c>
      <c r="I7">
        <f>IF(E7="","",'Phase calculation'!H34)</f>
        <v>35</v>
      </c>
      <c r="J7">
        <f t="shared" si="2"/>
        <v>45</v>
      </c>
      <c r="K7">
        <f t="shared" si="3"/>
        <v>2</v>
      </c>
      <c r="L7" t="s">
        <v>20</v>
      </c>
      <c r="M7" t="str">
        <f t="shared" si="4"/>
        <v>000045</v>
      </c>
      <c r="N7" t="str">
        <f t="shared" si="4"/>
        <v>000120</v>
      </c>
      <c r="O7" s="1">
        <v>0</v>
      </c>
      <c r="Q7">
        <f>Q6</f>
        <v>8</v>
      </c>
      <c r="R7">
        <f>IFERROR(INDEX(Phasing!$D$46:$K$46,1,MATCH(Q7,Phasing!$D$54:$K$54,0)),0)</f>
        <v>45</v>
      </c>
      <c r="S7">
        <f>IFERROR(INDEX(Phasing!$D$47:$K$47,1,MATCH(Q7,Phasing!$D$54:$K$54,0)),0)</f>
        <v>80</v>
      </c>
      <c r="T7" s="254" t="str">
        <f t="shared" si="0"/>
        <v>000045</v>
      </c>
      <c r="U7" s="254" t="str">
        <f t="shared" si="0"/>
        <v>000120</v>
      </c>
    </row>
    <row r="8" spans="1:21" x14ac:dyDescent="0.3">
      <c r="A8">
        <f>GMNS!$A$2</f>
        <v>39</v>
      </c>
      <c r="B8" t="str">
        <f t="shared" si="1"/>
        <v>000000_000009</v>
      </c>
      <c r="C8" s="1" t="s">
        <v>608</v>
      </c>
      <c r="D8" s="1" t="s">
        <v>608</v>
      </c>
      <c r="E8" t="e">
        <f>IF(Q8=0,"",'Phase calculation'!I41)</f>
        <v>#N/A</v>
      </c>
      <c r="F8" s="70" t="e">
        <f>IF(Q8=0,"",'Phase calculation'!I40)</f>
        <v>#N/A</v>
      </c>
      <c r="G8" s="1">
        <v>0</v>
      </c>
      <c r="H8">
        <f>'Phase calculation'!$C$25</f>
        <v>80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3">
      <c r="A9">
        <f>GMNS!$A$2</f>
        <v>39</v>
      </c>
      <c r="B9" t="str">
        <f t="shared" si="1"/>
        <v>000000_000036</v>
      </c>
      <c r="C9" s="1" t="s">
        <v>608</v>
      </c>
      <c r="D9" s="1" t="s">
        <v>608</v>
      </c>
      <c r="E9">
        <f>IF(Q9=0,"",'Phase calculation'!J41)</f>
        <v>122400</v>
      </c>
      <c r="F9" s="70">
        <f>IF(Q9=0,"",'Phase calculation'!J40)</f>
        <v>0</v>
      </c>
      <c r="G9" s="1">
        <v>0</v>
      </c>
      <c r="H9">
        <f>'Phase calculation'!$C$25</f>
        <v>80</v>
      </c>
      <c r="I9">
        <f>IF(E9="","",'Phase calculation'!J34)</f>
        <v>36</v>
      </c>
      <c r="J9">
        <f t="shared" si="2"/>
        <v>44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3">
      <c r="A10">
        <f>GMNS!$A$2</f>
        <v>39</v>
      </c>
      <c r="B10" t="str">
        <f t="shared" si="1"/>
        <v>000000_000036</v>
      </c>
      <c r="C10" s="1" t="s">
        <v>608</v>
      </c>
      <c r="D10" s="1" t="s">
        <v>608</v>
      </c>
      <c r="E10">
        <f>IF(Q10=0,"",'Phase calculation'!K41)</f>
        <v>1530000</v>
      </c>
      <c r="F10" s="70">
        <f>IF(Q10=0,"",'Phase calculation'!K40)</f>
        <v>0</v>
      </c>
      <c r="G10" s="1">
        <v>0</v>
      </c>
      <c r="H10">
        <f>'Phase calculation'!$C$25</f>
        <v>80</v>
      </c>
      <c r="I10">
        <f>IF(E10="","",'Phase calculation'!K34)</f>
        <v>36</v>
      </c>
      <c r="J10">
        <f t="shared" si="2"/>
        <v>44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3">
      <c r="A11">
        <f>GMNS!$A$2</f>
        <v>39</v>
      </c>
      <c r="B11" t="str">
        <f t="shared" si="1"/>
        <v>000009_000036</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000009</v>
      </c>
      <c r="N11" t="str">
        <f t="shared" si="4"/>
        <v>000036</v>
      </c>
      <c r="O11" s="1">
        <v>0</v>
      </c>
      <c r="Q11">
        <f>IF('Phase calculation'!L33=0,'Phase calculation'!M33,'Phase calculation'!L33)</f>
        <v>6</v>
      </c>
      <c r="R11">
        <f>IFERROR(INDEX(Phasing!$D$46:$K$46,1,MATCH(Q11,Phasing!$D$54:$K$54,0)),0)</f>
        <v>9</v>
      </c>
      <c r="S11">
        <f>IFERROR(INDEX(Phasing!$D$47:$K$47,1,MATCH(Q11,Phasing!$D$54:$K$54,0)),0)</f>
        <v>36</v>
      </c>
      <c r="T11" s="254" t="str">
        <f t="shared" si="0"/>
        <v>000009</v>
      </c>
      <c r="U11" s="254" t="str">
        <f t="shared" si="0"/>
        <v>000036</v>
      </c>
    </row>
    <row r="12" spans="1:21" x14ac:dyDescent="0.3">
      <c r="A12">
        <f>GMNS!$A$2</f>
        <v>39</v>
      </c>
      <c r="B12" t="str">
        <f t="shared" si="1"/>
        <v>000009_000036</v>
      </c>
      <c r="C12" s="1" t="s">
        <v>608</v>
      </c>
      <c r="D12" s="1" t="s">
        <v>608</v>
      </c>
      <c r="E12">
        <f>IF(Q12=0,"",'Phase calculation'!M41)</f>
        <v>87975</v>
      </c>
      <c r="F12" s="70">
        <f>IF(Q12=0,"",'Phase calculation'!M40)</f>
        <v>0</v>
      </c>
      <c r="G12" s="1">
        <v>0</v>
      </c>
      <c r="H12">
        <f>'Phase calculation'!$C$25</f>
        <v>80</v>
      </c>
      <c r="I12">
        <f>IF(E12="","",'Phase calculation'!M34)</f>
        <v>27</v>
      </c>
      <c r="J12">
        <f t="shared" si="2"/>
        <v>53</v>
      </c>
      <c r="K12">
        <f t="shared" si="3"/>
        <v>1</v>
      </c>
      <c r="L12" t="s">
        <v>9</v>
      </c>
      <c r="M12" t="str">
        <f t="shared" si="4"/>
        <v>000009</v>
      </c>
      <c r="N12" t="str">
        <f t="shared" si="4"/>
        <v>000036</v>
      </c>
      <c r="O12" s="1">
        <v>0</v>
      </c>
      <c r="Q12">
        <f>'Phase calculation'!M33</f>
        <v>6</v>
      </c>
      <c r="R12">
        <f>IFERROR(INDEX(Phasing!$D$46:$K$46,1,MATCH(Q12,Phasing!$D$54:$K$54,0)),0)</f>
        <v>9</v>
      </c>
      <c r="S12">
        <f>IFERROR(INDEX(Phasing!$D$47:$K$47,1,MATCH(Q12,Phasing!$D$54:$K$54,0)),0)</f>
        <v>36</v>
      </c>
      <c r="T12" s="254" t="str">
        <f t="shared" si="0"/>
        <v>000009</v>
      </c>
      <c r="U12" s="254" t="str">
        <f t="shared" si="0"/>
        <v>000036</v>
      </c>
    </row>
    <row r="13" spans="1:21" x14ac:dyDescent="0.3">
      <c r="A13">
        <f>GMNS!$A$2</f>
        <v>39</v>
      </c>
      <c r="B13" t="str">
        <f t="shared" si="1"/>
        <v>000009_000036</v>
      </c>
      <c r="C13" s="1" t="s">
        <v>608</v>
      </c>
      <c r="D13" s="1" t="s">
        <v>608</v>
      </c>
      <c r="E13">
        <f>IF(Q13=0,"",'Phase calculation'!N41)</f>
        <v>175950</v>
      </c>
      <c r="F13" s="70">
        <f>IF(Q13=0,"",'Phase calculation'!N40)</f>
        <v>0</v>
      </c>
      <c r="G13" s="1">
        <v>0</v>
      </c>
      <c r="H13">
        <f>'Phase calculation'!$C$25</f>
        <v>80</v>
      </c>
      <c r="I13">
        <f>IF(E13="","",'Phase calculation'!N34)</f>
        <v>27</v>
      </c>
      <c r="J13">
        <f t="shared" si="2"/>
        <v>53</v>
      </c>
      <c r="K13">
        <f t="shared" si="3"/>
        <v>1</v>
      </c>
      <c r="L13" t="s">
        <v>10</v>
      </c>
      <c r="M13" t="str">
        <f t="shared" si="4"/>
        <v>000009</v>
      </c>
      <c r="N13" t="str">
        <f t="shared" si="4"/>
        <v>000036</v>
      </c>
      <c r="O13" s="1">
        <v>0</v>
      </c>
      <c r="Q13">
        <f>Q12</f>
        <v>6</v>
      </c>
      <c r="R13">
        <f>IFERROR(INDEX(Phasing!$D$46:$K$46,1,MATCH(Q13,Phasing!$D$54:$K$54,0)),0)</f>
        <v>9</v>
      </c>
      <c r="S13">
        <f>IFERROR(INDEX(Phasing!$D$47:$K$47,1,MATCH(Q13,Phasing!$D$54:$K$54,0)),0)</f>
        <v>36</v>
      </c>
      <c r="T13" s="254" t="str">
        <f t="shared" si="0"/>
        <v>000009</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7" t="s">
        <v>281</v>
      </c>
      <c r="D2" s="267"/>
      <c r="E2" s="267"/>
      <c r="F2" s="267"/>
      <c r="G2" s="267"/>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64" t="s">
        <v>310</v>
      </c>
      <c r="D16" s="264"/>
      <c r="E16" s="264"/>
      <c r="F16" s="264"/>
      <c r="G16" s="264"/>
      <c r="H16" s="264"/>
      <c r="I16" s="264"/>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64" t="s">
        <v>314</v>
      </c>
      <c r="D25" s="264"/>
      <c r="E25" s="264"/>
      <c r="F25" s="264"/>
      <c r="G25" s="264"/>
      <c r="H25" s="264"/>
      <c r="I25" s="264"/>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2026-06-01T03:43:40Z</dcterms:modified>
</cp:coreProperties>
</file>